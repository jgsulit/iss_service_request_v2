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comments2.xml" ContentType="application/vnd.openxmlformats-officedocument.spreadsheetml.comments+xml"/>
  <Override PartName="/xl/drawings/drawing3.xml" ContentType="application/vnd.openxmlformats-officedocument.drawing+xml"/>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comments3.xml" ContentType="application/vnd.openxmlformats-officedocument.spreadsheetml.comments+xml"/>
  <Override PartName="/xl/drawings/drawing4.xml" ContentType="application/vnd.openxmlformats-officedocument.drawing+xml"/>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comments4.xml" ContentType="application/vnd.openxmlformats-officedocument.spreadsheetml.comments+xml"/>
  <Override PartName="/xl/drawings/drawing5.xml" ContentType="application/vnd.openxmlformats-officedocument.drawing+xml"/>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comments5.xml" ContentType="application/vnd.openxmlformats-officedocument.spreadsheetml.comments+xml"/>
  <Override PartName="/xl/drawings/drawing6.xml" ContentType="application/vnd.openxmlformats-officedocument.drawing+xml"/>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comments6.xml" ContentType="application/vnd.openxmlformats-officedocument.spreadsheetml.comments+xml"/>
  <Override PartName="/xl/drawings/drawing7.xml" ContentType="application/vnd.openxmlformats-officedocument.drawing+xml"/>
  <Override PartName="/xl/embeddings/oleObject32.bin" ContentType="application/vnd.openxmlformats-officedocument.oleObject"/>
  <Override PartName="/xl/embeddings/oleObject33.bin" ContentType="application/vnd.openxmlformats-officedocument.oleObject"/>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Central\Key 11\FY 2024\5. Aug 2024\"/>
    </mc:Choice>
  </mc:AlternateContent>
  <bookViews>
    <workbookView xWindow="-110" yWindow="-110" windowWidth="19420" windowHeight="10300" tabRatio="497" activeTab="2"/>
  </bookViews>
  <sheets>
    <sheet name="FY2024 Target" sheetId="29" r:id="rId1"/>
    <sheet name="Tri-color" sheetId="5" r:id="rId2"/>
    <sheet name="Company-wide" sheetId="11" r:id="rId3"/>
    <sheet name="TS" sheetId="1" r:id="rId4"/>
    <sheet name="CN" sheetId="16" r:id="rId5"/>
    <sheet name="YF" sheetId="9" r:id="rId6"/>
    <sheet name="PPD" sheetId="6" r:id="rId7"/>
    <sheet name="Support" sheetId="10"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_" localSheetId="4">'[1]???????'!#REF!</definedName>
    <definedName name="_" localSheetId="2">'[1]???????'!#REF!</definedName>
    <definedName name="_" localSheetId="0">[1]_______!#REF!</definedName>
    <definedName name="_" localSheetId="6">'[1]???????'!#REF!</definedName>
    <definedName name="_" localSheetId="7">'[1]???????'!#REF!</definedName>
    <definedName name="_" localSheetId="5">'[1]???????'!#REF!</definedName>
    <definedName name="_">'[1]???????'!#REF!</definedName>
    <definedName name="_?" localSheetId="4">'[2]#REF!'!#REF!</definedName>
    <definedName name="_?" localSheetId="2">'[2]#REF!'!#REF!</definedName>
    <definedName name="_?" localSheetId="0">#REF!</definedName>
    <definedName name="_?" localSheetId="6">'[2]#REF!'!#REF!</definedName>
    <definedName name="_?" localSheetId="7">'[2]#REF!'!#REF!</definedName>
    <definedName name="_?" localSheetId="5">'[2]#REF!'!#REF!</definedName>
    <definedName name="_?">'[2]#REF!'!#REF!</definedName>
    <definedName name="_??">#REF!</definedName>
    <definedName name="_???" localSheetId="4">#REF!</definedName>
    <definedName name="_???" localSheetId="2">#REF!</definedName>
    <definedName name="_???" localSheetId="0">#REF!</definedName>
    <definedName name="_???" localSheetId="6">#REF!</definedName>
    <definedName name="_???" localSheetId="7">#REF!</definedName>
    <definedName name="_???" localSheetId="5">#REF!</definedName>
    <definedName name="_???">#REF!</definedName>
    <definedName name="_????">#REF!</definedName>
    <definedName name="_???_1" localSheetId="4">#REF!</definedName>
    <definedName name="_???_1" localSheetId="2">#REF!</definedName>
    <definedName name="_???_1" localSheetId="0">#REF!</definedName>
    <definedName name="_???_1" localSheetId="6">#REF!</definedName>
    <definedName name="_???_1" localSheetId="7">#REF!</definedName>
    <definedName name="_???_1" localSheetId="5">#REF!</definedName>
    <definedName name="_???_1">#REF!</definedName>
    <definedName name="_???_2" localSheetId="4">#REF!</definedName>
    <definedName name="_???_2" localSheetId="2">#REF!</definedName>
    <definedName name="_???_2" localSheetId="0">#REF!</definedName>
    <definedName name="_???_2" localSheetId="6">#REF!</definedName>
    <definedName name="_???_2" localSheetId="7">#REF!</definedName>
    <definedName name="_???_2" localSheetId="5">#REF!</definedName>
    <definedName name="_???_2">#REF!</definedName>
    <definedName name="_???_3" localSheetId="4">#REF!</definedName>
    <definedName name="_???_3" localSheetId="2">#REF!</definedName>
    <definedName name="_???_3" localSheetId="0">#REF!</definedName>
    <definedName name="_???_3" localSheetId="6">#REF!</definedName>
    <definedName name="_???_3" localSheetId="7">#REF!</definedName>
    <definedName name="_???_3" localSheetId="5">#REF!</definedName>
    <definedName name="_???_3">#REF!</definedName>
    <definedName name="_???_4" localSheetId="4">#REF!</definedName>
    <definedName name="_???_4" localSheetId="2">#REF!</definedName>
    <definedName name="_???_4" localSheetId="0">#REF!</definedName>
    <definedName name="_???_4" localSheetId="6">#REF!</definedName>
    <definedName name="_???_4" localSheetId="7">#REF!</definedName>
    <definedName name="_???_4" localSheetId="5">#REF!</definedName>
    <definedName name="_???_4">#REF!</definedName>
    <definedName name="_???_5" localSheetId="4">#REF!</definedName>
    <definedName name="_???_5" localSheetId="2">#REF!</definedName>
    <definedName name="_???_5" localSheetId="0">#REF!</definedName>
    <definedName name="_???_5" localSheetId="6">#REF!</definedName>
    <definedName name="_???_5" localSheetId="7">#REF!</definedName>
    <definedName name="_???_5" localSheetId="5">#REF!</definedName>
    <definedName name="_???_5">#REF!</definedName>
    <definedName name="_???_6" localSheetId="4">#REF!</definedName>
    <definedName name="_???_6" localSheetId="2">#REF!</definedName>
    <definedName name="_???_6" localSheetId="0">#REF!</definedName>
    <definedName name="_???_6" localSheetId="6">#REF!</definedName>
    <definedName name="_???_6" localSheetId="7">#REF!</definedName>
    <definedName name="_???_6" localSheetId="5">#REF!</definedName>
    <definedName name="_???_6">#REF!</definedName>
    <definedName name="_???_7" localSheetId="4">#REF!</definedName>
    <definedName name="_???_7" localSheetId="2">#REF!</definedName>
    <definedName name="_???_7" localSheetId="0">#REF!</definedName>
    <definedName name="_???_7" localSheetId="6">#REF!</definedName>
    <definedName name="_???_7" localSheetId="7">#REF!</definedName>
    <definedName name="_???_7" localSheetId="5">#REF!</definedName>
    <definedName name="_???_7">#REF!</definedName>
    <definedName name="_???_8" localSheetId="4">#REF!</definedName>
    <definedName name="_???_8" localSheetId="2">#REF!</definedName>
    <definedName name="_???_8" localSheetId="0">#REF!</definedName>
    <definedName name="_???_8" localSheetId="6">#REF!</definedName>
    <definedName name="_???_8" localSheetId="7">#REF!</definedName>
    <definedName name="_???_8" localSheetId="5">#REF!</definedName>
    <definedName name="_???_8">#REF!</definedName>
    <definedName name="_?_1" localSheetId="4">'[2]#REF!'!#REF!</definedName>
    <definedName name="_?_1" localSheetId="2">'[2]#REF!'!#REF!</definedName>
    <definedName name="_?_1" localSheetId="0">#REF!</definedName>
    <definedName name="_?_1" localSheetId="6">'[2]#REF!'!#REF!</definedName>
    <definedName name="_?_1" localSheetId="7">'[2]#REF!'!#REF!</definedName>
    <definedName name="_?_1" localSheetId="5">'[2]#REF!'!#REF!</definedName>
    <definedName name="_?_1">'[2]#REF!'!#REF!</definedName>
    <definedName name="_?_2" localSheetId="4">'[2]#REF!'!#REF!</definedName>
    <definedName name="_?_2" localSheetId="2">'[2]#REF!'!#REF!</definedName>
    <definedName name="_?_2" localSheetId="0">#REF!</definedName>
    <definedName name="_?_2" localSheetId="6">'[2]#REF!'!#REF!</definedName>
    <definedName name="_?_2" localSheetId="7">'[2]#REF!'!#REF!</definedName>
    <definedName name="_?_2" localSheetId="5">'[2]#REF!'!#REF!</definedName>
    <definedName name="_?_2">'[2]#REF!'!#REF!</definedName>
    <definedName name="_?_3" localSheetId="4">'[2]#REF!'!#REF!</definedName>
    <definedName name="_?_3" localSheetId="2">'[2]#REF!'!#REF!</definedName>
    <definedName name="_?_3" localSheetId="0">#REF!</definedName>
    <definedName name="_?_3" localSheetId="6">'[2]#REF!'!#REF!</definedName>
    <definedName name="_?_3" localSheetId="7">'[2]#REF!'!#REF!</definedName>
    <definedName name="_?_3" localSheetId="5">'[2]#REF!'!#REF!</definedName>
    <definedName name="_?_3">'[2]#REF!'!#REF!</definedName>
    <definedName name="_?_4" localSheetId="4">'[2]#REF!'!#REF!</definedName>
    <definedName name="_?_4" localSheetId="2">'[2]#REF!'!#REF!</definedName>
    <definedName name="_?_4" localSheetId="0">#REF!</definedName>
    <definedName name="_?_4" localSheetId="6">'[2]#REF!'!#REF!</definedName>
    <definedName name="_?_4" localSheetId="7">'[2]#REF!'!#REF!</definedName>
    <definedName name="_?_4" localSheetId="5">'[2]#REF!'!#REF!</definedName>
    <definedName name="_?_4">'[2]#REF!'!#REF!</definedName>
    <definedName name="_?_5" localSheetId="4">'[2]#REF!'!#REF!</definedName>
    <definedName name="_?_5" localSheetId="2">'[2]#REF!'!#REF!</definedName>
    <definedName name="_?_5" localSheetId="0">#REF!</definedName>
    <definedName name="_?_5" localSheetId="6">'[2]#REF!'!#REF!</definedName>
    <definedName name="_?_5" localSheetId="7">'[2]#REF!'!#REF!</definedName>
    <definedName name="_?_5" localSheetId="5">'[2]#REF!'!#REF!</definedName>
    <definedName name="_?_5">'[2]#REF!'!#REF!</definedName>
    <definedName name="_?_6" localSheetId="4">'[2]#REF!'!#REF!</definedName>
    <definedName name="_?_6" localSheetId="2">'[2]#REF!'!#REF!</definedName>
    <definedName name="_?_6" localSheetId="0">#REF!</definedName>
    <definedName name="_?_6" localSheetId="6">'[2]#REF!'!#REF!</definedName>
    <definedName name="_?_6" localSheetId="7">'[2]#REF!'!#REF!</definedName>
    <definedName name="_?_6" localSheetId="5">'[2]#REF!'!#REF!</definedName>
    <definedName name="_?_6">'[2]#REF!'!#REF!</definedName>
    <definedName name="_?_7" localSheetId="4">'[2]#REF!'!#REF!</definedName>
    <definedName name="_?_7" localSheetId="2">'[2]#REF!'!#REF!</definedName>
    <definedName name="_?_7" localSheetId="0">#REF!</definedName>
    <definedName name="_?_7" localSheetId="6">'[2]#REF!'!#REF!</definedName>
    <definedName name="_?_7" localSheetId="7">'[2]#REF!'!#REF!</definedName>
    <definedName name="_?_7" localSheetId="5">'[2]#REF!'!#REF!</definedName>
    <definedName name="_?_7">'[2]#REF!'!#REF!</definedName>
    <definedName name="_?_8" localSheetId="4">'[2]#REF!'!#REF!</definedName>
    <definedName name="_?_8" localSheetId="2">'[2]#REF!'!#REF!</definedName>
    <definedName name="_?_8" localSheetId="0">#REF!</definedName>
    <definedName name="_?_8" localSheetId="6">'[2]#REF!'!#REF!</definedName>
    <definedName name="_?_8" localSheetId="7">'[2]#REF!'!#REF!</definedName>
    <definedName name="_?_8" localSheetId="5">'[2]#REF!'!#REF!</definedName>
    <definedName name="_?_8">'[2]#REF!'!#REF!</definedName>
    <definedName name="___EMS1">'[3]Diff_Data _2_'!#REF!</definedName>
    <definedName name="___k11">'[3]Diff_Data _2_'!#REF!</definedName>
    <definedName name="__1" localSheetId="4">[1]_______!#REF!</definedName>
    <definedName name="__1" localSheetId="2">[1]_______!#REF!</definedName>
    <definedName name="__1" localSheetId="0">[1]_______!#REF!</definedName>
    <definedName name="__1" localSheetId="6">[1]_______!#REF!</definedName>
    <definedName name="__1" localSheetId="7">[1]_______!#REF!</definedName>
    <definedName name="__1" localSheetId="5">[1]_______!#REF!</definedName>
    <definedName name="__1">[1]_______!#REF!</definedName>
    <definedName name="__1_??" localSheetId="4">#REF!</definedName>
    <definedName name="__1_??" localSheetId="2">#REF!</definedName>
    <definedName name="__1_??" localSheetId="7">#REF!</definedName>
    <definedName name="__1_??" localSheetId="5">#REF!</definedName>
    <definedName name="__2" localSheetId="4">[1]_______!#REF!</definedName>
    <definedName name="__2" localSheetId="2">[1]_______!#REF!</definedName>
    <definedName name="__2" localSheetId="0">[1]_______!#REF!</definedName>
    <definedName name="__2" localSheetId="6">[1]_______!#REF!</definedName>
    <definedName name="__2" localSheetId="7">[1]_______!#REF!</definedName>
    <definedName name="__2" localSheetId="5">[1]_______!#REF!</definedName>
    <definedName name="__2">[1]_______!#REF!</definedName>
    <definedName name="__2_??" localSheetId="6">#REF!</definedName>
    <definedName name="__3" localSheetId="4">[1]_______!#REF!</definedName>
    <definedName name="__3" localSheetId="2">[1]_______!#REF!</definedName>
    <definedName name="__3" localSheetId="0">[1]_______!#REF!</definedName>
    <definedName name="__3" localSheetId="6">[1]_______!#REF!</definedName>
    <definedName name="__3" localSheetId="7">[1]_______!#REF!</definedName>
    <definedName name="__3" localSheetId="5">[1]_______!#REF!</definedName>
    <definedName name="__3">[1]_______!#REF!</definedName>
    <definedName name="__4_????" localSheetId="4">#REF!</definedName>
    <definedName name="__4_????" localSheetId="2">#REF!</definedName>
    <definedName name="__4_????" localSheetId="7">#REF!</definedName>
    <definedName name="__4_????" localSheetId="5">#REF!</definedName>
    <definedName name="__EMS1" localSheetId="4">'[3]Diff_Data _2_'!#REF!</definedName>
    <definedName name="__EMS1" localSheetId="2">'[3]Diff_Data _2_'!#REF!</definedName>
    <definedName name="__EMS1" localSheetId="6">'[3]Diff_Data _2_'!#REF!</definedName>
    <definedName name="__EMS1" localSheetId="7">'[3]Diff_Data _2_'!#REF!</definedName>
    <definedName name="__EMS1" localSheetId="5">'[3]Diff_Data _2_'!#REF!</definedName>
    <definedName name="__EMS1">'[3]Diff_Data _2_'!#REF!</definedName>
    <definedName name="__k11" localSheetId="4">'[3]Diff_Data _2_'!#REF!</definedName>
    <definedName name="__k11" localSheetId="2">'[3]Diff_Data _2_'!#REF!</definedName>
    <definedName name="__k11" localSheetId="6">'[3]Diff_Data _2_'!#REF!</definedName>
    <definedName name="__k11" localSheetId="7">'[3]Diff_Data _2_'!#REF!</definedName>
    <definedName name="__k11" localSheetId="5">'[3]Diff_Data _2_'!#REF!</definedName>
    <definedName name="__k11">'[3]Diff_Data _2_'!#REF!</definedName>
    <definedName name="__YE55">'[4]#REF!'!$F$40</definedName>
    <definedName name="_1_??" localSheetId="4">#REF!</definedName>
    <definedName name="_1_??" localSheetId="2">#REF!</definedName>
    <definedName name="_1_??" localSheetId="6">#REF!</definedName>
    <definedName name="_1_??" localSheetId="7">#REF!</definedName>
    <definedName name="_1_??" localSheetId="5">#REF!</definedName>
    <definedName name="_1_??">#REF!</definedName>
    <definedName name="_10_???_1" localSheetId="4">#REF!</definedName>
    <definedName name="_10_???_1" localSheetId="2">#REF!</definedName>
    <definedName name="_10_???_1" localSheetId="7">#REF!</definedName>
    <definedName name="_10_???_1" localSheetId="5">#REF!</definedName>
    <definedName name="_100A799栄電子_1" localSheetId="4">#REF!</definedName>
    <definedName name="_100A799栄電子_1" localSheetId="2">#REF!</definedName>
    <definedName name="_100A799栄電子_1" localSheetId="7">#REF!</definedName>
    <definedName name="_100A799栄電子_1" localSheetId="5">#REF!</definedName>
    <definedName name="_101A799栄電子_1" localSheetId="6">#REF!</definedName>
    <definedName name="_102A799栄電子_1" localSheetId="4">#REF!</definedName>
    <definedName name="_102A799栄電子_1" localSheetId="2">#REF!</definedName>
    <definedName name="_102A799栄電子_1" localSheetId="7">#REF!</definedName>
    <definedName name="_102A799栄電子_1" localSheetId="5">#REF!</definedName>
    <definedName name="_102A799栄電子_1">#REF!</definedName>
    <definedName name="_103A79ﾘｮｰｻﾝ_1" localSheetId="4">#REF!</definedName>
    <definedName name="_103A79ﾘｮｰｻﾝ_1" localSheetId="2">#REF!</definedName>
    <definedName name="_103A79ﾘｮｰｻﾝ_1" localSheetId="7">#REF!</definedName>
    <definedName name="_103A79ﾘｮｰｻﾝ_1" localSheetId="5">#REF!</definedName>
    <definedName name="_104A79ﾘｮｰｻﾝ_1" localSheetId="6">#REF!</definedName>
    <definedName name="_105A79ﾘｮｰｻﾝ_1" localSheetId="4">#REF!</definedName>
    <definedName name="_105A79ﾘｮｰｻﾝ_1" localSheetId="2">#REF!</definedName>
    <definedName name="_105A79ﾘｮｰｻﾝ_1" localSheetId="7">#REF!</definedName>
    <definedName name="_105A79ﾘｮｰｻﾝ_1" localSheetId="5">#REF!</definedName>
    <definedName name="_105A79ﾘｮｰｻﾝ_1">#REF!</definedName>
    <definedName name="_106A871????_1" localSheetId="4">#REF!</definedName>
    <definedName name="_106A871????_1" localSheetId="2">#REF!</definedName>
    <definedName name="_106A871????_1" localSheetId="7">#REF!</definedName>
    <definedName name="_106A871????_1" localSheetId="5">#REF!</definedName>
    <definedName name="_107A871????_1" localSheetId="6">#REF!</definedName>
    <definedName name="_108A871????_1" localSheetId="4">#REF!</definedName>
    <definedName name="_108A871????_1" localSheetId="2">#REF!</definedName>
    <definedName name="_108A871????_1" localSheetId="7">#REF!</definedName>
    <definedName name="_108A871????_1" localSheetId="5">#REF!</definedName>
    <definedName name="_108A871????_1">#REF!</definedName>
    <definedName name="_109A871ﾏｸﾆｶ_1" localSheetId="4">#REF!</definedName>
    <definedName name="_109A871ﾏｸﾆｶ_1" localSheetId="2">#REF!</definedName>
    <definedName name="_109A871ﾏｸﾆｶ_1" localSheetId="7">#REF!</definedName>
    <definedName name="_109A871ﾏｸﾆｶ_1" localSheetId="5">#REF!</definedName>
    <definedName name="_11_???_1" localSheetId="6">#REF!</definedName>
    <definedName name="_110A871ﾏｸﾆｶ_1" localSheetId="6">#REF!</definedName>
    <definedName name="_111A871ﾏｸﾆｶ_1" localSheetId="4">#REF!</definedName>
    <definedName name="_111A871ﾏｸﾆｶ_1" localSheetId="2">#REF!</definedName>
    <definedName name="_111A871ﾏｸﾆｶ_1" localSheetId="7">#REF!</definedName>
    <definedName name="_111A871ﾏｸﾆｶ_1" localSheetId="5">#REF!</definedName>
    <definedName name="_111A871ﾏｸﾆｶ_1">#REF!</definedName>
    <definedName name="_112A907TDK_1" localSheetId="4">#REF!</definedName>
    <definedName name="_112A907TDK_1" localSheetId="2">#REF!</definedName>
    <definedName name="_112A907TDK_1" localSheetId="7">#REF!</definedName>
    <definedName name="_112A907TDK_1" localSheetId="5">#REF!</definedName>
    <definedName name="_113A907TDK_1" localSheetId="6">#REF!</definedName>
    <definedName name="_114A907TDK_1" localSheetId="4">#REF!</definedName>
    <definedName name="_114A907TDK_1" localSheetId="2">#REF!</definedName>
    <definedName name="_114A907TDK_1" localSheetId="7">#REF!</definedName>
    <definedName name="_114A907TDK_1" localSheetId="5">#REF!</definedName>
    <definedName name="_114A907TDK_1">#REF!</definedName>
    <definedName name="_115A943Q???_1" localSheetId="4">#REF!</definedName>
    <definedName name="_115A943Q???_1" localSheetId="2">#REF!</definedName>
    <definedName name="_115A943Q???_1" localSheetId="7">#REF!</definedName>
    <definedName name="_115A943Q???_1" localSheetId="5">#REF!</definedName>
    <definedName name="_116A943Q???_1" localSheetId="6">#REF!</definedName>
    <definedName name="_117A943Q???_1" localSheetId="4">#REF!</definedName>
    <definedName name="_117A943Q???_1" localSheetId="2">#REF!</definedName>
    <definedName name="_117A943Q???_1" localSheetId="7">#REF!</definedName>
    <definedName name="_117A943Q???_1" localSheetId="5">#REF!</definedName>
    <definedName name="_117A943Q???_1">#REF!</definedName>
    <definedName name="_118A943Qﾛｼﾞ_1" localSheetId="4">#REF!</definedName>
    <definedName name="_118A943Qﾛｼﾞ_1" localSheetId="2">#REF!</definedName>
    <definedName name="_118A943Qﾛｼﾞ_1" localSheetId="7">#REF!</definedName>
    <definedName name="_118A943Qﾛｼﾞ_1" localSheetId="5">#REF!</definedName>
    <definedName name="_119A943Qﾛｼﾞ_1" localSheetId="6">#REF!</definedName>
    <definedName name="_12_???_1" localSheetId="4">#REF!</definedName>
    <definedName name="_12_???_1" localSheetId="2">#REF!</definedName>
    <definedName name="_12_???_1" localSheetId="7">#REF!</definedName>
    <definedName name="_12_???_1" localSheetId="5">#REF!</definedName>
    <definedName name="_12_???_1">#REF!</definedName>
    <definedName name="_120A943Qﾛｼﾞ_1" localSheetId="4">#REF!</definedName>
    <definedName name="_120A943Qﾛｼﾞ_1" localSheetId="2">#REF!</definedName>
    <definedName name="_120A943Qﾛｼﾞ_1" localSheetId="7">#REF!</definedName>
    <definedName name="_120A943Qﾛｼﾞ_1" localSheetId="5">#REF!</definedName>
    <definedName name="_120A943Qﾛｼﾞ_1">#REF!</definedName>
    <definedName name="_121A943TI_1" localSheetId="4">#REF!</definedName>
    <definedName name="_121A943TI_1" localSheetId="2">#REF!</definedName>
    <definedName name="_121A943TI_1" localSheetId="7">#REF!</definedName>
    <definedName name="_121A943TI_1" localSheetId="5">#REF!</definedName>
    <definedName name="_122A943TI_1" localSheetId="6">#REF!</definedName>
    <definedName name="_123A943TI_1" localSheetId="4">#REF!</definedName>
    <definedName name="_123A943TI_1" localSheetId="2">#REF!</definedName>
    <definedName name="_123A943TI_1" localSheetId="7">#REF!</definedName>
    <definedName name="_123A943TI_1" localSheetId="5">#REF!</definedName>
    <definedName name="_123A943TI_1">#REF!</definedName>
    <definedName name="_124A979MOT_1" localSheetId="4">#REF!</definedName>
    <definedName name="_124A979MOT_1" localSheetId="2">#REF!</definedName>
    <definedName name="_124A979MOT_1" localSheetId="7">#REF!</definedName>
    <definedName name="_124A979MOT_1" localSheetId="5">#REF!</definedName>
    <definedName name="_125A979MOT_1" localSheetId="6">#REF!</definedName>
    <definedName name="_126A979MOT_1" localSheetId="4">#REF!</definedName>
    <definedName name="_126A979MOT_1" localSheetId="2">#REF!</definedName>
    <definedName name="_126A979MOT_1" localSheetId="7">#REF!</definedName>
    <definedName name="_126A979MOT_1" localSheetId="5">#REF!</definedName>
    <definedName name="_126A979MOT_1">#REF!</definedName>
    <definedName name="_127aaa_1" localSheetId="4">[5]DEFINITION1!#REF!</definedName>
    <definedName name="_127aaa_1" localSheetId="2">[5]DEFINITION1!#REF!</definedName>
    <definedName name="_127aaa_1" localSheetId="7">[5]DEFINITION1!#REF!</definedName>
    <definedName name="_127aaa_1" localSheetId="5">[5]DEFINITION1!#REF!</definedName>
    <definedName name="_128aaa_1" localSheetId="6">[5]DEFINITION1!#REF!</definedName>
    <definedName name="_129aaa_1" localSheetId="4">[5]DEFINITION1!#REF!</definedName>
    <definedName name="_129aaa_1" localSheetId="2">[5]DEFINITION1!#REF!</definedName>
    <definedName name="_129aaa_1" localSheetId="7">[5]DEFINITION1!#REF!</definedName>
    <definedName name="_129aaa_1" localSheetId="5">[5]DEFINITION1!#REF!</definedName>
    <definedName name="_129aaa_1">[5]DEFINITION1!#REF!</definedName>
    <definedName name="_13_Fill_1" localSheetId="4">#REF!</definedName>
    <definedName name="_13_Fill_1" localSheetId="2">#REF!</definedName>
    <definedName name="_13_Fill_1" localSheetId="7">#REF!</definedName>
    <definedName name="_13_Fill_1" localSheetId="5">#REF!</definedName>
    <definedName name="_130aaaaa_1" localSheetId="4">#REF!</definedName>
    <definedName name="_130aaaaa_1" localSheetId="2">#REF!</definedName>
    <definedName name="_130aaaaa_1" localSheetId="7">#REF!</definedName>
    <definedName name="_130aaaaa_1" localSheetId="5">#REF!</definedName>
    <definedName name="_131aaaaa_1" localSheetId="6">#REF!</definedName>
    <definedName name="_132aaaaa_1" localSheetId="4">#REF!</definedName>
    <definedName name="_132aaaaa_1" localSheetId="2">#REF!</definedName>
    <definedName name="_132aaaaa_1" localSheetId="7">#REF!</definedName>
    <definedName name="_132aaaaa_1" localSheetId="5">#REF!</definedName>
    <definedName name="_132aaaaa_1">#REF!</definedName>
    <definedName name="_133AC_1" localSheetId="4">'[3]Diff_Data _2_'!#REF!</definedName>
    <definedName name="_133AC_1" localSheetId="2">'[3]Diff_Data _2_'!#REF!</definedName>
    <definedName name="_133AC_1" localSheetId="7">'[3]Diff_Data _2_'!#REF!</definedName>
    <definedName name="_133AC_1" localSheetId="5">'[3]Diff_Data _2_'!#REF!</definedName>
    <definedName name="_134AC_1" localSheetId="6">'[3]Diff_Data _2_'!#REF!</definedName>
    <definedName name="_135AC_1" localSheetId="4">'[3]Diff_Data _2_'!#REF!</definedName>
    <definedName name="_135AC_1" localSheetId="2">'[3]Diff_Data _2_'!#REF!</definedName>
    <definedName name="_135AC_1" localSheetId="7">'[3]Diff_Data _2_'!#REF!</definedName>
    <definedName name="_135AC_1" localSheetId="5">'[3]Diff_Data _2_'!#REF!</definedName>
    <definedName name="_135AC_1">'[3]Diff_Data _2_'!#REF!</definedName>
    <definedName name="_136aDEHASKDJN_1" localSheetId="4">'[6]Diff_Data _2_'!#REF!</definedName>
    <definedName name="_136aDEHASKDJN_1" localSheetId="2">'[6]Diff_Data _2_'!#REF!</definedName>
    <definedName name="_136aDEHASKDJN_1" localSheetId="7">'[6]Diff_Data _2_'!#REF!</definedName>
    <definedName name="_136aDEHASKDJN_1" localSheetId="5">'[6]Diff_Data _2_'!#REF!</definedName>
    <definedName name="_137aDEHASKDJN_1" localSheetId="6">'[6]Diff_Data _2_'!#REF!</definedName>
    <definedName name="_138aDEHASKDJN_1" localSheetId="4">'[6]Diff_Data _2_'!#REF!</definedName>
    <definedName name="_138aDEHASKDJN_1" localSheetId="2">'[6]Diff_Data _2_'!#REF!</definedName>
    <definedName name="_138aDEHASKDJN_1" localSheetId="7">'[6]Diff_Data _2_'!#REF!</definedName>
    <definedName name="_138aDEHASKDJN_1" localSheetId="5">'[6]Diff_Data _2_'!#REF!</definedName>
    <definedName name="_138aDEHASKDJN_1">'[6]Diff_Data _2_'!#REF!</definedName>
    <definedName name="_139After_ModelDwg_1" localSheetId="4">'[3]Diff_Data _2_'!#REF!</definedName>
    <definedName name="_139After_ModelDwg_1" localSheetId="2">'[3]Diff_Data _2_'!#REF!</definedName>
    <definedName name="_139After_ModelDwg_1" localSheetId="7">'[3]Diff_Data _2_'!#REF!</definedName>
    <definedName name="_139After_ModelDwg_1" localSheetId="5">'[3]Diff_Data _2_'!#REF!</definedName>
    <definedName name="_14_Fill_1" localSheetId="6">#REF!</definedName>
    <definedName name="_140After_ModelDwg_1" localSheetId="6">'[3]Diff_Data _2_'!#REF!</definedName>
    <definedName name="_141After_ModelDwg_1" localSheetId="4">'[3]Diff_Data _2_'!#REF!</definedName>
    <definedName name="_141After_ModelDwg_1" localSheetId="2">'[3]Diff_Data _2_'!#REF!</definedName>
    <definedName name="_141After_ModelDwg_1" localSheetId="7">'[3]Diff_Data _2_'!#REF!</definedName>
    <definedName name="_141After_ModelDwg_1" localSheetId="5">'[3]Diff_Data _2_'!#REF!</definedName>
    <definedName name="_141After_ModelDwg_1">'[3]Diff_Data _2_'!#REF!</definedName>
    <definedName name="_142After_ModelName_1" localSheetId="4">'[3]Diff_Data _2_'!#REF!</definedName>
    <definedName name="_142After_ModelName_1" localSheetId="2">'[3]Diff_Data _2_'!#REF!</definedName>
    <definedName name="_142After_ModelName_1" localSheetId="7">'[3]Diff_Data _2_'!#REF!</definedName>
    <definedName name="_142After_ModelName_1" localSheetId="5">'[3]Diff_Data _2_'!#REF!</definedName>
    <definedName name="_143After_ModelName_1" localSheetId="6">'[3]Diff_Data _2_'!#REF!</definedName>
    <definedName name="_144After_ModelName_1" localSheetId="4">'[3]Diff_Data _2_'!#REF!</definedName>
    <definedName name="_144After_ModelName_1" localSheetId="2">'[3]Diff_Data _2_'!#REF!</definedName>
    <definedName name="_144After_ModelName_1" localSheetId="7">'[3]Diff_Data _2_'!#REF!</definedName>
    <definedName name="_144After_ModelName_1" localSheetId="5">'[3]Diff_Data _2_'!#REF!</definedName>
    <definedName name="_144After_ModelName_1">'[3]Diff_Data _2_'!#REF!</definedName>
    <definedName name="_145AI_1" localSheetId="4">'[7]RULE SA05-09'!#REF!</definedName>
    <definedName name="_145AI_1" localSheetId="2">'[7]RULE SA05-09'!#REF!</definedName>
    <definedName name="_145AI_1" localSheetId="7">'[7]RULE SA05-09'!#REF!</definedName>
    <definedName name="_145AI_1" localSheetId="5">'[7]RULE SA05-09'!#REF!</definedName>
    <definedName name="_146AI_1" localSheetId="6">'[7]RULE SA05-09'!#REF!</definedName>
    <definedName name="_147AI_1" localSheetId="4">'[7]RULE SA05-09'!#REF!</definedName>
    <definedName name="_147AI_1" localSheetId="2">'[7]RULE SA05-09'!#REF!</definedName>
    <definedName name="_147AI_1" localSheetId="7">'[7]RULE SA05-09'!#REF!</definedName>
    <definedName name="_147AI_1" localSheetId="5">'[7]RULE SA05-09'!#REF!</definedName>
    <definedName name="_147AI_1">'[7]RULE SA05-09'!#REF!</definedName>
    <definedName name="_148anything_1" localSheetId="4">#REF!</definedName>
    <definedName name="_148anything_1" localSheetId="2">#REF!</definedName>
    <definedName name="_148anything_1" localSheetId="7">#REF!</definedName>
    <definedName name="_148anything_1" localSheetId="5">#REF!</definedName>
    <definedName name="_149anything_1" localSheetId="6">#REF!</definedName>
    <definedName name="_15_Fill_1" localSheetId="4">#REF!</definedName>
    <definedName name="_15_Fill_1" localSheetId="2">#REF!</definedName>
    <definedName name="_15_Fill_1" localSheetId="7">#REF!</definedName>
    <definedName name="_15_Fill_1" localSheetId="5">#REF!</definedName>
    <definedName name="_15_Fill_1">#REF!</definedName>
    <definedName name="_150anything_1" localSheetId="4">#REF!</definedName>
    <definedName name="_150anything_1" localSheetId="2">#REF!</definedName>
    <definedName name="_150anything_1" localSheetId="7">#REF!</definedName>
    <definedName name="_150anything_1" localSheetId="5">#REF!</definedName>
    <definedName name="_150anything_1">#REF!</definedName>
    <definedName name="_151asxxx_1" localSheetId="4">#REF!</definedName>
    <definedName name="_151asxxx_1" localSheetId="2">#REF!</definedName>
    <definedName name="_151asxxx_1" localSheetId="7">#REF!</definedName>
    <definedName name="_151asxxx_1" localSheetId="5">#REF!</definedName>
    <definedName name="_152asxxx_1" localSheetId="6">#REF!</definedName>
    <definedName name="_153asxxx_1" localSheetId="4">#REF!</definedName>
    <definedName name="_153asxxx_1" localSheetId="2">#REF!</definedName>
    <definedName name="_153asxxx_1" localSheetId="7">#REF!</definedName>
    <definedName name="_153asxxx_1" localSheetId="5">#REF!</definedName>
    <definedName name="_153asxxx_1">#REF!</definedName>
    <definedName name="_154axasas_1" localSheetId="4">#REF!</definedName>
    <definedName name="_154axasas_1" localSheetId="2">#REF!</definedName>
    <definedName name="_154axasas_1" localSheetId="7">#REF!</definedName>
    <definedName name="_154axasas_1" localSheetId="5">#REF!</definedName>
    <definedName name="_155axasas_1" localSheetId="6">#REF!</definedName>
    <definedName name="_156axasas_1" localSheetId="4">#REF!</definedName>
    <definedName name="_156axasas_1" localSheetId="2">#REF!</definedName>
    <definedName name="_156axasas_1" localSheetId="7">#REF!</definedName>
    <definedName name="_156axasas_1" localSheetId="5">#REF!</definedName>
    <definedName name="_156axasas_1">#REF!</definedName>
    <definedName name="_157b_1" localSheetId="4">'[3]Diff_Data _2_'!#REF!</definedName>
    <definedName name="_157b_1" localSheetId="2">'[3]Diff_Data _2_'!#REF!</definedName>
    <definedName name="_157b_1" localSheetId="7">'[3]Diff_Data _2_'!#REF!</definedName>
    <definedName name="_157b_1" localSheetId="5">'[3]Diff_Data _2_'!#REF!</definedName>
    <definedName name="_158b_1" localSheetId="6">'[3]Diff_Data _2_'!#REF!</definedName>
    <definedName name="_159b_1" localSheetId="4">'[3]Diff_Data _2_'!#REF!</definedName>
    <definedName name="_159b_1" localSheetId="2">'[3]Diff_Data _2_'!#REF!</definedName>
    <definedName name="_159b_1" localSheetId="7">'[3]Diff_Data _2_'!#REF!</definedName>
    <definedName name="_159b_1" localSheetId="5">'[3]Diff_Data _2_'!#REF!</definedName>
    <definedName name="_159b_1">'[3]Diff_Data _2_'!#REF!</definedName>
    <definedName name="_160Before_ModelDwg_1" localSheetId="4">'[3]Diff_Data _2_'!#REF!</definedName>
    <definedName name="_160Before_ModelDwg_1" localSheetId="2">'[3]Diff_Data _2_'!#REF!</definedName>
    <definedName name="_160Before_ModelDwg_1" localSheetId="7">'[3]Diff_Data _2_'!#REF!</definedName>
    <definedName name="_160Before_ModelDwg_1" localSheetId="5">'[3]Diff_Data _2_'!#REF!</definedName>
    <definedName name="_161Before_ModelDwg_1" localSheetId="6">'[3]Diff_Data _2_'!#REF!</definedName>
    <definedName name="_162Before_ModelDwg_1" localSheetId="4">'[3]Diff_Data _2_'!#REF!</definedName>
    <definedName name="_162Before_ModelDwg_1" localSheetId="2">'[3]Diff_Data _2_'!#REF!</definedName>
    <definedName name="_162Before_ModelDwg_1" localSheetId="7">'[3]Diff_Data _2_'!#REF!</definedName>
    <definedName name="_162Before_ModelDwg_1" localSheetId="5">'[3]Diff_Data _2_'!#REF!</definedName>
    <definedName name="_162Before_ModelDwg_1">'[3]Diff_Data _2_'!#REF!</definedName>
    <definedName name="_163Before_ModelName_1" localSheetId="4">'[3]Diff_Data _2_'!#REF!</definedName>
    <definedName name="_163Before_ModelName_1" localSheetId="2">'[3]Diff_Data _2_'!#REF!</definedName>
    <definedName name="_163Before_ModelName_1" localSheetId="7">'[3]Diff_Data _2_'!#REF!</definedName>
    <definedName name="_163Before_ModelName_1" localSheetId="5">'[3]Diff_Data _2_'!#REF!</definedName>
    <definedName name="_164Before_ModelName_1" localSheetId="6">'[3]Diff_Data _2_'!#REF!</definedName>
    <definedName name="_165Before_ModelName_1" localSheetId="4">'[3]Diff_Data _2_'!#REF!</definedName>
    <definedName name="_165Before_ModelName_1" localSheetId="2">'[3]Diff_Data _2_'!#REF!</definedName>
    <definedName name="_165Before_ModelName_1" localSheetId="7">'[3]Diff_Data _2_'!#REF!</definedName>
    <definedName name="_165Before_ModelName_1" localSheetId="5">'[3]Diff_Data _2_'!#REF!</definedName>
    <definedName name="_165Before_ModelName_1">'[3]Diff_Data _2_'!#REF!</definedName>
    <definedName name="_166BVTBN_1" localSheetId="4">#REF!</definedName>
    <definedName name="_166BVTBN_1" localSheetId="2">#REF!</definedName>
    <definedName name="_166BVTBN_1" localSheetId="7">#REF!</definedName>
    <definedName name="_166BVTBN_1" localSheetId="5">#REF!</definedName>
    <definedName name="_167BVTBN_1" localSheetId="6">#REF!</definedName>
    <definedName name="_168BVTBN_1" localSheetId="4">#REF!</definedName>
    <definedName name="_168BVTBN_1" localSheetId="2">#REF!</definedName>
    <definedName name="_168BVTBN_1" localSheetId="7">#REF!</definedName>
    <definedName name="_168BVTBN_1" localSheetId="5">#REF!</definedName>
    <definedName name="_168BVTBN_1">#REF!</definedName>
    <definedName name="_169D5506515_001_1" localSheetId="4">#REF!</definedName>
    <definedName name="_169D5506515_001_1" localSheetId="2">#REF!</definedName>
    <definedName name="_169D5506515_001_1" localSheetId="7">#REF!</definedName>
    <definedName name="_169D5506515_001_1" localSheetId="5">#REF!</definedName>
    <definedName name="_16a_1" localSheetId="4">'[3]Diff_Data _2_'!#REF!</definedName>
    <definedName name="_16a_1" localSheetId="2">'[3]Diff_Data _2_'!#REF!</definedName>
    <definedName name="_16a_1" localSheetId="7">'[3]Diff_Data _2_'!#REF!</definedName>
    <definedName name="_16a_1" localSheetId="5">'[3]Diff_Data _2_'!#REF!</definedName>
    <definedName name="_170D5506515_001_1" localSheetId="6">#REF!</definedName>
    <definedName name="_171D5506515_001_1" localSheetId="4">#REF!</definedName>
    <definedName name="_171D5506515_001_1" localSheetId="2">#REF!</definedName>
    <definedName name="_171D5506515_001_1" localSheetId="7">#REF!</definedName>
    <definedName name="_171D5506515_001_1" localSheetId="5">#REF!</definedName>
    <definedName name="_171D5506515_001_1">#REF!</definedName>
    <definedName name="_172D5511617_002_1" localSheetId="4">#REF!</definedName>
    <definedName name="_172D5511617_002_1" localSheetId="2">#REF!</definedName>
    <definedName name="_172D5511617_002_1" localSheetId="7">#REF!</definedName>
    <definedName name="_172D5511617_002_1" localSheetId="5">#REF!</definedName>
    <definedName name="_173D5511617_002_1" localSheetId="6">#REF!</definedName>
    <definedName name="_174D5511617_002_1" localSheetId="4">#REF!</definedName>
    <definedName name="_174D5511617_002_1" localSheetId="2">#REF!</definedName>
    <definedName name="_174D5511617_002_1" localSheetId="7">#REF!</definedName>
    <definedName name="_174D5511617_002_1" localSheetId="5">#REF!</definedName>
    <definedName name="_174D5511617_002_1">#REF!</definedName>
    <definedName name="_175data_1_1_1" localSheetId="4">#REF!</definedName>
    <definedName name="_175data_1_1_1" localSheetId="2">#REF!</definedName>
    <definedName name="_175data_1_1_1" localSheetId="7">#REF!</definedName>
    <definedName name="_175data_1_1_1" localSheetId="5">#REF!</definedName>
    <definedName name="_175data_1_1_1">#REF!</definedName>
    <definedName name="_176data_1_1_1_1" localSheetId="4">#REF!</definedName>
    <definedName name="_176data_1_1_1_1" localSheetId="2">#REF!</definedName>
    <definedName name="_176data_1_1_1_1" localSheetId="7">#REF!</definedName>
    <definedName name="_176data_1_1_1_1" localSheetId="5">#REF!</definedName>
    <definedName name="_176data_1_1_1_1">#REF!</definedName>
    <definedName name="_177data_1_1_1_1_1_1_1_1_1" localSheetId="4">#REF!</definedName>
    <definedName name="_177data_1_1_1_1_1_1_1_1_1" localSheetId="2">#REF!</definedName>
    <definedName name="_177data_1_1_1_1_1_1_1_1_1" localSheetId="7">#REF!</definedName>
    <definedName name="_177data_1_1_1_1_1_1_1_1_1" localSheetId="5">#REF!</definedName>
    <definedName name="_177data_1_1_1_1_1_1_1_1_1">#REF!</definedName>
    <definedName name="_178data_1_1_1_1_1_1_1_1_1_1" localSheetId="4">#REF!</definedName>
    <definedName name="_178data_1_1_1_1_1_1_1_1_1_1" localSheetId="2">#REF!</definedName>
    <definedName name="_178data_1_1_1_1_1_1_1_1_1_1" localSheetId="7">#REF!</definedName>
    <definedName name="_178data_1_1_1_1_1_1_1_1_1_1" localSheetId="5">#REF!</definedName>
    <definedName name="_178data_1_1_1_1_1_1_1_1_1_1">#REF!</definedName>
    <definedName name="_179data_10_1_1_1" localSheetId="4">#REF!</definedName>
    <definedName name="_179data_10_1_1_1" localSheetId="2">#REF!</definedName>
    <definedName name="_179data_10_1_1_1" localSheetId="7">#REF!</definedName>
    <definedName name="_179data_10_1_1_1" localSheetId="5">#REF!</definedName>
    <definedName name="_179data_10_1_1_1">#REF!</definedName>
    <definedName name="_17a_1" localSheetId="6">'[3]Diff_Data _2_'!#REF!</definedName>
    <definedName name="_180data_10_1_1_1_1" localSheetId="4">#REF!</definedName>
    <definedName name="_180data_10_1_1_1_1" localSheetId="2">#REF!</definedName>
    <definedName name="_180data_10_1_1_1_1" localSheetId="7">#REF!</definedName>
    <definedName name="_180data_10_1_1_1_1" localSheetId="5">#REF!</definedName>
    <definedName name="_180data_10_1_1_1_1">#REF!</definedName>
    <definedName name="_181data_10_2_1_1" localSheetId="4">#REF!</definedName>
    <definedName name="_181data_10_2_1_1" localSheetId="2">#REF!</definedName>
    <definedName name="_181data_10_2_1_1" localSheetId="7">#REF!</definedName>
    <definedName name="_181data_10_2_1_1" localSheetId="5">#REF!</definedName>
    <definedName name="_181data_10_2_1_1">#REF!</definedName>
    <definedName name="_182data_11_1_1_1" localSheetId="4">#REF!</definedName>
    <definedName name="_182data_11_1_1_1" localSheetId="2">#REF!</definedName>
    <definedName name="_182data_11_1_1_1" localSheetId="7">#REF!</definedName>
    <definedName name="_182data_11_1_1_1" localSheetId="5">#REF!</definedName>
    <definedName name="_182data_11_1_1_1">#REF!</definedName>
    <definedName name="_183data_11_1_1_1_1" localSheetId="4">#REF!</definedName>
    <definedName name="_183data_11_1_1_1_1" localSheetId="2">#REF!</definedName>
    <definedName name="_183data_11_1_1_1_1" localSheetId="7">#REF!</definedName>
    <definedName name="_183data_11_1_1_1_1" localSheetId="5">#REF!</definedName>
    <definedName name="_183data_11_1_1_1_1">#REF!</definedName>
    <definedName name="_184data_11_2_1_1" localSheetId="4">#REF!</definedName>
    <definedName name="_184data_11_2_1_1" localSheetId="2">#REF!</definedName>
    <definedName name="_184data_11_2_1_1" localSheetId="7">#REF!</definedName>
    <definedName name="_184data_11_2_1_1" localSheetId="5">#REF!</definedName>
    <definedName name="_184data_11_2_1_1">#REF!</definedName>
    <definedName name="_185data_12_1_1_1" localSheetId="4">#REF!</definedName>
    <definedName name="_185data_12_1_1_1" localSheetId="2">#REF!</definedName>
    <definedName name="_185data_12_1_1_1" localSheetId="7">#REF!</definedName>
    <definedName name="_185data_12_1_1_1" localSheetId="5">#REF!</definedName>
    <definedName name="_185data_12_1_1_1">#REF!</definedName>
    <definedName name="_186data_12_1_1_1_1" localSheetId="4">#REF!</definedName>
    <definedName name="_186data_12_1_1_1_1" localSheetId="2">#REF!</definedName>
    <definedName name="_186data_12_1_1_1_1" localSheetId="7">#REF!</definedName>
    <definedName name="_186data_12_1_1_1_1" localSheetId="5">#REF!</definedName>
    <definedName name="_186data_12_1_1_1_1">#REF!</definedName>
    <definedName name="_187data_12_2_1_1" localSheetId="4">#REF!</definedName>
    <definedName name="_187data_12_2_1_1" localSheetId="2">#REF!</definedName>
    <definedName name="_187data_12_2_1_1" localSheetId="7">#REF!</definedName>
    <definedName name="_187data_12_2_1_1" localSheetId="5">#REF!</definedName>
    <definedName name="_187data_12_2_1_1">#REF!</definedName>
    <definedName name="_188data_13_1_1_1" localSheetId="4">#REF!</definedName>
    <definedName name="_188data_13_1_1_1" localSheetId="2">#REF!</definedName>
    <definedName name="_188data_13_1_1_1" localSheetId="7">#REF!</definedName>
    <definedName name="_188data_13_1_1_1" localSheetId="5">#REF!</definedName>
    <definedName name="_188data_13_1_1_1">#REF!</definedName>
    <definedName name="_189data_13_1_1_1_1" localSheetId="4">#REF!</definedName>
    <definedName name="_189data_13_1_1_1_1" localSheetId="2">#REF!</definedName>
    <definedName name="_189data_13_1_1_1_1" localSheetId="7">#REF!</definedName>
    <definedName name="_189data_13_1_1_1_1" localSheetId="5">#REF!</definedName>
    <definedName name="_189data_13_1_1_1_1">#REF!</definedName>
    <definedName name="_18a_1" localSheetId="4">'[3]Diff_Data _2_'!#REF!</definedName>
    <definedName name="_18a_1" localSheetId="2">'[3]Diff_Data _2_'!#REF!</definedName>
    <definedName name="_18a_1" localSheetId="7">'[3]Diff_Data _2_'!#REF!</definedName>
    <definedName name="_18a_1" localSheetId="5">'[3]Diff_Data _2_'!#REF!</definedName>
    <definedName name="_18a_1">'[3]Diff_Data _2_'!#REF!</definedName>
    <definedName name="_190data_13_2_1_1" localSheetId="4">#REF!</definedName>
    <definedName name="_190data_13_2_1_1" localSheetId="2">#REF!</definedName>
    <definedName name="_190data_13_2_1_1" localSheetId="7">#REF!</definedName>
    <definedName name="_190data_13_2_1_1" localSheetId="5">#REF!</definedName>
    <definedName name="_190data_13_2_1_1">#REF!</definedName>
    <definedName name="_191data_14_1_1_1" localSheetId="4">#REF!</definedName>
    <definedName name="_191data_14_1_1_1" localSheetId="2">#REF!</definedName>
    <definedName name="_191data_14_1_1_1" localSheetId="7">#REF!</definedName>
    <definedName name="_191data_14_1_1_1" localSheetId="5">#REF!</definedName>
    <definedName name="_191data_14_1_1_1">#REF!</definedName>
    <definedName name="_192data_14_1_1_1_1" localSheetId="4">#REF!</definedName>
    <definedName name="_192data_14_1_1_1_1" localSheetId="2">#REF!</definedName>
    <definedName name="_192data_14_1_1_1_1" localSheetId="7">#REF!</definedName>
    <definedName name="_192data_14_1_1_1_1" localSheetId="5">#REF!</definedName>
    <definedName name="_192data_14_1_1_1_1">#REF!</definedName>
    <definedName name="_193data_14_2_1_1" localSheetId="4">#REF!</definedName>
    <definedName name="_193data_14_2_1_1" localSheetId="2">#REF!</definedName>
    <definedName name="_193data_14_2_1_1" localSheetId="7">#REF!</definedName>
    <definedName name="_193data_14_2_1_1" localSheetId="5">#REF!</definedName>
    <definedName name="_193data_14_2_1_1">#REF!</definedName>
    <definedName name="_194data_15_1_1_1" localSheetId="4">#REF!</definedName>
    <definedName name="_194data_15_1_1_1" localSheetId="2">#REF!</definedName>
    <definedName name="_194data_15_1_1_1" localSheetId="7">#REF!</definedName>
    <definedName name="_194data_15_1_1_1" localSheetId="5">#REF!</definedName>
    <definedName name="_194data_15_1_1_1">#REF!</definedName>
    <definedName name="_195data_15_1_1_1_1" localSheetId="4">#REF!</definedName>
    <definedName name="_195data_15_1_1_1_1" localSheetId="2">#REF!</definedName>
    <definedName name="_195data_15_1_1_1_1" localSheetId="7">#REF!</definedName>
    <definedName name="_195data_15_1_1_1_1" localSheetId="5">#REF!</definedName>
    <definedName name="_195data_15_1_1_1_1">#REF!</definedName>
    <definedName name="_196data_15_2_1_1" localSheetId="4">#REF!</definedName>
    <definedName name="_196data_15_2_1_1" localSheetId="2">#REF!</definedName>
    <definedName name="_196data_15_2_1_1" localSheetId="7">#REF!</definedName>
    <definedName name="_196data_15_2_1_1" localSheetId="5">#REF!</definedName>
    <definedName name="_196data_15_2_1_1">#REF!</definedName>
    <definedName name="_197data_16_1_1_1" localSheetId="4">#REF!</definedName>
    <definedName name="_197data_16_1_1_1" localSheetId="2">#REF!</definedName>
    <definedName name="_197data_16_1_1_1" localSheetId="7">#REF!</definedName>
    <definedName name="_197data_16_1_1_1" localSheetId="5">#REF!</definedName>
    <definedName name="_197data_16_1_1_1">#REF!</definedName>
    <definedName name="_198data_16_1_1_1_1" localSheetId="4">#REF!</definedName>
    <definedName name="_198data_16_1_1_1_1" localSheetId="2">#REF!</definedName>
    <definedName name="_198data_16_1_1_1_1" localSheetId="7">#REF!</definedName>
    <definedName name="_198data_16_1_1_1_1" localSheetId="5">#REF!</definedName>
    <definedName name="_198data_16_1_1_1_1">#REF!</definedName>
    <definedName name="_199data_16_2_1_1" localSheetId="4">#REF!</definedName>
    <definedName name="_199data_16_2_1_1" localSheetId="2">#REF!</definedName>
    <definedName name="_199data_16_2_1_1" localSheetId="7">#REF!</definedName>
    <definedName name="_199data_16_2_1_1" localSheetId="5">#REF!</definedName>
    <definedName name="_199data_16_2_1_1">#REF!</definedName>
    <definedName name="_19A1015WD_1" localSheetId="4">#REF!</definedName>
    <definedName name="_19A1015WD_1" localSheetId="2">#REF!</definedName>
    <definedName name="_19A1015WD_1" localSheetId="7">#REF!</definedName>
    <definedName name="_19A1015WD_1" localSheetId="5">#REF!</definedName>
    <definedName name="_2_??" localSheetId="4">#REF!</definedName>
    <definedName name="_2_??" localSheetId="2">#REF!</definedName>
    <definedName name="_2_??" localSheetId="6">#REF!</definedName>
    <definedName name="_2_??" localSheetId="7">#REF!</definedName>
    <definedName name="_2_??" localSheetId="5">#REF!</definedName>
    <definedName name="_2_??">#REF!</definedName>
    <definedName name="_200data_17_1_1_1" localSheetId="4">#REF!</definedName>
    <definedName name="_200data_17_1_1_1" localSheetId="2">#REF!</definedName>
    <definedName name="_200data_17_1_1_1" localSheetId="7">#REF!</definedName>
    <definedName name="_200data_17_1_1_1" localSheetId="5">#REF!</definedName>
    <definedName name="_200data_17_1_1_1">#REF!</definedName>
    <definedName name="_201data_17_1_1_1_1" localSheetId="4">#REF!</definedName>
    <definedName name="_201data_17_1_1_1_1" localSheetId="2">#REF!</definedName>
    <definedName name="_201data_17_1_1_1_1" localSheetId="7">#REF!</definedName>
    <definedName name="_201data_17_1_1_1_1" localSheetId="5">#REF!</definedName>
    <definedName name="_201data_17_1_1_1_1">#REF!</definedName>
    <definedName name="_202data_17_2_1_1" localSheetId="4">#REF!</definedName>
    <definedName name="_202data_17_2_1_1" localSheetId="2">#REF!</definedName>
    <definedName name="_202data_17_2_1_1" localSheetId="7">#REF!</definedName>
    <definedName name="_202data_17_2_1_1" localSheetId="5">#REF!</definedName>
    <definedName name="_202data_17_2_1_1">#REF!</definedName>
    <definedName name="_203data_18_1_1_1" localSheetId="4">#REF!</definedName>
    <definedName name="_203data_18_1_1_1" localSheetId="2">#REF!</definedName>
    <definedName name="_203data_18_1_1_1" localSheetId="7">#REF!</definedName>
    <definedName name="_203data_18_1_1_1" localSheetId="5">#REF!</definedName>
    <definedName name="_203data_18_1_1_1">#REF!</definedName>
    <definedName name="_204data_18_1_1_1_1" localSheetId="4">#REF!</definedName>
    <definedName name="_204data_18_1_1_1_1" localSheetId="2">#REF!</definedName>
    <definedName name="_204data_18_1_1_1_1" localSheetId="7">#REF!</definedName>
    <definedName name="_204data_18_1_1_1_1" localSheetId="5">#REF!</definedName>
    <definedName name="_204data_18_1_1_1_1">#REF!</definedName>
    <definedName name="_205data_18_2_1_1" localSheetId="4">#REF!</definedName>
    <definedName name="_205data_18_2_1_1" localSheetId="2">#REF!</definedName>
    <definedName name="_205data_18_2_1_1" localSheetId="7">#REF!</definedName>
    <definedName name="_205data_18_2_1_1" localSheetId="5">#REF!</definedName>
    <definedName name="_205data_18_2_1_1">#REF!</definedName>
    <definedName name="_206data_19_1_1_1" localSheetId="4">#REF!</definedName>
    <definedName name="_206data_19_1_1_1" localSheetId="2">#REF!</definedName>
    <definedName name="_206data_19_1_1_1" localSheetId="7">#REF!</definedName>
    <definedName name="_206data_19_1_1_1" localSheetId="5">#REF!</definedName>
    <definedName name="_206data_19_1_1_1">#REF!</definedName>
    <definedName name="_207data_19_1_1_1_1" localSheetId="4">#REF!</definedName>
    <definedName name="_207data_19_1_1_1_1" localSheetId="2">#REF!</definedName>
    <definedName name="_207data_19_1_1_1_1" localSheetId="7">#REF!</definedName>
    <definedName name="_207data_19_1_1_1_1" localSheetId="5">#REF!</definedName>
    <definedName name="_207data_19_1_1_1_1">#REF!</definedName>
    <definedName name="_208data_19_2_1_1" localSheetId="4">#REF!</definedName>
    <definedName name="_208data_19_2_1_1" localSheetId="2">#REF!</definedName>
    <definedName name="_208data_19_2_1_1" localSheetId="7">#REF!</definedName>
    <definedName name="_208data_19_2_1_1" localSheetId="5">#REF!</definedName>
    <definedName name="_208data_19_2_1_1">#REF!</definedName>
    <definedName name="_209data_2_1_1" localSheetId="4">#REF!</definedName>
    <definedName name="_209data_2_1_1" localSheetId="2">#REF!</definedName>
    <definedName name="_209data_2_1_1" localSheetId="7">#REF!</definedName>
    <definedName name="_209data_2_1_1" localSheetId="5">#REF!</definedName>
    <definedName name="_209data_2_1_1">#REF!</definedName>
    <definedName name="_20A1015WD_1" localSheetId="6">#REF!</definedName>
    <definedName name="_210data_2_1_1_1" localSheetId="4">#REF!</definedName>
    <definedName name="_210data_2_1_1_1" localSheetId="2">#REF!</definedName>
    <definedName name="_210data_2_1_1_1" localSheetId="7">#REF!</definedName>
    <definedName name="_210data_2_1_1_1" localSheetId="5">#REF!</definedName>
    <definedName name="_210data_2_1_1_1">#REF!</definedName>
    <definedName name="_211data_2_1_1_1_1" localSheetId="4">#REF!</definedName>
    <definedName name="_211data_2_1_1_1_1" localSheetId="2">#REF!</definedName>
    <definedName name="_211data_2_1_1_1_1" localSheetId="7">#REF!</definedName>
    <definedName name="_211data_2_1_1_1_1" localSheetId="5">#REF!</definedName>
    <definedName name="_211data_2_1_1_1_1">#REF!</definedName>
    <definedName name="_212data_2_1_1_1_1_1" localSheetId="4">#REF!</definedName>
    <definedName name="_212data_2_1_1_1_1_1" localSheetId="2">#REF!</definedName>
    <definedName name="_212data_2_1_1_1_1_1" localSheetId="7">#REF!</definedName>
    <definedName name="_212data_2_1_1_1_1_1" localSheetId="5">#REF!</definedName>
    <definedName name="_212data_2_1_1_1_1_1">#REF!</definedName>
    <definedName name="_213data_2_1_1_1_1_1_1" localSheetId="4">#REF!</definedName>
    <definedName name="_213data_2_1_1_1_1_1_1" localSheetId="2">#REF!</definedName>
    <definedName name="_213data_2_1_1_1_1_1_1" localSheetId="7">#REF!</definedName>
    <definedName name="_213data_2_1_1_1_1_1_1" localSheetId="5">#REF!</definedName>
    <definedName name="_213data_2_1_1_1_1_1_1">#REF!</definedName>
    <definedName name="_214data_2_1_1_1_1_1_1_1" localSheetId="4">#REF!</definedName>
    <definedName name="_214data_2_1_1_1_1_1_1_1" localSheetId="2">#REF!</definedName>
    <definedName name="_214data_2_1_1_1_1_1_1_1" localSheetId="7">#REF!</definedName>
    <definedName name="_214data_2_1_1_1_1_1_1_1" localSheetId="5">#REF!</definedName>
    <definedName name="_214data_2_1_1_1_1_1_1_1">#REF!</definedName>
    <definedName name="_215data_2_2_1_1" localSheetId="4">#REF!</definedName>
    <definedName name="_215data_2_2_1_1" localSheetId="2">#REF!</definedName>
    <definedName name="_215data_2_2_1_1" localSheetId="7">#REF!</definedName>
    <definedName name="_215data_2_2_1_1" localSheetId="5">#REF!</definedName>
    <definedName name="_215data_2_2_1_1">#REF!</definedName>
    <definedName name="_216data_20_1_1_1" localSheetId="4">#REF!</definedName>
    <definedName name="_216data_20_1_1_1" localSheetId="2">#REF!</definedName>
    <definedName name="_216data_20_1_1_1" localSheetId="7">#REF!</definedName>
    <definedName name="_216data_20_1_1_1" localSheetId="5">#REF!</definedName>
    <definedName name="_216data_20_1_1_1">#REF!</definedName>
    <definedName name="_217data_20_1_1_1_1" localSheetId="4">#REF!</definedName>
    <definedName name="_217data_20_1_1_1_1" localSheetId="2">#REF!</definedName>
    <definedName name="_217data_20_1_1_1_1" localSheetId="7">#REF!</definedName>
    <definedName name="_217data_20_1_1_1_1" localSheetId="5">#REF!</definedName>
    <definedName name="_217data_20_1_1_1_1">#REF!</definedName>
    <definedName name="_218data_20_2_1_1" localSheetId="4">#REF!</definedName>
    <definedName name="_218data_20_2_1_1" localSheetId="2">#REF!</definedName>
    <definedName name="_218data_20_2_1_1" localSheetId="7">#REF!</definedName>
    <definedName name="_218data_20_2_1_1" localSheetId="5">#REF!</definedName>
    <definedName name="_218data_20_2_1_1">#REF!</definedName>
    <definedName name="_219data_21_1_1_1" localSheetId="4">#REF!</definedName>
    <definedName name="_219data_21_1_1_1" localSheetId="2">#REF!</definedName>
    <definedName name="_219data_21_1_1_1" localSheetId="7">#REF!</definedName>
    <definedName name="_219data_21_1_1_1" localSheetId="5">#REF!</definedName>
    <definedName name="_219data_21_1_1_1">#REF!</definedName>
    <definedName name="_21A1015WD_1" localSheetId="4">#REF!</definedName>
    <definedName name="_21A1015WD_1" localSheetId="2">#REF!</definedName>
    <definedName name="_21A1015WD_1" localSheetId="7">#REF!</definedName>
    <definedName name="_21A1015WD_1" localSheetId="5">#REF!</definedName>
    <definedName name="_21A1015WD_1">#REF!</definedName>
    <definedName name="_220data_21_1_1_1_1" localSheetId="4">#REF!</definedName>
    <definedName name="_220data_21_1_1_1_1" localSheetId="2">#REF!</definedName>
    <definedName name="_220data_21_1_1_1_1" localSheetId="7">#REF!</definedName>
    <definedName name="_220data_21_1_1_1_1" localSheetId="5">#REF!</definedName>
    <definedName name="_220data_21_1_1_1_1">#REF!</definedName>
    <definedName name="_221data_21_2_1_1" localSheetId="4">#REF!</definedName>
    <definedName name="_221data_21_2_1_1" localSheetId="2">#REF!</definedName>
    <definedName name="_221data_21_2_1_1" localSheetId="7">#REF!</definedName>
    <definedName name="_221data_21_2_1_1" localSheetId="5">#REF!</definedName>
    <definedName name="_221data_21_2_1_1">#REF!</definedName>
    <definedName name="_222data_22_1_1_1" localSheetId="4">#REF!</definedName>
    <definedName name="_222data_22_1_1_1" localSheetId="2">#REF!</definedName>
    <definedName name="_222data_22_1_1_1" localSheetId="7">#REF!</definedName>
    <definedName name="_222data_22_1_1_1" localSheetId="5">#REF!</definedName>
    <definedName name="_222data_22_1_1_1">#REF!</definedName>
    <definedName name="_223data_22_1_1_1_1" localSheetId="4">#REF!</definedName>
    <definedName name="_223data_22_1_1_1_1" localSheetId="2">#REF!</definedName>
    <definedName name="_223data_22_1_1_1_1" localSheetId="7">#REF!</definedName>
    <definedName name="_223data_22_1_1_1_1" localSheetId="5">#REF!</definedName>
    <definedName name="_223data_22_1_1_1_1">#REF!</definedName>
    <definedName name="_224data_22_2_1_1" localSheetId="4">#REF!</definedName>
    <definedName name="_224data_22_2_1_1" localSheetId="2">#REF!</definedName>
    <definedName name="_224data_22_2_1_1" localSheetId="7">#REF!</definedName>
    <definedName name="_224data_22_2_1_1" localSheetId="5">#REF!</definedName>
    <definedName name="_224data_22_2_1_1">#REF!</definedName>
    <definedName name="_225data_23_1_1_1" localSheetId="4">#REF!</definedName>
    <definedName name="_225data_23_1_1_1" localSheetId="2">#REF!</definedName>
    <definedName name="_225data_23_1_1_1" localSheetId="7">#REF!</definedName>
    <definedName name="_225data_23_1_1_1" localSheetId="5">#REF!</definedName>
    <definedName name="_225data_23_1_1_1">#REF!</definedName>
    <definedName name="_226data_23_1_1_1_1" localSheetId="4">#REF!</definedName>
    <definedName name="_226data_23_1_1_1_1" localSheetId="2">#REF!</definedName>
    <definedName name="_226data_23_1_1_1_1" localSheetId="7">#REF!</definedName>
    <definedName name="_226data_23_1_1_1_1" localSheetId="5">#REF!</definedName>
    <definedName name="_226data_23_1_1_1_1">#REF!</definedName>
    <definedName name="_227data_23_2_1_1" localSheetId="4">#REF!</definedName>
    <definedName name="_227data_23_2_1_1" localSheetId="2">#REF!</definedName>
    <definedName name="_227data_23_2_1_1" localSheetId="7">#REF!</definedName>
    <definedName name="_227data_23_2_1_1" localSheetId="5">#REF!</definedName>
    <definedName name="_227data_23_2_1_1">#REF!</definedName>
    <definedName name="_228data_24_1_1_1" localSheetId="4">#REF!</definedName>
    <definedName name="_228data_24_1_1_1" localSheetId="2">#REF!</definedName>
    <definedName name="_228data_24_1_1_1" localSheetId="7">#REF!</definedName>
    <definedName name="_228data_24_1_1_1" localSheetId="5">#REF!</definedName>
    <definedName name="_228data_24_1_1_1">#REF!</definedName>
    <definedName name="_229data_24_1_1_1_1" localSheetId="4">#REF!</definedName>
    <definedName name="_229data_24_1_1_1_1" localSheetId="2">#REF!</definedName>
    <definedName name="_229data_24_1_1_1_1" localSheetId="7">#REF!</definedName>
    <definedName name="_229data_24_1_1_1_1" localSheetId="5">#REF!</definedName>
    <definedName name="_229data_24_1_1_1_1">#REF!</definedName>
    <definedName name="_22A1051??_1" localSheetId="4">#REF!</definedName>
    <definedName name="_22A1051??_1" localSheetId="2">#REF!</definedName>
    <definedName name="_22A1051??_1" localSheetId="7">#REF!</definedName>
    <definedName name="_22A1051??_1" localSheetId="5">#REF!</definedName>
    <definedName name="_230data_24_2_1_1" localSheetId="4">#REF!</definedName>
    <definedName name="_230data_24_2_1_1" localSheetId="2">#REF!</definedName>
    <definedName name="_230data_24_2_1_1" localSheetId="7">#REF!</definedName>
    <definedName name="_230data_24_2_1_1" localSheetId="5">#REF!</definedName>
    <definedName name="_230data_24_2_1_1">#REF!</definedName>
    <definedName name="_231data_27_1_1_1" localSheetId="4">#REF!</definedName>
    <definedName name="_231data_27_1_1_1" localSheetId="2">#REF!</definedName>
    <definedName name="_231data_27_1_1_1" localSheetId="7">#REF!</definedName>
    <definedName name="_231data_27_1_1_1" localSheetId="5">#REF!</definedName>
    <definedName name="_231data_27_1_1_1">#REF!</definedName>
    <definedName name="_232data_27_1_1_1_1" localSheetId="4">#REF!</definedName>
    <definedName name="_232data_27_1_1_1_1" localSheetId="2">#REF!</definedName>
    <definedName name="_232data_27_1_1_1_1" localSheetId="7">#REF!</definedName>
    <definedName name="_232data_27_1_1_1_1" localSheetId="5">#REF!</definedName>
    <definedName name="_232data_27_1_1_1_1">#REF!</definedName>
    <definedName name="_233data_27_2_1_1" localSheetId="4">#REF!</definedName>
    <definedName name="_233data_27_2_1_1" localSheetId="2">#REF!</definedName>
    <definedName name="_233data_27_2_1_1" localSheetId="7">#REF!</definedName>
    <definedName name="_233data_27_2_1_1" localSheetId="5">#REF!</definedName>
    <definedName name="_233data_27_2_1_1">#REF!</definedName>
    <definedName name="_234data_28_1_1_1" localSheetId="4">#REF!</definedName>
    <definedName name="_234data_28_1_1_1" localSheetId="2">#REF!</definedName>
    <definedName name="_234data_28_1_1_1" localSheetId="7">#REF!</definedName>
    <definedName name="_234data_28_1_1_1" localSheetId="5">#REF!</definedName>
    <definedName name="_234data_28_1_1_1">#REF!</definedName>
    <definedName name="_235data_28_1_1_1_1" localSheetId="4">#REF!</definedName>
    <definedName name="_235data_28_1_1_1_1" localSheetId="2">#REF!</definedName>
    <definedName name="_235data_28_1_1_1_1" localSheetId="7">#REF!</definedName>
    <definedName name="_235data_28_1_1_1_1" localSheetId="5">#REF!</definedName>
    <definedName name="_235data_28_1_1_1_1">#REF!</definedName>
    <definedName name="_236data_28_2_1_1" localSheetId="4">#REF!</definedName>
    <definedName name="_236data_28_2_1_1" localSheetId="2">#REF!</definedName>
    <definedName name="_236data_28_2_1_1" localSheetId="7">#REF!</definedName>
    <definedName name="_236data_28_2_1_1" localSheetId="5">#REF!</definedName>
    <definedName name="_236data_28_2_1_1">#REF!</definedName>
    <definedName name="_237data_29_1_1_1" localSheetId="4">#REF!</definedName>
    <definedName name="_237data_29_1_1_1" localSheetId="2">#REF!</definedName>
    <definedName name="_237data_29_1_1_1" localSheetId="7">#REF!</definedName>
    <definedName name="_237data_29_1_1_1" localSheetId="5">#REF!</definedName>
    <definedName name="_237data_29_1_1_1">#REF!</definedName>
    <definedName name="_238data_29_1_1_1_1" localSheetId="4">#REF!</definedName>
    <definedName name="_238data_29_1_1_1_1" localSheetId="2">#REF!</definedName>
    <definedName name="_238data_29_1_1_1_1" localSheetId="7">#REF!</definedName>
    <definedName name="_238data_29_1_1_1_1" localSheetId="5">#REF!</definedName>
    <definedName name="_238data_29_1_1_1_1">#REF!</definedName>
    <definedName name="_239data_29_2_1_1" localSheetId="4">#REF!</definedName>
    <definedName name="_239data_29_2_1_1" localSheetId="2">#REF!</definedName>
    <definedName name="_239data_29_2_1_1" localSheetId="7">#REF!</definedName>
    <definedName name="_239data_29_2_1_1" localSheetId="5">#REF!</definedName>
    <definedName name="_239data_29_2_1_1">#REF!</definedName>
    <definedName name="_23A1051??_1" localSheetId="6">#REF!</definedName>
    <definedName name="_240data_3_1_1_1" localSheetId="4">#REF!</definedName>
    <definedName name="_240data_3_1_1_1" localSheetId="2">#REF!</definedName>
    <definedName name="_240data_3_1_1_1" localSheetId="7">#REF!</definedName>
    <definedName name="_240data_3_1_1_1" localSheetId="5">#REF!</definedName>
    <definedName name="_240data_3_1_1_1">#REF!</definedName>
    <definedName name="_241data_30_1_1_1" localSheetId="4">#REF!</definedName>
    <definedName name="_241data_30_1_1_1" localSheetId="2">#REF!</definedName>
    <definedName name="_241data_30_1_1_1" localSheetId="7">#REF!</definedName>
    <definedName name="_241data_30_1_1_1" localSheetId="5">#REF!</definedName>
    <definedName name="_241data_30_1_1_1">#REF!</definedName>
    <definedName name="_242data_30_1_1_1_1" localSheetId="4">#REF!</definedName>
    <definedName name="_242data_30_1_1_1_1" localSheetId="2">#REF!</definedName>
    <definedName name="_242data_30_1_1_1_1" localSheetId="7">#REF!</definedName>
    <definedName name="_242data_30_1_1_1_1" localSheetId="5">#REF!</definedName>
    <definedName name="_242data_30_1_1_1_1">#REF!</definedName>
    <definedName name="_243data_30_2_1_1" localSheetId="4">#REF!</definedName>
    <definedName name="_243data_30_2_1_1" localSheetId="2">#REF!</definedName>
    <definedName name="_243data_30_2_1_1" localSheetId="7">#REF!</definedName>
    <definedName name="_243data_30_2_1_1" localSheetId="5">#REF!</definedName>
    <definedName name="_243data_30_2_1_1">#REF!</definedName>
    <definedName name="_244data_4_1_1_1" localSheetId="4">#REF!</definedName>
    <definedName name="_244data_4_1_1_1" localSheetId="2">#REF!</definedName>
    <definedName name="_244data_4_1_1_1" localSheetId="7">#REF!</definedName>
    <definedName name="_244data_4_1_1_1" localSheetId="5">#REF!</definedName>
    <definedName name="_244data_4_1_1_1">#REF!</definedName>
    <definedName name="_245data_4_1_1_1_1" localSheetId="4">#REF!</definedName>
    <definedName name="_245data_4_1_1_1_1" localSheetId="2">#REF!</definedName>
    <definedName name="_245data_4_1_1_1_1" localSheetId="7">#REF!</definedName>
    <definedName name="_245data_4_1_1_1_1" localSheetId="5">#REF!</definedName>
    <definedName name="_245data_4_1_1_1_1">#REF!</definedName>
    <definedName name="_246data_4_2_1_1" localSheetId="4">#REF!</definedName>
    <definedName name="_246data_4_2_1_1" localSheetId="2">#REF!</definedName>
    <definedName name="_246data_4_2_1_1" localSheetId="7">#REF!</definedName>
    <definedName name="_246data_4_2_1_1" localSheetId="5">#REF!</definedName>
    <definedName name="_246data_4_2_1_1">#REF!</definedName>
    <definedName name="_247data_5_1_1_1" localSheetId="4">#REF!</definedName>
    <definedName name="_247data_5_1_1_1" localSheetId="2">#REF!</definedName>
    <definedName name="_247data_5_1_1_1" localSheetId="7">#REF!</definedName>
    <definedName name="_247data_5_1_1_1" localSheetId="5">#REF!</definedName>
    <definedName name="_247data_5_1_1_1">#REF!</definedName>
    <definedName name="_248data_5_1_1_1_1" localSheetId="4">#REF!</definedName>
    <definedName name="_248data_5_1_1_1_1" localSheetId="2">#REF!</definedName>
    <definedName name="_248data_5_1_1_1_1" localSheetId="7">#REF!</definedName>
    <definedName name="_248data_5_1_1_1_1" localSheetId="5">#REF!</definedName>
    <definedName name="_248data_5_1_1_1_1">#REF!</definedName>
    <definedName name="_249data_5_2_1_1" localSheetId="4">#REF!</definedName>
    <definedName name="_249data_5_2_1_1" localSheetId="2">#REF!</definedName>
    <definedName name="_249data_5_2_1_1" localSheetId="7">#REF!</definedName>
    <definedName name="_249data_5_2_1_1" localSheetId="5">#REF!</definedName>
    <definedName name="_249data_5_2_1_1">#REF!</definedName>
    <definedName name="_24A1051??_1" localSheetId="4">#REF!</definedName>
    <definedName name="_24A1051??_1" localSheetId="2">#REF!</definedName>
    <definedName name="_24A1051??_1" localSheetId="7">#REF!</definedName>
    <definedName name="_24A1051??_1" localSheetId="5">#REF!</definedName>
    <definedName name="_24A1051??_1">#REF!</definedName>
    <definedName name="_250data_6_1_1_1" localSheetId="4">#REF!</definedName>
    <definedName name="_250data_6_1_1_1" localSheetId="2">#REF!</definedName>
    <definedName name="_250data_6_1_1_1" localSheetId="7">#REF!</definedName>
    <definedName name="_250data_6_1_1_1" localSheetId="5">#REF!</definedName>
    <definedName name="_250data_6_1_1_1">#REF!</definedName>
    <definedName name="_251data_6_1_1_1_1" localSheetId="4">#REF!</definedName>
    <definedName name="_251data_6_1_1_1_1" localSheetId="2">#REF!</definedName>
    <definedName name="_251data_6_1_1_1_1" localSheetId="7">#REF!</definedName>
    <definedName name="_251data_6_1_1_1_1" localSheetId="5">#REF!</definedName>
    <definedName name="_251data_6_1_1_1_1">#REF!</definedName>
    <definedName name="_252data_6_2_1_1" localSheetId="4">#REF!</definedName>
    <definedName name="_252data_6_2_1_1" localSheetId="2">#REF!</definedName>
    <definedName name="_252data_6_2_1_1" localSheetId="7">#REF!</definedName>
    <definedName name="_252data_6_2_1_1" localSheetId="5">#REF!</definedName>
    <definedName name="_252data_6_2_1_1">#REF!</definedName>
    <definedName name="_253data_7_1_1_1" localSheetId="4">#REF!</definedName>
    <definedName name="_253data_7_1_1_1" localSheetId="2">#REF!</definedName>
    <definedName name="_253data_7_1_1_1" localSheetId="7">#REF!</definedName>
    <definedName name="_253data_7_1_1_1" localSheetId="5">#REF!</definedName>
    <definedName name="_253data_7_1_1_1">#REF!</definedName>
    <definedName name="_254data_7_1_1_1_1" localSheetId="4">#REF!</definedName>
    <definedName name="_254data_7_1_1_1_1" localSheetId="2">#REF!</definedName>
    <definedName name="_254data_7_1_1_1_1" localSheetId="7">#REF!</definedName>
    <definedName name="_254data_7_1_1_1_1" localSheetId="5">#REF!</definedName>
    <definedName name="_254data_7_1_1_1_1">#REF!</definedName>
    <definedName name="_255data_7_2_1_1" localSheetId="4">#REF!</definedName>
    <definedName name="_255data_7_2_1_1" localSheetId="2">#REF!</definedName>
    <definedName name="_255data_7_2_1_1" localSheetId="7">#REF!</definedName>
    <definedName name="_255data_7_2_1_1" localSheetId="5">#REF!</definedName>
    <definedName name="_255data_7_2_1_1">#REF!</definedName>
    <definedName name="_256data_8_1_1_1" localSheetId="4">#REF!</definedName>
    <definedName name="_256data_8_1_1_1" localSheetId="2">#REF!</definedName>
    <definedName name="_256data_8_1_1_1" localSheetId="7">#REF!</definedName>
    <definedName name="_256data_8_1_1_1" localSheetId="5">#REF!</definedName>
    <definedName name="_256data_8_1_1_1">#REF!</definedName>
    <definedName name="_257data_8_1_1_1_1" localSheetId="4">#REF!</definedName>
    <definedName name="_257data_8_1_1_1_1" localSheetId="2">#REF!</definedName>
    <definedName name="_257data_8_1_1_1_1" localSheetId="7">#REF!</definedName>
    <definedName name="_257data_8_1_1_1_1" localSheetId="5">#REF!</definedName>
    <definedName name="_257data_8_1_1_1_1">#REF!</definedName>
    <definedName name="_258data_8_2_1_1" localSheetId="4">#REF!</definedName>
    <definedName name="_258data_8_2_1_1" localSheetId="2">#REF!</definedName>
    <definedName name="_258data_8_2_1_1" localSheetId="7">#REF!</definedName>
    <definedName name="_258data_8_2_1_1" localSheetId="5">#REF!</definedName>
    <definedName name="_258data_8_2_1_1">#REF!</definedName>
    <definedName name="_259data_9_1_1_1" localSheetId="4">#REF!</definedName>
    <definedName name="_259data_9_1_1_1" localSheetId="2">#REF!</definedName>
    <definedName name="_259data_9_1_1_1" localSheetId="7">#REF!</definedName>
    <definedName name="_259data_9_1_1_1" localSheetId="5">#REF!</definedName>
    <definedName name="_259data_9_1_1_1">#REF!</definedName>
    <definedName name="_25A1051日商_1" localSheetId="4">#REF!</definedName>
    <definedName name="_25A1051日商_1" localSheetId="2">#REF!</definedName>
    <definedName name="_25A1051日商_1" localSheetId="7">#REF!</definedName>
    <definedName name="_25A1051日商_1" localSheetId="5">#REF!</definedName>
    <definedName name="_260data_9_1_1_1_1" localSheetId="4">#REF!</definedName>
    <definedName name="_260data_9_1_1_1_1" localSheetId="2">#REF!</definedName>
    <definedName name="_260data_9_1_1_1_1" localSheetId="7">#REF!</definedName>
    <definedName name="_260data_9_1_1_1_1" localSheetId="5">#REF!</definedName>
    <definedName name="_260data_9_1_1_1_1">#REF!</definedName>
    <definedName name="_261data_9_2_1_1" localSheetId="4">#REF!</definedName>
    <definedName name="_261data_9_2_1_1" localSheetId="2">#REF!</definedName>
    <definedName name="_261data_9_2_1_1" localSheetId="7">#REF!</definedName>
    <definedName name="_261data_9_2_1_1" localSheetId="5">#REF!</definedName>
    <definedName name="_261data_9_2_1_1">#REF!</definedName>
    <definedName name="_262df_1" localSheetId="4">[5]DEFINITION1!#REF!</definedName>
    <definedName name="_262df_1" localSheetId="2">[5]DEFINITION1!#REF!</definedName>
    <definedName name="_262df_1" localSheetId="7">[5]DEFINITION1!#REF!</definedName>
    <definedName name="_262df_1" localSheetId="5">[5]DEFINITION1!#REF!</definedName>
    <definedName name="_263df_1" localSheetId="6">[5]DEFINITION1!#REF!</definedName>
    <definedName name="_264df_1" localSheetId="4">[5]DEFINITION1!#REF!</definedName>
    <definedName name="_264df_1" localSheetId="2">[5]DEFINITION1!#REF!</definedName>
    <definedName name="_264df_1" localSheetId="7">[5]DEFINITION1!#REF!</definedName>
    <definedName name="_264df_1" localSheetId="5">[5]DEFINITION1!#REF!</definedName>
    <definedName name="_264df_1">[5]DEFINITION1!#REF!</definedName>
    <definedName name="_265dfr_1" localSheetId="4">[8]DEFINITION1!#REF!</definedName>
    <definedName name="_265dfr_1" localSheetId="2">[8]DEFINITION1!#REF!</definedName>
    <definedName name="_265dfr_1" localSheetId="7">[8]DEFINITION1!#REF!</definedName>
    <definedName name="_265dfr_1" localSheetId="5">[8]DEFINITION1!#REF!</definedName>
    <definedName name="_266dfr_1" localSheetId="6">[8]DEFINITION1!#REF!</definedName>
    <definedName name="_267dfr_1" localSheetId="4">[8]DEFINITION1!#REF!</definedName>
    <definedName name="_267dfr_1" localSheetId="2">[8]DEFINITION1!#REF!</definedName>
    <definedName name="_267dfr_1" localSheetId="7">[8]DEFINITION1!#REF!</definedName>
    <definedName name="_267dfr_1" localSheetId="5">[8]DEFINITION1!#REF!</definedName>
    <definedName name="_267dfr_1">[8]DEFINITION1!#REF!</definedName>
    <definedName name="_268dgbdf_1" localSheetId="4">[8]DEFINITION1!#REF!</definedName>
    <definedName name="_268dgbdf_1" localSheetId="2">[8]DEFINITION1!#REF!</definedName>
    <definedName name="_268dgbdf_1" localSheetId="7">[8]DEFINITION1!#REF!</definedName>
    <definedName name="_268dgbdf_1" localSheetId="5">[8]DEFINITION1!#REF!</definedName>
    <definedName name="_269dgbdf_1" localSheetId="6">[8]DEFINITION1!#REF!</definedName>
    <definedName name="_26A1051日商_1" localSheetId="6">#REF!</definedName>
    <definedName name="_270dgbdf_1" localSheetId="4">[8]DEFINITION1!#REF!</definedName>
    <definedName name="_270dgbdf_1" localSheetId="2">[8]DEFINITION1!#REF!</definedName>
    <definedName name="_270dgbdf_1" localSheetId="7">[8]DEFINITION1!#REF!</definedName>
    <definedName name="_270dgbdf_1" localSheetId="5">[8]DEFINITION1!#REF!</definedName>
    <definedName name="_270dgbdf_1">[8]DEFINITION1!#REF!</definedName>
    <definedName name="_271Diff_PartsDwg_1" localSheetId="4">'[3]Diff_Data _2_'!#REF!</definedName>
    <definedName name="_271Diff_PartsDwg_1" localSheetId="2">'[3]Diff_Data _2_'!#REF!</definedName>
    <definedName name="_271Diff_PartsDwg_1" localSheetId="7">'[3]Diff_Data _2_'!#REF!</definedName>
    <definedName name="_271Diff_PartsDwg_1" localSheetId="5">'[3]Diff_Data _2_'!#REF!</definedName>
    <definedName name="_272Diff_PartsDwg_1" localSheetId="6">'[3]Diff_Data _2_'!#REF!</definedName>
    <definedName name="_273Diff_PartsDwg_1" localSheetId="4">'[3]Diff_Data _2_'!#REF!</definedName>
    <definedName name="_273Diff_PartsDwg_1" localSheetId="2">'[3]Diff_Data _2_'!#REF!</definedName>
    <definedName name="_273Diff_PartsDwg_1" localSheetId="7">'[3]Diff_Data _2_'!#REF!</definedName>
    <definedName name="_273Diff_PartsDwg_1" localSheetId="5">'[3]Diff_Data _2_'!#REF!</definedName>
    <definedName name="_273Diff_PartsDwg_1">'[3]Diff_Data _2_'!#REF!</definedName>
    <definedName name="_274Diff_PartsName_1" localSheetId="4">'[3]Diff_Data _2_'!#REF!</definedName>
    <definedName name="_274Diff_PartsName_1" localSheetId="2">'[3]Diff_Data _2_'!#REF!</definedName>
    <definedName name="_274Diff_PartsName_1" localSheetId="7">'[3]Diff_Data _2_'!#REF!</definedName>
    <definedName name="_274Diff_PartsName_1" localSheetId="5">'[3]Diff_Data _2_'!#REF!</definedName>
    <definedName name="_275Diff_PartsName_1" localSheetId="6">'[3]Diff_Data _2_'!#REF!</definedName>
    <definedName name="_276Diff_PartsName_1" localSheetId="4">'[3]Diff_Data _2_'!#REF!</definedName>
    <definedName name="_276Diff_PartsName_1" localSheetId="2">'[3]Diff_Data _2_'!#REF!</definedName>
    <definedName name="_276Diff_PartsName_1" localSheetId="7">'[3]Diff_Data _2_'!#REF!</definedName>
    <definedName name="_276Diff_PartsName_1" localSheetId="5">'[3]Diff_Data _2_'!#REF!</definedName>
    <definedName name="_276Diff_PartsName_1">'[3]Diff_Data _2_'!#REF!</definedName>
    <definedName name="_277EMS1_1" localSheetId="4">'[3]Diff_Data _2_'!#REF!</definedName>
    <definedName name="_277EMS1_1" localSheetId="2">'[3]Diff_Data _2_'!#REF!</definedName>
    <definedName name="_277EMS1_1" localSheetId="7">'[3]Diff_Data _2_'!#REF!</definedName>
    <definedName name="_277EMS1_1" localSheetId="5">'[3]Diff_Data _2_'!#REF!</definedName>
    <definedName name="_278EMS1_1" localSheetId="6">'[3]Diff_Data _2_'!#REF!</definedName>
    <definedName name="_279EMS1_1" localSheetId="4">'[3]Diff_Data _2_'!#REF!</definedName>
    <definedName name="_279EMS1_1" localSheetId="2">'[3]Diff_Data _2_'!#REF!</definedName>
    <definedName name="_279EMS1_1" localSheetId="7">'[3]Diff_Data _2_'!#REF!</definedName>
    <definedName name="_279EMS1_1" localSheetId="5">'[3]Diff_Data _2_'!#REF!</definedName>
    <definedName name="_279EMS1_1">'[3]Diff_Data _2_'!#REF!</definedName>
    <definedName name="_27A1051日商_1" localSheetId="4">#REF!</definedName>
    <definedName name="_27A1051日商_1" localSheetId="2">#REF!</definedName>
    <definedName name="_27A1051日商_1" localSheetId="7">#REF!</definedName>
    <definedName name="_27A1051日商_1" localSheetId="5">#REF!</definedName>
    <definedName name="_27A1051日商_1">#REF!</definedName>
    <definedName name="_280Excel_BuiltIn__FilterDatabase_2_1_1_1" localSheetId="4">#REF!</definedName>
    <definedName name="_280Excel_BuiltIn__FilterDatabase_2_1_1_1" localSheetId="2">#REF!</definedName>
    <definedName name="_280Excel_BuiltIn__FilterDatabase_2_1_1_1" localSheetId="7">#REF!</definedName>
    <definedName name="_280Excel_BuiltIn__FilterDatabase_2_1_1_1" localSheetId="5">#REF!</definedName>
    <definedName name="_280Excel_BuiltIn__FilterDatabase_2_1_1_1">#REF!</definedName>
    <definedName name="_281Excel_BuiltIn_Database_1" localSheetId="4">#REF!</definedName>
    <definedName name="_281Excel_BuiltIn_Database_1" localSheetId="2">#REF!</definedName>
    <definedName name="_281Excel_BuiltIn_Database_1" localSheetId="7">#REF!</definedName>
    <definedName name="_281Excel_BuiltIn_Database_1" localSheetId="5">#REF!</definedName>
    <definedName name="_281Excel_BuiltIn_Database_1">#REF!</definedName>
    <definedName name="_282Excel_BuiltIn_Print_Area_1" localSheetId="4">#REF!</definedName>
    <definedName name="_282Excel_BuiltIn_Print_Area_1" localSheetId="2">#REF!</definedName>
    <definedName name="_282Excel_BuiltIn_Print_Area_1" localSheetId="7">#REF!</definedName>
    <definedName name="_282Excel_BuiltIn_Print_Area_1" localSheetId="5">#REF!</definedName>
    <definedName name="_282Excel_BuiltIn_Print_Area_1">#REF!</definedName>
    <definedName name="_283Excel_BuiltIn_Print_Area_2" localSheetId="4">([9]CN!$A$1:$AB$26,[9]CN!$A$57:$C$82)</definedName>
    <definedName name="_283Excel_BuiltIn_Print_Area_2">([9]CN!$A$1:$AB$26,[9]CN!$A$57:$C$82)</definedName>
    <definedName name="_284Excel_BuiltIn_Print_Area_3" localSheetId="4">#REF!</definedName>
    <definedName name="_284Excel_BuiltIn_Print_Area_3" localSheetId="2">#REF!</definedName>
    <definedName name="_284Excel_BuiltIn_Print_Area_3" localSheetId="7">#REF!</definedName>
    <definedName name="_284Excel_BuiltIn_Print_Area_3" localSheetId="5">#REF!</definedName>
    <definedName name="_284Excel_BuiltIn_Print_Area_3">#REF!</definedName>
    <definedName name="_285Excel_BuiltIn_Print_Area_5" localSheetId="4">#REF!</definedName>
    <definedName name="_285Excel_BuiltIn_Print_Area_5" localSheetId="2">#REF!</definedName>
    <definedName name="_285Excel_BuiltIn_Print_Area_5" localSheetId="7">#REF!</definedName>
    <definedName name="_285Excel_BuiltIn_Print_Area_5" localSheetId="5">#REF!</definedName>
    <definedName name="_285Excel_BuiltIn_Print_Area_5">#REF!</definedName>
    <definedName name="_286Excel_BuiltIn_Print_Area_1_1" localSheetId="4">#REF!</definedName>
    <definedName name="_286Excel_BuiltIn_Print_Area_1_1" localSheetId="2">#REF!</definedName>
    <definedName name="_286Excel_BuiltIn_Print_Area_1_1" localSheetId="7">#REF!</definedName>
    <definedName name="_286Excel_BuiltIn_Print_Area_1_1" localSheetId="5">#REF!</definedName>
    <definedName name="_286Excel_BuiltIn_Print_Area_1_1">#REF!</definedName>
    <definedName name="_287Fcast_1" localSheetId="4">#REF!</definedName>
    <definedName name="_287Fcast_1" localSheetId="2">#REF!</definedName>
    <definedName name="_287Fcast_1" localSheetId="7">#REF!</definedName>
    <definedName name="_287Fcast_1" localSheetId="5">#REF!</definedName>
    <definedName name="_287Fcast_1">#REF!</definedName>
    <definedName name="_288fhjg_1" localSheetId="4">[8]DEFINITION1!#REF!</definedName>
    <definedName name="_288fhjg_1" localSheetId="2">[8]DEFINITION1!#REF!</definedName>
    <definedName name="_288fhjg_1" localSheetId="7">[8]DEFINITION1!#REF!</definedName>
    <definedName name="_288fhjg_1" localSheetId="5">[8]DEFINITION1!#REF!</definedName>
    <definedName name="_289fhjg_1" localSheetId="6">[8]DEFINITION1!#REF!</definedName>
    <definedName name="_28A1087NPD_1" localSheetId="4">#REF!</definedName>
    <definedName name="_28A1087NPD_1" localSheetId="2">#REF!</definedName>
    <definedName name="_28A1087NPD_1" localSheetId="7">#REF!</definedName>
    <definedName name="_28A1087NPD_1" localSheetId="5">#REF!</definedName>
    <definedName name="_290fhjg_1" localSheetId="4">[8]DEFINITION1!#REF!</definedName>
    <definedName name="_290fhjg_1" localSheetId="2">[8]DEFINITION1!#REF!</definedName>
    <definedName name="_290fhjg_1" localSheetId="7">[8]DEFINITION1!#REF!</definedName>
    <definedName name="_290fhjg_1" localSheetId="5">[8]DEFINITION1!#REF!</definedName>
    <definedName name="_290fhjg_1">[8]DEFINITION1!#REF!</definedName>
    <definedName name="_291fhsjdf_1" localSheetId="4">'[6]Diff_Data _2_'!#REF!</definedName>
    <definedName name="_291fhsjdf_1" localSheetId="2">'[6]Diff_Data _2_'!#REF!</definedName>
    <definedName name="_291fhsjdf_1" localSheetId="7">'[6]Diff_Data _2_'!#REF!</definedName>
    <definedName name="_291fhsjdf_1" localSheetId="5">'[6]Diff_Data _2_'!#REF!</definedName>
    <definedName name="_292fhsjdf_1" localSheetId="6">'[6]Diff_Data _2_'!#REF!</definedName>
    <definedName name="_293fhsjdf_1" localSheetId="4">'[6]Diff_Data _2_'!#REF!</definedName>
    <definedName name="_293fhsjdf_1" localSheetId="2">'[6]Diff_Data _2_'!#REF!</definedName>
    <definedName name="_293fhsjdf_1" localSheetId="7">'[6]Diff_Data _2_'!#REF!</definedName>
    <definedName name="_293fhsjdf_1" localSheetId="5">'[6]Diff_Data _2_'!#REF!</definedName>
    <definedName name="_293fhsjdf_1">'[6]Diff_Data _2_'!#REF!</definedName>
    <definedName name="_294fscd_1" localSheetId="4">#REF!</definedName>
    <definedName name="_294fscd_1" localSheetId="2">#REF!</definedName>
    <definedName name="_294fscd_1" localSheetId="7">#REF!</definedName>
    <definedName name="_294fscd_1" localSheetId="5">#REF!</definedName>
    <definedName name="_295fscd_1" localSheetId="6">#REF!</definedName>
    <definedName name="_296fscd_1" localSheetId="4">#REF!</definedName>
    <definedName name="_296fscd_1" localSheetId="2">#REF!</definedName>
    <definedName name="_296fscd_1" localSheetId="7">#REF!</definedName>
    <definedName name="_296fscd_1" localSheetId="5">#REF!</definedName>
    <definedName name="_296fscd_1">#REF!</definedName>
    <definedName name="_297ftghfg_1" localSheetId="4">[8]DEFINITION1!#REF!</definedName>
    <definedName name="_297ftghfg_1" localSheetId="2">[8]DEFINITION1!#REF!</definedName>
    <definedName name="_297ftghfg_1" localSheetId="7">[8]DEFINITION1!#REF!</definedName>
    <definedName name="_297ftghfg_1" localSheetId="5">[8]DEFINITION1!#REF!</definedName>
    <definedName name="_298ftghfg_1" localSheetId="6">[8]DEFINITION1!#REF!</definedName>
    <definedName name="_299ftghfg_1" localSheetId="4">[8]DEFINITION1!#REF!</definedName>
    <definedName name="_299ftghfg_1" localSheetId="2">[8]DEFINITION1!#REF!</definedName>
    <definedName name="_299ftghfg_1" localSheetId="7">[8]DEFINITION1!#REF!</definedName>
    <definedName name="_299ftghfg_1" localSheetId="5">[8]DEFINITION1!#REF!</definedName>
    <definedName name="_299ftghfg_1">[8]DEFINITION1!#REF!</definedName>
    <definedName name="_29A1087NPD_1" localSheetId="6">#REF!</definedName>
    <definedName name="_3_??" localSheetId="4">#REF!</definedName>
    <definedName name="_3_??" localSheetId="2">#REF!</definedName>
    <definedName name="_3_??" localSheetId="7">#REF!</definedName>
    <definedName name="_3_??" localSheetId="5">#REF!</definedName>
    <definedName name="_3_??">#REF!</definedName>
    <definedName name="_3_????" localSheetId="4">#REF!</definedName>
    <definedName name="_3_????" localSheetId="2">#REF!</definedName>
    <definedName name="_3_????" localSheetId="6">#REF!</definedName>
    <definedName name="_3_????" localSheetId="7">#REF!</definedName>
    <definedName name="_3_????" localSheetId="5">#REF!</definedName>
    <definedName name="_3_????">#REF!</definedName>
    <definedName name="_300FUJITSU_1" localSheetId="4">#REF!</definedName>
    <definedName name="_300FUJITSU_1" localSheetId="2">#REF!</definedName>
    <definedName name="_300FUJITSU_1" localSheetId="7">#REF!</definedName>
    <definedName name="_300FUJITSU_1" localSheetId="5">#REF!</definedName>
    <definedName name="_301FUJITSU_1" localSheetId="6">#REF!</definedName>
    <definedName name="_302FUJITSU_1" localSheetId="4">#REF!</definedName>
    <definedName name="_302FUJITSU_1" localSheetId="2">#REF!</definedName>
    <definedName name="_302FUJITSU_1" localSheetId="7">#REF!</definedName>
    <definedName name="_302FUJITSU_1" localSheetId="5">#REF!</definedName>
    <definedName name="_302FUJITSU_1">#REF!</definedName>
    <definedName name="_303Fujitsu_AMD_semiconductor_1" localSheetId="4">#REF!</definedName>
    <definedName name="_303Fujitsu_AMD_semiconductor_1" localSheetId="2">#REF!</definedName>
    <definedName name="_303Fujitsu_AMD_semiconductor_1" localSheetId="7">#REF!</definedName>
    <definedName name="_303Fujitsu_AMD_semiconductor_1" localSheetId="5">#REF!</definedName>
    <definedName name="_304Fujitsu_AMD_semiconductor_1" localSheetId="6">#REF!</definedName>
    <definedName name="_305Fujitsu_AMD_semiconductor_1" localSheetId="4">#REF!</definedName>
    <definedName name="_305Fujitsu_AMD_semiconductor_1" localSheetId="2">#REF!</definedName>
    <definedName name="_305Fujitsu_AMD_semiconductor_1" localSheetId="7">#REF!</definedName>
    <definedName name="_305Fujitsu_AMD_semiconductor_1" localSheetId="5">#REF!</definedName>
    <definedName name="_305Fujitsu_AMD_semiconductor_1">#REF!</definedName>
    <definedName name="_306Fujitsu_maicroelectronics_Malaysia_1" localSheetId="4">#REF!</definedName>
    <definedName name="_306Fujitsu_maicroelectronics_Malaysia_1" localSheetId="2">#REF!</definedName>
    <definedName name="_306Fujitsu_maicroelectronics_Malaysia_1" localSheetId="7">#REF!</definedName>
    <definedName name="_306Fujitsu_maicroelectronics_Malaysia_1" localSheetId="5">#REF!</definedName>
    <definedName name="_307Fujitsu_maicroelectronics_Malaysia_1" localSheetId="6">#REF!</definedName>
    <definedName name="_308Fujitsu_maicroelectronics_Malaysia_1" localSheetId="4">#REF!</definedName>
    <definedName name="_308Fujitsu_maicroelectronics_Malaysia_1" localSheetId="2">#REF!</definedName>
    <definedName name="_308Fujitsu_maicroelectronics_Malaysia_1" localSheetId="7">#REF!</definedName>
    <definedName name="_308Fujitsu_maicroelectronics_Malaysia_1" localSheetId="5">#REF!</definedName>
    <definedName name="_308Fujitsu_maicroelectronics_Malaysia_1">#REF!</definedName>
    <definedName name="_309ghbgh_1" localSheetId="4">#REF!</definedName>
    <definedName name="_309ghbgh_1" localSheetId="2">#REF!</definedName>
    <definedName name="_309ghbgh_1" localSheetId="7">#REF!</definedName>
    <definedName name="_309ghbgh_1" localSheetId="5">#REF!</definedName>
    <definedName name="_30A1087NPD_1" localSheetId="4">#REF!</definedName>
    <definedName name="_30A1087NPD_1" localSheetId="2">#REF!</definedName>
    <definedName name="_30A1087NPD_1" localSheetId="7">#REF!</definedName>
    <definedName name="_30A1087NPD_1" localSheetId="5">#REF!</definedName>
    <definedName name="_30A1087NPD_1">#REF!</definedName>
    <definedName name="_310ghbgh_1" localSheetId="6">#REF!</definedName>
    <definedName name="_311ghbgh_1" localSheetId="4">#REF!</definedName>
    <definedName name="_311ghbgh_1" localSheetId="2">#REF!</definedName>
    <definedName name="_311ghbgh_1" localSheetId="7">#REF!</definedName>
    <definedName name="_311ghbgh_1" localSheetId="5">#REF!</definedName>
    <definedName name="_311ghbgh_1">#REF!</definedName>
    <definedName name="_312ghbjg_1" localSheetId="4">[8]DEFINITION1!#REF!</definedName>
    <definedName name="_312ghbjg_1" localSheetId="2">[8]DEFINITION1!#REF!</definedName>
    <definedName name="_312ghbjg_1" localSheetId="7">[8]DEFINITION1!#REF!</definedName>
    <definedName name="_312ghbjg_1" localSheetId="5">[8]DEFINITION1!#REF!</definedName>
    <definedName name="_313ghbjg_1" localSheetId="6">[8]DEFINITION1!#REF!</definedName>
    <definedName name="_314ghbjg_1" localSheetId="4">[8]DEFINITION1!#REF!</definedName>
    <definedName name="_314ghbjg_1" localSheetId="2">[8]DEFINITION1!#REF!</definedName>
    <definedName name="_314ghbjg_1" localSheetId="7">[8]DEFINITION1!#REF!</definedName>
    <definedName name="_314ghbjg_1" localSheetId="5">[8]DEFINITION1!#REF!</definedName>
    <definedName name="_314ghbjg_1">[8]DEFINITION1!#REF!</definedName>
    <definedName name="_315gv_1" localSheetId="4">#REF!</definedName>
    <definedName name="_315gv_1" localSheetId="2">#REF!</definedName>
    <definedName name="_315gv_1" localSheetId="7">#REF!</definedName>
    <definedName name="_315gv_1" localSheetId="5">#REF!</definedName>
    <definedName name="_316gv_1" localSheetId="6">#REF!</definedName>
    <definedName name="_317gv_1" localSheetId="4">#REF!</definedName>
    <definedName name="_317gv_1" localSheetId="2">#REF!</definedName>
    <definedName name="_317gv_1" localSheetId="7">#REF!</definedName>
    <definedName name="_317gv_1" localSheetId="5">#REF!</definedName>
    <definedName name="_317gv_1">#REF!</definedName>
    <definedName name="_318HD74LV1G66A_1" localSheetId="4">#REF!</definedName>
    <definedName name="_318HD74LV1G66A_1" localSheetId="2">#REF!</definedName>
    <definedName name="_318HD74LV1G66A_1" localSheetId="7">#REF!</definedName>
    <definedName name="_318HD74LV1G66A_1" localSheetId="5">#REF!</definedName>
    <definedName name="_319HD74LV1G66A_1" localSheetId="6">#REF!</definedName>
    <definedName name="_31A1123???????_1" localSheetId="4">#REF!</definedName>
    <definedName name="_31A1123???????_1" localSheetId="2">#REF!</definedName>
    <definedName name="_31A1123???????_1" localSheetId="7">#REF!</definedName>
    <definedName name="_31A1123???????_1" localSheetId="5">#REF!</definedName>
    <definedName name="_320HD74LV1G66A_1" localSheetId="4">#REF!</definedName>
    <definedName name="_320HD74LV1G66A_1" localSheetId="2">#REF!</definedName>
    <definedName name="_320HD74LV1G66A_1" localSheetId="7">#REF!</definedName>
    <definedName name="_320HD74LV1G66A_1" localSheetId="5">#REF!</definedName>
    <definedName name="_320HD74LV1G66A_1">#REF!</definedName>
    <definedName name="_321hhh_1" localSheetId="4">#REF!</definedName>
    <definedName name="_321hhh_1" localSheetId="2">#REF!</definedName>
    <definedName name="_321hhh_1" localSheetId="7">#REF!</definedName>
    <definedName name="_321hhh_1" localSheetId="5">#REF!</definedName>
    <definedName name="_322hhh_1" localSheetId="6">#REF!</definedName>
    <definedName name="_323hhh_1" localSheetId="4">#REF!</definedName>
    <definedName name="_323hhh_1" localSheetId="2">#REF!</definedName>
    <definedName name="_323hhh_1" localSheetId="7">#REF!</definedName>
    <definedName name="_323hhh_1" localSheetId="5">#REF!</definedName>
    <definedName name="_323hhh_1">#REF!</definedName>
    <definedName name="_324Hitachi_HICOMPONENTS_1" localSheetId="4">#REF!</definedName>
    <definedName name="_324Hitachi_HICOMPONENTS_1" localSheetId="2">#REF!</definedName>
    <definedName name="_324Hitachi_HICOMPONENTS_1" localSheetId="7">#REF!</definedName>
    <definedName name="_324Hitachi_HICOMPONENTS_1" localSheetId="5">#REF!</definedName>
    <definedName name="_325Hitachi_HICOMPONENTS_1" localSheetId="6">#REF!</definedName>
    <definedName name="_326Hitachi_HICOMPONENTS_1" localSheetId="4">#REF!</definedName>
    <definedName name="_326Hitachi_HICOMPONENTS_1" localSheetId="2">#REF!</definedName>
    <definedName name="_326Hitachi_HICOMPONENTS_1" localSheetId="7">#REF!</definedName>
    <definedName name="_326Hitachi_HICOMPONENTS_1" localSheetId="5">#REF!</definedName>
    <definedName name="_326Hitachi_HICOMPONENTS_1">#REF!</definedName>
    <definedName name="_327Hitachi_Takasaki_Japan_1" localSheetId="4">#REF!</definedName>
    <definedName name="_327Hitachi_Takasaki_Japan_1" localSheetId="2">#REF!</definedName>
    <definedName name="_327Hitachi_Takasaki_Japan_1" localSheetId="7">#REF!</definedName>
    <definedName name="_327Hitachi_Takasaki_Japan_1" localSheetId="5">#REF!</definedName>
    <definedName name="_328Hitachi_Takasaki_Japan_1" localSheetId="6">#REF!</definedName>
    <definedName name="_329Hitachi_Takasaki_Japan_1" localSheetId="4">#REF!</definedName>
    <definedName name="_329Hitachi_Takasaki_Japan_1" localSheetId="2">#REF!</definedName>
    <definedName name="_329Hitachi_Takasaki_Japan_1" localSheetId="7">#REF!</definedName>
    <definedName name="_329Hitachi_Takasaki_Japan_1" localSheetId="5">#REF!</definedName>
    <definedName name="_329Hitachi_Takasaki_Japan_1">#REF!</definedName>
    <definedName name="_32A1123???????_1" localSheetId="6">#REF!</definedName>
    <definedName name="_330hjty_1" localSheetId="4">[1]_______!#REF!</definedName>
    <definedName name="_330hjty_1" localSheetId="2">[1]_______!#REF!</definedName>
    <definedName name="_330hjty_1" localSheetId="7">[1]_______!#REF!</definedName>
    <definedName name="_330hjty_1" localSheetId="5">[1]_______!#REF!</definedName>
    <definedName name="_331hjty_1" localSheetId="6">[1]_______!#REF!</definedName>
    <definedName name="_332hjty_1" localSheetId="4">[1]_______!#REF!</definedName>
    <definedName name="_332hjty_1" localSheetId="2">[1]_______!#REF!</definedName>
    <definedName name="_332hjty_1" localSheetId="7">[1]_______!#REF!</definedName>
    <definedName name="_332hjty_1" localSheetId="5">[1]_______!#REF!</definedName>
    <definedName name="_332hjty_1">[1]_______!#REF!</definedName>
    <definedName name="_333hkpkp_1" localSheetId="4">'[6]Diff_Data _2_'!#REF!</definedName>
    <definedName name="_333hkpkp_1" localSheetId="2">'[6]Diff_Data _2_'!#REF!</definedName>
    <definedName name="_333hkpkp_1" localSheetId="7">'[6]Diff_Data _2_'!#REF!</definedName>
    <definedName name="_333hkpkp_1" localSheetId="5">'[6]Diff_Data _2_'!#REF!</definedName>
    <definedName name="_334hkpkp_1" localSheetId="6">'[6]Diff_Data _2_'!#REF!</definedName>
    <definedName name="_335hkpkp_1" localSheetId="4">'[6]Diff_Data _2_'!#REF!</definedName>
    <definedName name="_335hkpkp_1" localSheetId="2">'[6]Diff_Data _2_'!#REF!</definedName>
    <definedName name="_335hkpkp_1" localSheetId="7">'[6]Diff_Data _2_'!#REF!</definedName>
    <definedName name="_335hkpkp_1" localSheetId="5">'[6]Diff_Data _2_'!#REF!</definedName>
    <definedName name="_335hkpkp_1">'[6]Diff_Data _2_'!#REF!</definedName>
    <definedName name="_336honeyko_1" localSheetId="4">[10]機構部品ﾘｽﾄ!#REF!</definedName>
    <definedName name="_336honeyko_1" localSheetId="2">[10]機構部品ﾘｽﾄ!#REF!</definedName>
    <definedName name="_336honeyko_1" localSheetId="7">[10]機構部品ﾘｽﾄ!#REF!</definedName>
    <definedName name="_336honeyko_1" localSheetId="5">[10]機構部品ﾘｽﾄ!#REF!</definedName>
    <definedName name="_337honeyko_1" localSheetId="6">[10]機構部品ﾘｽﾄ!#REF!</definedName>
    <definedName name="_338honeyko_1" localSheetId="4">[10]機構部品ﾘｽﾄ!#REF!</definedName>
    <definedName name="_338honeyko_1" localSheetId="2">[10]機構部品ﾘｽﾄ!#REF!</definedName>
    <definedName name="_338honeyko_1" localSheetId="7">[10]機構部品ﾘｽﾄ!#REF!</definedName>
    <definedName name="_338honeyko_1" localSheetId="5">[10]機構部品ﾘｽﾄ!#REF!</definedName>
    <definedName name="_338honeyko_1">[10]機構部品ﾘｽﾄ!#REF!</definedName>
    <definedName name="_339IC???_4M_FLASH_1" localSheetId="4">#REF!</definedName>
    <definedName name="_339IC???_4M_FLASH_1" localSheetId="2">#REF!</definedName>
    <definedName name="_339IC???_4M_FLASH_1" localSheetId="7">#REF!</definedName>
    <definedName name="_339IC???_4M_FLASH_1" localSheetId="5">#REF!</definedName>
    <definedName name="_33A1123???????_1" localSheetId="4">#REF!</definedName>
    <definedName name="_33A1123???????_1" localSheetId="2">#REF!</definedName>
    <definedName name="_33A1123???????_1" localSheetId="7">#REF!</definedName>
    <definedName name="_33A1123???????_1" localSheetId="5">#REF!</definedName>
    <definedName name="_33A1123???????_1">#REF!</definedName>
    <definedName name="_340IC???_4M_FLASH_1" localSheetId="6">#REF!</definedName>
    <definedName name="_341IC???_4M_FLASH_1" localSheetId="4">#REF!</definedName>
    <definedName name="_341IC???_4M_FLASH_1" localSheetId="2">#REF!</definedName>
    <definedName name="_341IC???_4M_FLASH_1" localSheetId="7">#REF!</definedName>
    <definedName name="_341IC???_4M_FLASH_1" localSheetId="5">#REF!</definedName>
    <definedName name="_341IC???_4M_FLASH_1">#REF!</definedName>
    <definedName name="_342IC_ANALOG_SW_1" localSheetId="4">#REF!</definedName>
    <definedName name="_342IC_ANALOG_SW_1" localSheetId="2">#REF!</definedName>
    <definedName name="_342IC_ANALOG_SW_1" localSheetId="7">#REF!</definedName>
    <definedName name="_342IC_ANALOG_SW_1" localSheetId="5">#REF!</definedName>
    <definedName name="_343IC_ANALOG_SW_1" localSheetId="6">#REF!</definedName>
    <definedName name="_344IC_ANALOG_SW_1" localSheetId="4">#REF!</definedName>
    <definedName name="_344IC_ANALOG_SW_1" localSheetId="2">#REF!</definedName>
    <definedName name="_344IC_ANALOG_SW_1" localSheetId="7">#REF!</definedName>
    <definedName name="_344IC_ANALOG_SW_1" localSheetId="5">#REF!</definedName>
    <definedName name="_344IC_ANALOG_SW_1">#REF!</definedName>
    <definedName name="_345IC_MEMORY_64_32_SDRAM_1" localSheetId="4">#REF!</definedName>
    <definedName name="_345IC_MEMORY_64_32_SDRAM_1" localSheetId="2">#REF!</definedName>
    <definedName name="_345IC_MEMORY_64_32_SDRAM_1" localSheetId="7">#REF!</definedName>
    <definedName name="_345IC_MEMORY_64_32_SDRAM_1" localSheetId="5">#REF!</definedName>
    <definedName name="_346IC_MEMORY_64_32_SDRAM_1" localSheetId="6">#REF!</definedName>
    <definedName name="_347IC_MEMORY_64_32_SDRAM_1" localSheetId="4">#REF!</definedName>
    <definedName name="_347IC_MEMORY_64_32_SDRAM_1" localSheetId="2">#REF!</definedName>
    <definedName name="_347IC_MEMORY_64_32_SDRAM_1" localSheetId="7">#REF!</definedName>
    <definedName name="_347IC_MEMORY_64_32_SDRAM_1" localSheetId="5">#REF!</definedName>
    <definedName name="_347IC_MEMORY_64_32_SDRAM_1">#REF!</definedName>
    <definedName name="_348ICﾒﾓﾘ_4M_FLASH_1" localSheetId="4">#REF!</definedName>
    <definedName name="_348ICﾒﾓﾘ_4M_FLASH_1" localSheetId="2">#REF!</definedName>
    <definedName name="_348ICﾒﾓﾘ_4M_FLASH_1" localSheetId="7">#REF!</definedName>
    <definedName name="_348ICﾒﾓﾘ_4M_FLASH_1" localSheetId="5">#REF!</definedName>
    <definedName name="_349ICﾒﾓﾘ_4M_FLASH_1" localSheetId="6">#REF!</definedName>
    <definedName name="_34A1123ﾏｲｸﾛﾃｯｸ_1" localSheetId="4">#REF!</definedName>
    <definedName name="_34A1123ﾏｲｸﾛﾃｯｸ_1" localSheetId="2">#REF!</definedName>
    <definedName name="_34A1123ﾏｲｸﾛﾃｯｸ_1" localSheetId="7">#REF!</definedName>
    <definedName name="_34A1123ﾏｲｸﾛﾃｯｸ_1" localSheetId="5">#REF!</definedName>
    <definedName name="_350ICﾒﾓﾘ_4M_FLASH_1" localSheetId="4">#REF!</definedName>
    <definedName name="_350ICﾒﾓﾘ_4M_FLASH_1" localSheetId="2">#REF!</definedName>
    <definedName name="_350ICﾒﾓﾘ_4M_FLASH_1" localSheetId="7">#REF!</definedName>
    <definedName name="_350ICﾒﾓﾘ_4M_FLASH_1" localSheetId="5">#REF!</definedName>
    <definedName name="_350ICﾒﾓﾘ_4M_FLASH_1">#REF!</definedName>
    <definedName name="_351iyay_1" localSheetId="4">[10]回路部品ﾘｽﾄ!#REF!</definedName>
    <definedName name="_351iyay_1" localSheetId="2">[10]回路部品ﾘｽﾄ!#REF!</definedName>
    <definedName name="_351iyay_1" localSheetId="7">[10]回路部品ﾘｽﾄ!#REF!</definedName>
    <definedName name="_351iyay_1" localSheetId="5">[10]回路部品ﾘｽﾄ!#REF!</definedName>
    <definedName name="_352iyay_1" localSheetId="6">[10]回路部品ﾘｽﾄ!#REF!</definedName>
    <definedName name="_353iyay_1" localSheetId="4">[10]回路部品ﾘｽﾄ!#REF!</definedName>
    <definedName name="_353iyay_1" localSheetId="2">[10]回路部品ﾘｽﾄ!#REF!</definedName>
    <definedName name="_353iyay_1" localSheetId="7">[10]回路部品ﾘｽﾄ!#REF!</definedName>
    <definedName name="_353iyay_1" localSheetId="5">[10]回路部品ﾘｽﾄ!#REF!</definedName>
    <definedName name="_353iyay_1">[10]回路部品ﾘｽﾄ!#REF!</definedName>
    <definedName name="_354Japan_1" localSheetId="4">#REF!</definedName>
    <definedName name="_354Japan_1" localSheetId="2">#REF!</definedName>
    <definedName name="_354Japan_1" localSheetId="7">#REF!</definedName>
    <definedName name="_354Japan_1" localSheetId="5">#REF!</definedName>
    <definedName name="_355Japan_1" localSheetId="6">#REF!</definedName>
    <definedName name="_356Japan_1" localSheetId="4">#REF!</definedName>
    <definedName name="_356Japan_1" localSheetId="2">#REF!</definedName>
    <definedName name="_356Japan_1" localSheetId="7">#REF!</definedName>
    <definedName name="_356Japan_1" localSheetId="5">#REF!</definedName>
    <definedName name="_356Japan_1">#REF!</definedName>
    <definedName name="_357jjj_1" localSheetId="4">#REF!</definedName>
    <definedName name="_357jjj_1" localSheetId="2">#REF!</definedName>
    <definedName name="_357jjj_1" localSheetId="7">#REF!</definedName>
    <definedName name="_357jjj_1" localSheetId="5">#REF!</definedName>
    <definedName name="_358jjj_1" localSheetId="6">#REF!</definedName>
    <definedName name="_359jjj_1" localSheetId="4">#REF!</definedName>
    <definedName name="_359jjj_1" localSheetId="2">#REF!</definedName>
    <definedName name="_359jjj_1" localSheetId="7">#REF!</definedName>
    <definedName name="_359jjj_1" localSheetId="5">#REF!</definedName>
    <definedName name="_359jjj_1">#REF!</definedName>
    <definedName name="_35A1123ﾏｲｸﾛﾃｯｸ_1" localSheetId="6">#REF!</definedName>
    <definedName name="_360jngjing_1" localSheetId="4">'[6]Diff_Data _2_'!#REF!</definedName>
    <definedName name="_360jngjing_1" localSheetId="2">'[6]Diff_Data _2_'!#REF!</definedName>
    <definedName name="_360jngjing_1" localSheetId="7">'[6]Diff_Data _2_'!#REF!</definedName>
    <definedName name="_360jngjing_1" localSheetId="5">'[6]Diff_Data _2_'!#REF!</definedName>
    <definedName name="_361jngjing_1" localSheetId="6">'[6]Diff_Data _2_'!#REF!</definedName>
    <definedName name="_362jngjing_1" localSheetId="4">'[6]Diff_Data _2_'!#REF!</definedName>
    <definedName name="_362jngjing_1" localSheetId="2">'[6]Diff_Data _2_'!#REF!</definedName>
    <definedName name="_362jngjing_1" localSheetId="7">'[6]Diff_Data _2_'!#REF!</definedName>
    <definedName name="_362jngjing_1" localSheetId="5">'[6]Diff_Data _2_'!#REF!</definedName>
    <definedName name="_362jngjing_1">'[6]Diff_Data _2_'!#REF!</definedName>
    <definedName name="_363k11_1" localSheetId="4">'[3]Diff_Data _2_'!#REF!</definedName>
    <definedName name="_363k11_1" localSheetId="2">'[3]Diff_Data _2_'!#REF!</definedName>
    <definedName name="_363k11_1" localSheetId="7">'[3]Diff_Data _2_'!#REF!</definedName>
    <definedName name="_363k11_1" localSheetId="5">'[3]Diff_Data _2_'!#REF!</definedName>
    <definedName name="_364k11_1" localSheetId="6">'[3]Diff_Data _2_'!#REF!</definedName>
    <definedName name="_365k11_1" localSheetId="4">'[3]Diff_Data _2_'!#REF!</definedName>
    <definedName name="_365k11_1" localSheetId="2">'[3]Diff_Data _2_'!#REF!</definedName>
    <definedName name="_365k11_1" localSheetId="7">'[3]Diff_Data _2_'!#REF!</definedName>
    <definedName name="_365k11_1" localSheetId="5">'[3]Diff_Data _2_'!#REF!</definedName>
    <definedName name="_365k11_1">'[3]Diff_Data _2_'!#REF!</definedName>
    <definedName name="_366K4S643232F_TC50_1" localSheetId="4">#REF!</definedName>
    <definedName name="_366K4S643232F_TC50_1" localSheetId="2">#REF!</definedName>
    <definedName name="_366K4S643232F_TC50_1" localSheetId="7">#REF!</definedName>
    <definedName name="_366K4S643232F_TC50_1" localSheetId="5">#REF!</definedName>
    <definedName name="_367K4S643232F_TC50_1" localSheetId="6">#REF!</definedName>
    <definedName name="_368K4S643232F_TC50_1" localSheetId="4">#REF!</definedName>
    <definedName name="_368K4S643232F_TC50_1" localSheetId="2">#REF!</definedName>
    <definedName name="_368K4S643232F_TC50_1" localSheetId="7">#REF!</definedName>
    <definedName name="_368K4S643232F_TC50_1" localSheetId="5">#REF!</definedName>
    <definedName name="_368K4S643232F_TC50_1">#REF!</definedName>
    <definedName name="_369KBYTFO_1" localSheetId="4">[8]DEFINITION1!#REF!</definedName>
    <definedName name="_369KBYTFO_1" localSheetId="2">[8]DEFINITION1!#REF!</definedName>
    <definedName name="_369KBYTFO_1" localSheetId="7">[8]DEFINITION1!#REF!</definedName>
    <definedName name="_369KBYTFO_1" localSheetId="5">[8]DEFINITION1!#REF!</definedName>
    <definedName name="_36A1123ﾏｲｸﾛﾃｯｸ_1" localSheetId="4">#REF!</definedName>
    <definedName name="_36A1123ﾏｲｸﾛﾃｯｸ_1" localSheetId="2">#REF!</definedName>
    <definedName name="_36A1123ﾏｲｸﾛﾃｯｸ_1" localSheetId="7">#REF!</definedName>
    <definedName name="_36A1123ﾏｲｸﾛﾃｯｸ_1" localSheetId="5">#REF!</definedName>
    <definedName name="_36A1123ﾏｲｸﾛﾃｯｸ_1">#REF!</definedName>
    <definedName name="_370KBYTFO_1" localSheetId="6">[8]DEFINITION1!#REF!</definedName>
    <definedName name="_371KBYTFO_1" localSheetId="4">[8]DEFINITION1!#REF!</definedName>
    <definedName name="_371KBYTFO_1" localSheetId="2">[8]DEFINITION1!#REF!</definedName>
    <definedName name="_371KBYTFO_1" localSheetId="7">[8]DEFINITION1!#REF!</definedName>
    <definedName name="_371KBYTFO_1" localSheetId="5">[8]DEFINITION1!#REF!</definedName>
    <definedName name="_371KBYTFO_1">[8]DEFINITION1!#REF!</definedName>
    <definedName name="_372kj_1" localSheetId="4">[5]DEFINITION1!#REF!</definedName>
    <definedName name="_372kj_1" localSheetId="2">[5]DEFINITION1!#REF!</definedName>
    <definedName name="_372kj_1" localSheetId="7">[5]DEFINITION1!#REF!</definedName>
    <definedName name="_372kj_1" localSheetId="5">[5]DEFINITION1!#REF!</definedName>
    <definedName name="_373kj_1" localSheetId="6">[5]DEFINITION1!#REF!</definedName>
    <definedName name="_374kj_1" localSheetId="4">[5]DEFINITION1!#REF!</definedName>
    <definedName name="_374kj_1" localSheetId="2">[5]DEFINITION1!#REF!</definedName>
    <definedName name="_374kj_1" localSheetId="7">[5]DEFINITION1!#REF!</definedName>
    <definedName name="_374kj_1" localSheetId="5">[5]DEFINITION1!#REF!</definedName>
    <definedName name="_374kj_1">[5]DEFINITION1!#REF!</definedName>
    <definedName name="_375kkkk_1" localSheetId="4">#REF!</definedName>
    <definedName name="_375kkkk_1" localSheetId="2">#REF!</definedName>
    <definedName name="_375kkkk_1" localSheetId="7">#REF!</definedName>
    <definedName name="_375kkkk_1" localSheetId="5">#REF!</definedName>
    <definedName name="_376kkkk_1" localSheetId="6">#REF!</definedName>
    <definedName name="_377kkkk_1" localSheetId="4">#REF!</definedName>
    <definedName name="_377kkkk_1" localSheetId="2">#REF!</definedName>
    <definedName name="_377kkkk_1" localSheetId="7">#REF!</definedName>
    <definedName name="_377kkkk_1" localSheetId="5">#REF!</definedName>
    <definedName name="_377kkkk_1">#REF!</definedName>
    <definedName name="_378kkkkk_1" localSheetId="4">#REF!</definedName>
    <definedName name="_378kkkkk_1" localSheetId="2">#REF!</definedName>
    <definedName name="_378kkkkk_1" localSheetId="7">#REF!</definedName>
    <definedName name="_378kkkkk_1" localSheetId="5">#REF!</definedName>
    <definedName name="_379kkkkk_1" localSheetId="6">#REF!</definedName>
    <definedName name="_37A1195??_1" localSheetId="4">#REF!</definedName>
    <definedName name="_37A1195??_1" localSheetId="2">#REF!</definedName>
    <definedName name="_37A1195??_1" localSheetId="7">#REF!</definedName>
    <definedName name="_37A1195??_1" localSheetId="5">#REF!</definedName>
    <definedName name="_380kkkkk_1" localSheetId="4">#REF!</definedName>
    <definedName name="_380kkkkk_1" localSheetId="2">#REF!</definedName>
    <definedName name="_380kkkkk_1" localSheetId="7">#REF!</definedName>
    <definedName name="_380kkkkk_1" localSheetId="5">#REF!</definedName>
    <definedName name="_380kkkkk_1">#REF!</definedName>
    <definedName name="_381KNJIH_1" localSheetId="4">[8]DEFINITION1!#REF!</definedName>
    <definedName name="_381KNJIH_1" localSheetId="2">[8]DEFINITION1!#REF!</definedName>
    <definedName name="_381KNJIH_1" localSheetId="7">[8]DEFINITION1!#REF!</definedName>
    <definedName name="_381KNJIH_1" localSheetId="5">[8]DEFINITION1!#REF!</definedName>
    <definedName name="_382KNJIH_1" localSheetId="6">[8]DEFINITION1!#REF!</definedName>
    <definedName name="_383KNJIH_1" localSheetId="4">[8]DEFINITION1!#REF!</definedName>
    <definedName name="_383KNJIH_1" localSheetId="2">[8]DEFINITION1!#REF!</definedName>
    <definedName name="_383KNJIH_1" localSheetId="7">[8]DEFINITION1!#REF!</definedName>
    <definedName name="_383KNJIH_1" localSheetId="5">[8]DEFINITION1!#REF!</definedName>
    <definedName name="_383KNJIH_1">[8]DEFINITION1!#REF!</definedName>
    <definedName name="_384Korea_1" localSheetId="4">#REF!</definedName>
    <definedName name="_384Korea_1" localSheetId="2">#REF!</definedName>
    <definedName name="_384Korea_1" localSheetId="7">#REF!</definedName>
    <definedName name="_384Korea_1" localSheetId="5">#REF!</definedName>
    <definedName name="_385Korea_1" localSheetId="6">#REF!</definedName>
    <definedName name="_386Korea_1" localSheetId="4">#REF!</definedName>
    <definedName name="_386Korea_1" localSheetId="2">#REF!</definedName>
    <definedName name="_386Korea_1" localSheetId="7">#REF!</definedName>
    <definedName name="_386Korea_1" localSheetId="5">#REF!</definedName>
    <definedName name="_386Korea_1">#REF!</definedName>
    <definedName name="_387Korea_kiheung_1" localSheetId="4">#REF!</definedName>
    <definedName name="_387Korea_kiheung_1" localSheetId="2">#REF!</definedName>
    <definedName name="_387Korea_kiheung_1" localSheetId="7">#REF!</definedName>
    <definedName name="_387Korea_kiheung_1" localSheetId="5">#REF!</definedName>
    <definedName name="_388Korea_kiheung_1" localSheetId="6">#REF!</definedName>
    <definedName name="_389Korea_kiheung_1" localSheetId="4">#REF!</definedName>
    <definedName name="_389Korea_kiheung_1" localSheetId="2">#REF!</definedName>
    <definedName name="_389Korea_kiheung_1" localSheetId="7">#REF!</definedName>
    <definedName name="_389Korea_kiheung_1" localSheetId="5">#REF!</definedName>
    <definedName name="_389Korea_kiheung_1">#REF!</definedName>
    <definedName name="_38A1195??_1" localSheetId="6">#REF!</definedName>
    <definedName name="_390Korea_onyan_1" localSheetId="4">#REF!</definedName>
    <definedName name="_390Korea_onyan_1" localSheetId="2">#REF!</definedName>
    <definedName name="_390Korea_onyan_1" localSheetId="7">#REF!</definedName>
    <definedName name="_390Korea_onyan_1" localSheetId="5">#REF!</definedName>
    <definedName name="_391Korea_onyan_1" localSheetId="6">#REF!</definedName>
    <definedName name="_392Korea_onyan_1" localSheetId="4">#REF!</definedName>
    <definedName name="_392Korea_onyan_1" localSheetId="2">#REF!</definedName>
    <definedName name="_392Korea_onyan_1" localSheetId="7">#REF!</definedName>
    <definedName name="_392Korea_onyan_1" localSheetId="5">#REF!</definedName>
    <definedName name="_392Korea_onyan_1">#REF!</definedName>
    <definedName name="_393lbkdjg_1" localSheetId="4">'[6]Diff_Data _2_'!#REF!</definedName>
    <definedName name="_393lbkdjg_1" localSheetId="2">'[6]Diff_Data _2_'!#REF!</definedName>
    <definedName name="_393lbkdjg_1" localSheetId="7">'[6]Diff_Data _2_'!#REF!</definedName>
    <definedName name="_393lbkdjg_1" localSheetId="5">'[6]Diff_Data _2_'!#REF!</definedName>
    <definedName name="_394lbkdjg_1" localSheetId="6">'[6]Diff_Data _2_'!#REF!</definedName>
    <definedName name="_395lbkdjg_1" localSheetId="4">'[6]Diff_Data _2_'!#REF!</definedName>
    <definedName name="_395lbkdjg_1" localSheetId="2">'[6]Diff_Data _2_'!#REF!</definedName>
    <definedName name="_395lbkdjg_1" localSheetId="7">'[6]Diff_Data _2_'!#REF!</definedName>
    <definedName name="_395lbkdjg_1" localSheetId="5">'[6]Diff_Data _2_'!#REF!</definedName>
    <definedName name="_395lbkdjg_1">'[6]Diff_Data _2_'!#REF!</definedName>
    <definedName name="_396lknhkm_1" localSheetId="4">'[6]Diff_Data _2_'!#REF!</definedName>
    <definedName name="_396lknhkm_1" localSheetId="2">'[6]Diff_Data _2_'!#REF!</definedName>
    <definedName name="_396lknhkm_1" localSheetId="7">'[6]Diff_Data _2_'!#REF!</definedName>
    <definedName name="_396lknhkm_1" localSheetId="5">'[6]Diff_Data _2_'!#REF!</definedName>
    <definedName name="_397lknhkm_1" localSheetId="6">'[6]Diff_Data _2_'!#REF!</definedName>
    <definedName name="_398lknhkm_1" localSheetId="4">'[6]Diff_Data _2_'!#REF!</definedName>
    <definedName name="_398lknhkm_1" localSheetId="2">'[6]Diff_Data _2_'!#REF!</definedName>
    <definedName name="_398lknhkm_1" localSheetId="7">'[6]Diff_Data _2_'!#REF!</definedName>
    <definedName name="_398lknhkm_1" localSheetId="5">'[6]Diff_Data _2_'!#REF!</definedName>
    <definedName name="_398lknhkm_1">'[6]Diff_Data _2_'!#REF!</definedName>
    <definedName name="_399ll_1" localSheetId="4">#REF!</definedName>
    <definedName name="_399ll_1" localSheetId="2">#REF!</definedName>
    <definedName name="_399ll_1" localSheetId="7">#REF!</definedName>
    <definedName name="_399ll_1" localSheetId="5">#REF!</definedName>
    <definedName name="_39A1195??_1" localSheetId="4">#REF!</definedName>
    <definedName name="_39A1195??_1" localSheetId="2">#REF!</definedName>
    <definedName name="_39A1195??_1" localSheetId="7">#REF!</definedName>
    <definedName name="_39A1195??_1" localSheetId="5">#REF!</definedName>
    <definedName name="_39A1195??_1">#REF!</definedName>
    <definedName name="_4_????" localSheetId="4">#REF!</definedName>
    <definedName name="_4_????" localSheetId="2">#REF!</definedName>
    <definedName name="_4_????" localSheetId="6">#REF!</definedName>
    <definedName name="_4_????" localSheetId="7">#REF!</definedName>
    <definedName name="_4_????" localSheetId="5">#REF!</definedName>
    <definedName name="_4_????">#REF!</definedName>
    <definedName name="_400ll_1" localSheetId="6">#REF!</definedName>
    <definedName name="_401ll_1" localSheetId="4">#REF!</definedName>
    <definedName name="_401ll_1" localSheetId="2">#REF!</definedName>
    <definedName name="_401ll_1" localSheetId="7">#REF!</definedName>
    <definedName name="_401ll_1" localSheetId="5">#REF!</definedName>
    <definedName name="_401ll_1">#REF!</definedName>
    <definedName name="_402lll_1" localSheetId="4">#REF!</definedName>
    <definedName name="_402lll_1" localSheetId="2">#REF!</definedName>
    <definedName name="_402lll_1" localSheetId="7">#REF!</definedName>
    <definedName name="_402lll_1" localSheetId="5">#REF!</definedName>
    <definedName name="_403lll_1" localSheetId="6">#REF!</definedName>
    <definedName name="_404lll_1" localSheetId="4">#REF!</definedName>
    <definedName name="_404lll_1" localSheetId="2">#REF!</definedName>
    <definedName name="_404lll_1" localSheetId="7">#REF!</definedName>
    <definedName name="_404lll_1" localSheetId="5">#REF!</definedName>
    <definedName name="_404lll_1">#REF!</definedName>
    <definedName name="_405Malaysia_1" localSheetId="4">#REF!</definedName>
    <definedName name="_405Malaysia_1" localSheetId="2">#REF!</definedName>
    <definedName name="_405Malaysia_1" localSheetId="7">#REF!</definedName>
    <definedName name="_405Malaysia_1" localSheetId="5">#REF!</definedName>
    <definedName name="_406Malaysia_1" localSheetId="6">#REF!</definedName>
    <definedName name="_407Malaysia_1" localSheetId="4">#REF!</definedName>
    <definedName name="_407Malaysia_1" localSheetId="2">#REF!</definedName>
    <definedName name="_407Malaysia_1" localSheetId="7">#REF!</definedName>
    <definedName name="_407Malaysia_1" localSheetId="5">#REF!</definedName>
    <definedName name="_407Malaysia_1">#REF!</definedName>
    <definedName name="_408Master_Data_1" localSheetId="4">#REF!</definedName>
    <definedName name="_408Master_Data_1" localSheetId="2">#REF!</definedName>
    <definedName name="_408Master_Data_1" localSheetId="7">#REF!</definedName>
    <definedName name="_408Master_Data_1" localSheetId="5">#REF!</definedName>
    <definedName name="_409Master_Data_1" localSheetId="6">#REF!</definedName>
    <definedName name="_40A1195三洋_1" localSheetId="4">#REF!</definedName>
    <definedName name="_40A1195三洋_1" localSheetId="2">#REF!</definedName>
    <definedName name="_40A1195三洋_1" localSheetId="7">#REF!</definedName>
    <definedName name="_40A1195三洋_1" localSheetId="5">#REF!</definedName>
    <definedName name="_410Master_Data_1" localSheetId="4">#REF!</definedName>
    <definedName name="_410Master_Data_1" localSheetId="2">#REF!</definedName>
    <definedName name="_410Master_Data_1" localSheetId="7">#REF!</definedName>
    <definedName name="_410Master_Data_1" localSheetId="5">#REF!</definedName>
    <definedName name="_410Master_Data_1">#REF!</definedName>
    <definedName name="_411Master_ModelDwg_1" localSheetId="4">#REF!</definedName>
    <definedName name="_411Master_ModelDwg_1" localSheetId="2">#REF!</definedName>
    <definedName name="_411Master_ModelDwg_1" localSheetId="7">#REF!</definedName>
    <definedName name="_411Master_ModelDwg_1" localSheetId="5">#REF!</definedName>
    <definedName name="_412Master_ModelDwg_1" localSheetId="6">#REF!</definedName>
    <definedName name="_413Master_ModelDwg_1" localSheetId="4">#REF!</definedName>
    <definedName name="_413Master_ModelDwg_1" localSheetId="2">#REF!</definedName>
    <definedName name="_413Master_ModelDwg_1" localSheetId="7">#REF!</definedName>
    <definedName name="_413Master_ModelDwg_1" localSheetId="5">#REF!</definedName>
    <definedName name="_413Master_ModelDwg_1">#REF!</definedName>
    <definedName name="_414Master_ModelName_1" localSheetId="4">#REF!</definedName>
    <definedName name="_414Master_ModelName_1" localSheetId="2">#REF!</definedName>
    <definedName name="_414Master_ModelName_1" localSheetId="7">#REF!</definedName>
    <definedName name="_414Master_ModelName_1" localSheetId="5">#REF!</definedName>
    <definedName name="_415Master_ModelName_1" localSheetId="6">#REF!</definedName>
    <definedName name="_416Master_ModelName_1" localSheetId="4">#REF!</definedName>
    <definedName name="_416Master_ModelName_1" localSheetId="2">#REF!</definedName>
    <definedName name="_416Master_ModelName_1" localSheetId="7">#REF!</definedName>
    <definedName name="_416Master_ModelName_1" localSheetId="5">#REF!</definedName>
    <definedName name="_416Master_ModelName_1">#REF!</definedName>
    <definedName name="_417Master_PartsDwg_1" localSheetId="4">#REF!</definedName>
    <definedName name="_417Master_PartsDwg_1" localSheetId="2">#REF!</definedName>
    <definedName name="_417Master_PartsDwg_1" localSheetId="7">#REF!</definedName>
    <definedName name="_417Master_PartsDwg_1" localSheetId="5">#REF!</definedName>
    <definedName name="_418Master_PartsDwg_1" localSheetId="6">#REF!</definedName>
    <definedName name="_419Master_PartsDwg_1" localSheetId="4">#REF!</definedName>
    <definedName name="_419Master_PartsDwg_1" localSheetId="2">#REF!</definedName>
    <definedName name="_419Master_PartsDwg_1" localSheetId="7">#REF!</definedName>
    <definedName name="_419Master_PartsDwg_1" localSheetId="5">#REF!</definedName>
    <definedName name="_419Master_PartsDwg_1">#REF!</definedName>
    <definedName name="_41A1195三洋_1" localSheetId="6">#REF!</definedName>
    <definedName name="_420MBM29LV400TC_70_1" localSheetId="4">#REF!</definedName>
    <definedName name="_420MBM29LV400TC_70_1" localSheetId="2">#REF!</definedName>
    <definedName name="_420MBM29LV400TC_70_1" localSheetId="7">#REF!</definedName>
    <definedName name="_420MBM29LV400TC_70_1" localSheetId="5">#REF!</definedName>
    <definedName name="_421MBM29LV400TC_70_1" localSheetId="6">#REF!</definedName>
    <definedName name="_422MBM29LV400TC_70_1" localSheetId="4">#REF!</definedName>
    <definedName name="_422MBM29LV400TC_70_1" localSheetId="2">#REF!</definedName>
    <definedName name="_422MBM29LV400TC_70_1" localSheetId="7">#REF!</definedName>
    <definedName name="_422MBM29LV400TC_70_1" localSheetId="5">#REF!</definedName>
    <definedName name="_422MBM29LV400TC_70_1">#REF!</definedName>
    <definedName name="_423MBM29LV400TC_70FTN_S_1" localSheetId="4">#REF!</definedName>
    <definedName name="_423MBM29LV400TC_70FTN_S_1" localSheetId="2">#REF!</definedName>
    <definedName name="_423MBM29LV400TC_70FTN_S_1" localSheetId="7">#REF!</definedName>
    <definedName name="_423MBM29LV400TC_70FTN_S_1" localSheetId="5">#REF!</definedName>
    <definedName name="_424MBM29LV400TC_70FTN_S_1" localSheetId="6">#REF!</definedName>
    <definedName name="_425MBM29LV400TC_70FTN_S_1" localSheetId="4">#REF!</definedName>
    <definedName name="_425MBM29LV400TC_70FTN_S_1" localSheetId="2">#REF!</definedName>
    <definedName name="_425MBM29LV400TC_70FTN_S_1" localSheetId="7">#REF!</definedName>
    <definedName name="_425MBM29LV400TC_70FTN_S_1" localSheetId="5">#REF!</definedName>
    <definedName name="_425MBM29LV400TC_70FTN_S_1">#REF!</definedName>
    <definedName name="_426mgfoknfhn_1" localSheetId="4">'[6]Diff_Data _2_'!#REF!</definedName>
    <definedName name="_426mgfoknfhn_1" localSheetId="2">'[6]Diff_Data _2_'!#REF!</definedName>
    <definedName name="_426mgfoknfhn_1" localSheetId="7">'[6]Diff_Data _2_'!#REF!</definedName>
    <definedName name="_426mgfoknfhn_1" localSheetId="5">'[6]Diff_Data _2_'!#REF!</definedName>
    <definedName name="_427mgfoknfhn_1" localSheetId="6">'[6]Diff_Data _2_'!#REF!</definedName>
    <definedName name="_428mgfoknfhn_1" localSheetId="4">'[6]Diff_Data _2_'!#REF!</definedName>
    <definedName name="_428mgfoknfhn_1" localSheetId="2">'[6]Diff_Data _2_'!#REF!</definedName>
    <definedName name="_428mgfoknfhn_1" localSheetId="7">'[6]Diff_Data _2_'!#REF!</definedName>
    <definedName name="_428mgfoknfhn_1" localSheetId="5">'[6]Diff_Data _2_'!#REF!</definedName>
    <definedName name="_428mgfoknfhn_1">'[6]Diff_Data _2_'!#REF!</definedName>
    <definedName name="_429n_1" localSheetId="4">#REF!</definedName>
    <definedName name="_429n_1" localSheetId="2">#REF!</definedName>
    <definedName name="_429n_1" localSheetId="7">#REF!</definedName>
    <definedName name="_429n_1" localSheetId="5">#REF!</definedName>
    <definedName name="_42A1195三洋_1" localSheetId="4">#REF!</definedName>
    <definedName name="_42A1195三洋_1" localSheetId="2">#REF!</definedName>
    <definedName name="_42A1195三洋_1" localSheetId="7">#REF!</definedName>
    <definedName name="_42A1195三洋_1" localSheetId="5">#REF!</definedName>
    <definedName name="_42A1195三洋_1">#REF!</definedName>
    <definedName name="_430n_1" localSheetId="6">#REF!</definedName>
    <definedName name="_431n_1" localSheetId="4">#REF!</definedName>
    <definedName name="_431n_1" localSheetId="2">#REF!</definedName>
    <definedName name="_431n_1" localSheetId="7">#REF!</definedName>
    <definedName name="_431n_1" localSheetId="5">#REF!</definedName>
    <definedName name="_431n_1">#REF!</definedName>
    <definedName name="_432njigsd_1" localSheetId="4">'[6]Diff_Data _2_'!#REF!</definedName>
    <definedName name="_432njigsd_1" localSheetId="2">'[6]Diff_Data _2_'!#REF!</definedName>
    <definedName name="_432njigsd_1" localSheetId="7">'[6]Diff_Data _2_'!#REF!</definedName>
    <definedName name="_432njigsd_1" localSheetId="5">'[6]Diff_Data _2_'!#REF!</definedName>
    <definedName name="_433njigsd_1" localSheetId="6">'[6]Diff_Data _2_'!#REF!</definedName>
    <definedName name="_434njigsd_1" localSheetId="4">'[6]Diff_Data _2_'!#REF!</definedName>
    <definedName name="_434njigsd_1" localSheetId="2">'[6]Diff_Data _2_'!#REF!</definedName>
    <definedName name="_434njigsd_1" localSheetId="7">'[6]Diff_Data _2_'!#REF!</definedName>
    <definedName name="_434njigsd_1" localSheetId="5">'[6]Diff_Data _2_'!#REF!</definedName>
    <definedName name="_434njigsd_1">'[6]Diff_Data _2_'!#REF!</definedName>
    <definedName name="_435NN_1" localSheetId="4">#REF!</definedName>
    <definedName name="_435NN_1" localSheetId="2">#REF!</definedName>
    <definedName name="_435NN_1" localSheetId="7">#REF!</definedName>
    <definedName name="_435NN_1" localSheetId="5">#REF!</definedName>
    <definedName name="_436NN_1" localSheetId="6">#REF!</definedName>
    <definedName name="_437NN_1" localSheetId="4">#REF!</definedName>
    <definedName name="_437NN_1" localSheetId="2">#REF!</definedName>
    <definedName name="_437NN_1" localSheetId="7">#REF!</definedName>
    <definedName name="_437NN_1" localSheetId="5">#REF!</definedName>
    <definedName name="_437NN_1">#REF!</definedName>
    <definedName name="_438Pa?????_1" localSheetId="4">[1]_______!#REF!</definedName>
    <definedName name="_438Pa?????_1" localSheetId="2">[1]_______!#REF!</definedName>
    <definedName name="_438Pa?????_1" localSheetId="7">[1]_______!#REF!</definedName>
    <definedName name="_438Pa?????_1" localSheetId="5">[1]_______!#REF!</definedName>
    <definedName name="_439Pa?????_1" localSheetId="6">[1]_______!#REF!</definedName>
    <definedName name="_43A1231???_1" localSheetId="4">#REF!</definedName>
    <definedName name="_43A1231???_1" localSheetId="2">#REF!</definedName>
    <definedName name="_43A1231???_1" localSheetId="7">#REF!</definedName>
    <definedName name="_43A1231???_1" localSheetId="5">#REF!</definedName>
    <definedName name="_440Pa?????_1" localSheetId="4">[1]_______!#REF!</definedName>
    <definedName name="_440Pa?????_1" localSheetId="2">[1]_______!#REF!</definedName>
    <definedName name="_440Pa?????_1" localSheetId="7">[1]_______!#REF!</definedName>
    <definedName name="_440Pa?????_1" localSheetId="5">[1]_______!#REF!</definedName>
    <definedName name="_440Pa?????_1">[1]_______!#REF!</definedName>
    <definedName name="_441Pa?????_2" localSheetId="4">[1]_______!#REF!</definedName>
    <definedName name="_441Pa?????_2" localSheetId="2">[1]_______!#REF!</definedName>
    <definedName name="_441Pa?????_2" localSheetId="7">[1]_______!#REF!</definedName>
    <definedName name="_441Pa?????_2" localSheetId="5">[1]_______!#REF!</definedName>
    <definedName name="_442Pa?????_2" localSheetId="6">[1]_______!#REF!</definedName>
    <definedName name="_443Pa?????_2" localSheetId="4">[1]_______!#REF!</definedName>
    <definedName name="_443Pa?????_2" localSheetId="2">[1]_______!#REF!</definedName>
    <definedName name="_443Pa?????_2" localSheetId="7">[1]_______!#REF!</definedName>
    <definedName name="_443Pa?????_2" localSheetId="5">[1]_______!#REF!</definedName>
    <definedName name="_443Pa?????_2">[1]_______!#REF!</definedName>
    <definedName name="_444Pa?????_3" localSheetId="4">[1]_______!#REF!</definedName>
    <definedName name="_444Pa?????_3" localSheetId="2">[1]_______!#REF!</definedName>
    <definedName name="_444Pa?????_3" localSheetId="7">[1]_______!#REF!</definedName>
    <definedName name="_444Pa?????_3" localSheetId="5">[1]_______!#REF!</definedName>
    <definedName name="_445Pa?????_3" localSheetId="6">[1]_______!#REF!</definedName>
    <definedName name="_446Pa?????_3" localSheetId="4">[1]_______!#REF!</definedName>
    <definedName name="_446Pa?????_3" localSheetId="2">[1]_______!#REF!</definedName>
    <definedName name="_446Pa?????_3" localSheetId="7">[1]_______!#REF!</definedName>
    <definedName name="_446Pa?????_3" localSheetId="5">[1]_______!#REF!</definedName>
    <definedName name="_446Pa?????_3">[1]_______!#REF!</definedName>
    <definedName name="_447Pa図回路部品_1" localSheetId="4">[11]回路部品ﾘｽﾄ!#REF!</definedName>
    <definedName name="_447Pa図回路部品_1" localSheetId="2">[11]回路部品ﾘｽﾄ!#REF!</definedName>
    <definedName name="_447Pa図回路部品_1" localSheetId="7">[11]回路部品ﾘｽﾄ!#REF!</definedName>
    <definedName name="_447Pa図回路部品_1" localSheetId="5">[11]回路部品ﾘｽﾄ!#REF!</definedName>
    <definedName name="_448Pa図回路部品_1" localSheetId="6">[11]回路部品ﾘｽﾄ!#REF!</definedName>
    <definedName name="_449Pa図回路部品_1" localSheetId="4">[11]回路部品ﾘｽﾄ!#REF!</definedName>
    <definedName name="_449Pa図回路部品_1" localSheetId="2">[11]回路部品ﾘｽﾄ!#REF!</definedName>
    <definedName name="_449Pa図回路部品_1" localSheetId="7">[11]回路部品ﾘｽﾄ!#REF!</definedName>
    <definedName name="_449Pa図回路部品_1" localSheetId="5">[11]回路部品ﾘｽﾄ!#REF!</definedName>
    <definedName name="_449Pa図回路部品_1">[11]回路部品ﾘｽﾄ!#REF!</definedName>
    <definedName name="_44A1231???_1" localSheetId="6">#REF!</definedName>
    <definedName name="_450Pa図機構部品_1" localSheetId="4">[11]機構部品ﾘｽﾄ!#REF!</definedName>
    <definedName name="_450Pa図機構部品_1" localSheetId="2">[11]機構部品ﾘｽﾄ!#REF!</definedName>
    <definedName name="_450Pa図機構部品_1" localSheetId="7">[11]機構部品ﾘｽﾄ!#REF!</definedName>
    <definedName name="_450Pa図機構部品_1" localSheetId="5">[11]機構部品ﾘｽﾄ!#REF!</definedName>
    <definedName name="_451Pa図機構部品_1" localSheetId="6">[11]機構部品ﾘｽﾄ!#REF!</definedName>
    <definedName name="_452Pa図機構部品_1" localSheetId="4">[11]機構部品ﾘｽﾄ!#REF!</definedName>
    <definedName name="_452Pa図機構部品_1" localSheetId="2">[11]機構部品ﾘｽﾄ!#REF!</definedName>
    <definedName name="_452Pa図機構部品_1" localSheetId="7">[11]機構部品ﾘｽﾄ!#REF!</definedName>
    <definedName name="_452Pa図機構部品_1" localSheetId="5">[11]機構部品ﾘｽﾄ!#REF!</definedName>
    <definedName name="_452Pa図機構部品_1">[11]機構部品ﾘｽﾄ!#REF!</definedName>
    <definedName name="_453rcvd_1" localSheetId="4">'[6]Diff_Data _2_'!#REF!</definedName>
    <definedName name="_453rcvd_1" localSheetId="2">'[6]Diff_Data _2_'!#REF!</definedName>
    <definedName name="_453rcvd_1" localSheetId="7">'[6]Diff_Data _2_'!#REF!</definedName>
    <definedName name="_453rcvd_1" localSheetId="5">'[6]Diff_Data _2_'!#REF!</definedName>
    <definedName name="_454rcvd_1" localSheetId="6">'[6]Diff_Data _2_'!#REF!</definedName>
    <definedName name="_455rcvd_1" localSheetId="4">'[6]Diff_Data _2_'!#REF!</definedName>
    <definedName name="_455rcvd_1" localSheetId="2">'[6]Diff_Data _2_'!#REF!</definedName>
    <definedName name="_455rcvd_1" localSheetId="7">'[6]Diff_Data _2_'!#REF!</definedName>
    <definedName name="_455rcvd_1" localSheetId="5">'[6]Diff_Data _2_'!#REF!</definedName>
    <definedName name="_455rcvd_1">'[6]Diff_Data _2_'!#REF!</definedName>
    <definedName name="_456rcvd1_1" localSheetId="4">'[6]Diff_Data _2_'!#REF!</definedName>
    <definedName name="_456rcvd1_1" localSheetId="2">'[6]Diff_Data _2_'!#REF!</definedName>
    <definedName name="_456rcvd1_1" localSheetId="7">'[6]Diff_Data _2_'!#REF!</definedName>
    <definedName name="_456rcvd1_1" localSheetId="5">'[6]Diff_Data _2_'!#REF!</definedName>
    <definedName name="_457rcvd1_1" localSheetId="6">'[6]Diff_Data _2_'!#REF!</definedName>
    <definedName name="_458rcvd1_1" localSheetId="4">'[6]Diff_Data _2_'!#REF!</definedName>
    <definedName name="_458rcvd1_1" localSheetId="2">'[6]Diff_Data _2_'!#REF!</definedName>
    <definedName name="_458rcvd1_1" localSheetId="7">'[6]Diff_Data _2_'!#REF!</definedName>
    <definedName name="_458rcvd1_1" localSheetId="5">'[6]Diff_Data _2_'!#REF!</definedName>
    <definedName name="_458rcvd1_1">'[6]Diff_Data _2_'!#REF!</definedName>
    <definedName name="_459reciv_1" localSheetId="4">[8]DEFINITION1!#REF!</definedName>
    <definedName name="_459reciv_1" localSheetId="2">[8]DEFINITION1!#REF!</definedName>
    <definedName name="_459reciv_1" localSheetId="7">[8]DEFINITION1!#REF!</definedName>
    <definedName name="_459reciv_1" localSheetId="5">[8]DEFINITION1!#REF!</definedName>
    <definedName name="_45A1231???_1" localSheetId="4">#REF!</definedName>
    <definedName name="_45A1231???_1" localSheetId="2">#REF!</definedName>
    <definedName name="_45A1231???_1" localSheetId="7">#REF!</definedName>
    <definedName name="_45A1231???_1" localSheetId="5">#REF!</definedName>
    <definedName name="_45A1231???_1">#REF!</definedName>
    <definedName name="_460reciv_1" localSheetId="6">[8]DEFINITION1!#REF!</definedName>
    <definedName name="_461reciv_1" localSheetId="4">[8]DEFINITION1!#REF!</definedName>
    <definedName name="_461reciv_1" localSheetId="2">[8]DEFINITION1!#REF!</definedName>
    <definedName name="_461reciv_1" localSheetId="7">[8]DEFINITION1!#REF!</definedName>
    <definedName name="_461reciv_1" localSheetId="5">[8]DEFINITION1!#REF!</definedName>
    <definedName name="_461reciv_1">[8]DEFINITION1!#REF!</definedName>
    <definedName name="_462REGRP_1" localSheetId="4">[12]DEFINITION1!#REF!</definedName>
    <definedName name="_462REGRP_1" localSheetId="2">[12]DEFINITION1!#REF!</definedName>
    <definedName name="_462REGRP_1" localSheetId="7">[12]DEFINITION1!#REF!</definedName>
    <definedName name="_462REGRP_1" localSheetId="5">[12]DEFINITION1!#REF!</definedName>
    <definedName name="_463REGRP_1" localSheetId="6">[12]DEFINITION1!#REF!</definedName>
    <definedName name="_464REGRP_1" localSheetId="4">[12]DEFINITION1!#REF!</definedName>
    <definedName name="_464REGRP_1" localSheetId="2">[12]DEFINITION1!#REF!</definedName>
    <definedName name="_464REGRP_1" localSheetId="7">[12]DEFINITION1!#REF!</definedName>
    <definedName name="_464REGRP_1" localSheetId="5">[12]DEFINITION1!#REF!</definedName>
    <definedName name="_464REGRP_1">[12]DEFINITION1!#REF!</definedName>
    <definedName name="_465RELAN_1" localSheetId="4">[12]DEFINITION1!#REF!</definedName>
    <definedName name="_465RELAN_1" localSheetId="2">[12]DEFINITION1!#REF!</definedName>
    <definedName name="_465RELAN_1" localSheetId="7">[12]DEFINITION1!#REF!</definedName>
    <definedName name="_465RELAN_1" localSheetId="5">[12]DEFINITION1!#REF!</definedName>
    <definedName name="_466RELAN_1" localSheetId="6">[12]DEFINITION1!#REF!</definedName>
    <definedName name="_467RELAN_1" localSheetId="4">[12]DEFINITION1!#REF!</definedName>
    <definedName name="_467RELAN_1" localSheetId="2">[12]DEFINITION1!#REF!</definedName>
    <definedName name="_467RELAN_1" localSheetId="7">[12]DEFINITION1!#REF!</definedName>
    <definedName name="_467RELAN_1" localSheetId="5">[12]DEFINITION1!#REF!</definedName>
    <definedName name="_467RELAN_1">[12]DEFINITION1!#REF!</definedName>
    <definedName name="_468RENESAS_1" localSheetId="4">#REF!</definedName>
    <definedName name="_468RENESAS_1" localSheetId="2">#REF!</definedName>
    <definedName name="_468RENESAS_1" localSheetId="7">#REF!</definedName>
    <definedName name="_468RENESAS_1" localSheetId="5">#REF!</definedName>
    <definedName name="_469RENESAS_1" localSheetId="6">#REF!</definedName>
    <definedName name="_46A1231旭硝子_1" localSheetId="4">#REF!</definedName>
    <definedName name="_46A1231旭硝子_1" localSheetId="2">#REF!</definedName>
    <definedName name="_46A1231旭硝子_1" localSheetId="7">#REF!</definedName>
    <definedName name="_46A1231旭硝子_1" localSheetId="5">#REF!</definedName>
    <definedName name="_470RENESAS_1" localSheetId="4">#REF!</definedName>
    <definedName name="_470RENESAS_1" localSheetId="2">#REF!</definedName>
    <definedName name="_470RENESAS_1" localSheetId="7">#REF!</definedName>
    <definedName name="_470RENESAS_1" localSheetId="5">#REF!</definedName>
    <definedName name="_470RENESAS_1">#REF!</definedName>
    <definedName name="_471REPFILE_1" localSheetId="4">[12]DEFINITION1!#REF!</definedName>
    <definedName name="_471REPFILE_1" localSheetId="2">[12]DEFINITION1!#REF!</definedName>
    <definedName name="_471REPFILE_1" localSheetId="7">[12]DEFINITION1!#REF!</definedName>
    <definedName name="_471REPFILE_1" localSheetId="5">[12]DEFINITION1!#REF!</definedName>
    <definedName name="_472REPFILE_1" localSheetId="6">[12]DEFINITION1!#REF!</definedName>
    <definedName name="_473REPFILE_1" localSheetId="4">[12]DEFINITION1!#REF!</definedName>
    <definedName name="_473REPFILE_1" localSheetId="2">[12]DEFINITION1!#REF!</definedName>
    <definedName name="_473REPFILE_1" localSheetId="7">[12]DEFINITION1!#REF!</definedName>
    <definedName name="_473REPFILE_1" localSheetId="5">[12]DEFINITION1!#REF!</definedName>
    <definedName name="_473REPFILE_1">[12]DEFINITION1!#REF!</definedName>
    <definedName name="_474REPSHEET_1" localSheetId="4">[12]DEFINITION1!#REF!</definedName>
    <definedName name="_474REPSHEET_1" localSheetId="2">[12]DEFINITION1!#REF!</definedName>
    <definedName name="_474REPSHEET_1" localSheetId="7">[12]DEFINITION1!#REF!</definedName>
    <definedName name="_474REPSHEET_1" localSheetId="5">[12]DEFINITION1!#REF!</definedName>
    <definedName name="_475REPSHEET_1" localSheetId="6">[12]DEFINITION1!#REF!</definedName>
    <definedName name="_476REPSHEET_1" localSheetId="4">[12]DEFINITION1!#REF!</definedName>
    <definedName name="_476REPSHEET_1" localSheetId="2">[12]DEFINITION1!#REF!</definedName>
    <definedName name="_476REPSHEET_1" localSheetId="7">[12]DEFINITION1!#REF!</definedName>
    <definedName name="_476REPSHEET_1" localSheetId="5">[12]DEFINITION1!#REF!</definedName>
    <definedName name="_476REPSHEET_1">[12]DEFINITION1!#REF!</definedName>
    <definedName name="_477RESHEET_1" localSheetId="4">[12]DEFINITION1!#REF!</definedName>
    <definedName name="_477RESHEET_1" localSheetId="2">[12]DEFINITION1!#REF!</definedName>
    <definedName name="_477RESHEET_1" localSheetId="7">[12]DEFINITION1!#REF!</definedName>
    <definedName name="_477RESHEET_1" localSheetId="5">[12]DEFINITION1!#REF!</definedName>
    <definedName name="_478RESHEET_1" localSheetId="6">[12]DEFINITION1!#REF!</definedName>
    <definedName name="_479RESHEET_1" localSheetId="4">[12]DEFINITION1!#REF!</definedName>
    <definedName name="_479RESHEET_1" localSheetId="2">[12]DEFINITION1!#REF!</definedName>
    <definedName name="_479RESHEET_1" localSheetId="7">[12]DEFINITION1!#REF!</definedName>
    <definedName name="_479RESHEET_1" localSheetId="5">[12]DEFINITION1!#REF!</definedName>
    <definedName name="_479RESHEET_1">[12]DEFINITION1!#REF!</definedName>
    <definedName name="_47A1231旭硝子_1" localSheetId="6">#REF!</definedName>
    <definedName name="_480sadxx_1" localSheetId="4">#REF!</definedName>
    <definedName name="_480sadxx_1" localSheetId="2">#REF!</definedName>
    <definedName name="_480sadxx_1" localSheetId="7">#REF!</definedName>
    <definedName name="_480sadxx_1" localSheetId="5">#REF!</definedName>
    <definedName name="_481sadxx_1" localSheetId="6">#REF!</definedName>
    <definedName name="_482sadxx_1" localSheetId="4">#REF!</definedName>
    <definedName name="_482sadxx_1" localSheetId="2">#REF!</definedName>
    <definedName name="_482sadxx_1" localSheetId="7">#REF!</definedName>
    <definedName name="_482sadxx_1" localSheetId="5">#REF!</definedName>
    <definedName name="_482sadxx_1">#REF!</definedName>
    <definedName name="_483SAMSUNG_1" localSheetId="4">#REF!</definedName>
    <definedName name="_483SAMSUNG_1" localSheetId="2">#REF!</definedName>
    <definedName name="_483SAMSUNG_1" localSheetId="7">#REF!</definedName>
    <definedName name="_483SAMSUNG_1" localSheetId="5">#REF!</definedName>
    <definedName name="_484SAMSUNG_1" localSheetId="6">#REF!</definedName>
    <definedName name="_485SAMSUNG_1" localSheetId="4">#REF!</definedName>
    <definedName name="_485SAMSUNG_1" localSheetId="2">#REF!</definedName>
    <definedName name="_485SAMSUNG_1" localSheetId="7">#REF!</definedName>
    <definedName name="_485SAMSUNG_1" localSheetId="5">#REF!</definedName>
    <definedName name="_485SAMSUNG_1">#REF!</definedName>
    <definedName name="_486sc_1" localSheetId="4">#REF!</definedName>
    <definedName name="_486sc_1" localSheetId="2">#REF!</definedName>
    <definedName name="_486sc_1" localSheetId="7">#REF!</definedName>
    <definedName name="_486sc_1" localSheetId="5">#REF!</definedName>
    <definedName name="_487sc_1" localSheetId="6">#REF!</definedName>
    <definedName name="_488sc_1" localSheetId="4">#REF!</definedName>
    <definedName name="_488sc_1" localSheetId="2">#REF!</definedName>
    <definedName name="_488sc_1" localSheetId="7">#REF!</definedName>
    <definedName name="_488sc_1" localSheetId="5">#REF!</definedName>
    <definedName name="_488sc_1">#REF!</definedName>
    <definedName name="_489sdsxc_1" localSheetId="4">#REF!</definedName>
    <definedName name="_489sdsxc_1" localSheetId="2">#REF!</definedName>
    <definedName name="_489sdsxc_1" localSheetId="7">#REF!</definedName>
    <definedName name="_489sdsxc_1" localSheetId="5">#REF!</definedName>
    <definedName name="_48A1231旭硝子_1" localSheetId="4">#REF!</definedName>
    <definedName name="_48A1231旭硝子_1" localSheetId="2">#REF!</definedName>
    <definedName name="_48A1231旭硝子_1" localSheetId="7">#REF!</definedName>
    <definedName name="_48A1231旭硝子_1" localSheetId="5">#REF!</definedName>
    <definedName name="_48A1231旭硝子_1">#REF!</definedName>
    <definedName name="_490sdsxc_1" localSheetId="6">#REF!</definedName>
    <definedName name="_491sdsxc_1" localSheetId="4">#REF!</definedName>
    <definedName name="_491sdsxc_1" localSheetId="2">#REF!</definedName>
    <definedName name="_491sdsxc_1" localSheetId="7">#REF!</definedName>
    <definedName name="_491sdsxc_1" localSheetId="5">#REF!</definedName>
    <definedName name="_491sdsxc_1">#REF!</definedName>
    <definedName name="_492sqq_1" localSheetId="4">#REF!</definedName>
    <definedName name="_492sqq_1" localSheetId="2">#REF!</definedName>
    <definedName name="_492sqq_1" localSheetId="7">#REF!</definedName>
    <definedName name="_492sqq_1" localSheetId="5">#REF!</definedName>
    <definedName name="_493sqq_1" localSheetId="6">#REF!</definedName>
    <definedName name="_494sqq_1" localSheetId="4">#REF!</definedName>
    <definedName name="_494sqq_1" localSheetId="2">#REF!</definedName>
    <definedName name="_494sqq_1" localSheetId="7">#REF!</definedName>
    <definedName name="_494sqq_1" localSheetId="5">#REF!</definedName>
    <definedName name="_494sqq_1">#REF!</definedName>
    <definedName name="_495ssss_1" localSheetId="4">#REF!</definedName>
    <definedName name="_495ssss_1" localSheetId="2">#REF!</definedName>
    <definedName name="_495ssss_1" localSheetId="7">#REF!</definedName>
    <definedName name="_495ssss_1" localSheetId="5">#REF!</definedName>
    <definedName name="_496ssss_1" localSheetId="6">#REF!</definedName>
    <definedName name="_497ssss_1" localSheetId="4">#REF!</definedName>
    <definedName name="_497ssss_1" localSheetId="2">#REF!</definedName>
    <definedName name="_497ssss_1" localSheetId="7">#REF!</definedName>
    <definedName name="_497ssss_1" localSheetId="5">#REF!</definedName>
    <definedName name="_497ssss_1">#REF!</definedName>
    <definedName name="_498TDK_1" localSheetId="4">#REF!</definedName>
    <definedName name="_498TDK_1" localSheetId="2">#REF!</definedName>
    <definedName name="_498TDK_1" localSheetId="7">#REF!</definedName>
    <definedName name="_498TDK_1" localSheetId="5">#REF!</definedName>
    <definedName name="_499TDK_1" localSheetId="6">#REF!</definedName>
    <definedName name="_49A1303????_1" localSheetId="4">#REF!</definedName>
    <definedName name="_49A1303????_1" localSheetId="2">#REF!</definedName>
    <definedName name="_49A1303????_1" localSheetId="7">#REF!</definedName>
    <definedName name="_49A1303????_1" localSheetId="5">#REF!</definedName>
    <definedName name="_5_????" localSheetId="6">#REF!</definedName>
    <definedName name="_500TDK_1" localSheetId="4">#REF!</definedName>
    <definedName name="_500TDK_1" localSheetId="2">#REF!</definedName>
    <definedName name="_500TDK_1" localSheetId="7">#REF!</definedName>
    <definedName name="_500TDK_1" localSheetId="5">#REF!</definedName>
    <definedName name="_500TDK_1">#REF!</definedName>
    <definedName name="_501TP_1" localSheetId="4">#N/A</definedName>
    <definedName name="_501TP_1" localSheetId="2">#N/A</definedName>
    <definedName name="_501TP_1" localSheetId="7">#N/A</definedName>
    <definedName name="_501TP_1" localSheetId="5">#N/A</definedName>
    <definedName name="_502TP_1" localSheetId="6">#N/A</definedName>
    <definedName name="_503TP_1" localSheetId="4">#N/A</definedName>
    <definedName name="_503TP_1" localSheetId="2">#N/A</definedName>
    <definedName name="_503TP_1" localSheetId="7">#N/A</definedName>
    <definedName name="_503TP_1" localSheetId="5">#N/A</definedName>
    <definedName name="_503TP_1">#N/A</definedName>
    <definedName name="_504ty_1" localSheetId="4">[5]DEFINITION1!#REF!</definedName>
    <definedName name="_504ty_1" localSheetId="2">[5]DEFINITION1!#REF!</definedName>
    <definedName name="_504ty_1" localSheetId="7">[5]DEFINITION1!#REF!</definedName>
    <definedName name="_504ty_1" localSheetId="5">[5]DEFINITION1!#REF!</definedName>
    <definedName name="_505ty_1" localSheetId="6">[5]DEFINITION1!#REF!</definedName>
    <definedName name="_506ty_1" localSheetId="4">[5]DEFINITION1!#REF!</definedName>
    <definedName name="_506ty_1" localSheetId="2">[5]DEFINITION1!#REF!</definedName>
    <definedName name="_506ty_1" localSheetId="7">[5]DEFINITION1!#REF!</definedName>
    <definedName name="_506ty_1" localSheetId="5">[5]DEFINITION1!#REF!</definedName>
    <definedName name="_506ty_1">[5]DEFINITION1!#REF!</definedName>
    <definedName name="_507xaxax_1" localSheetId="4">#REF!</definedName>
    <definedName name="_507xaxax_1" localSheetId="2">#REF!</definedName>
    <definedName name="_507xaxax_1" localSheetId="7">#REF!</definedName>
    <definedName name="_507xaxax_1" localSheetId="5">#REF!</definedName>
    <definedName name="_508xaxax_1" localSheetId="6">#REF!</definedName>
    <definedName name="_509xaxax_1" localSheetId="4">#REF!</definedName>
    <definedName name="_509xaxax_1" localSheetId="2">#REF!</definedName>
    <definedName name="_509xaxax_1" localSheetId="7">#REF!</definedName>
    <definedName name="_509xaxax_1" localSheetId="5">#REF!</definedName>
    <definedName name="_509xaxax_1">#REF!</definedName>
    <definedName name="_50A1303????_1" localSheetId="6">#REF!</definedName>
    <definedName name="_510xxx_1" localSheetId="4">#REF!</definedName>
    <definedName name="_510xxx_1" localSheetId="2">#REF!</definedName>
    <definedName name="_510xxx_1" localSheetId="7">#REF!</definedName>
    <definedName name="_510xxx_1" localSheetId="5">#REF!</definedName>
    <definedName name="_511xxx_1" localSheetId="6">#REF!</definedName>
    <definedName name="_512xxx_1" localSheetId="4">#REF!</definedName>
    <definedName name="_512xxx_1" localSheetId="2">#REF!</definedName>
    <definedName name="_512xxx_1" localSheetId="7">#REF!</definedName>
    <definedName name="_512xxx_1" localSheetId="5">#REF!</definedName>
    <definedName name="_512xxx_1">#REF!</definedName>
    <definedName name="_513xxxxx_1" localSheetId="4">[13]DEFINITION1!#REF!</definedName>
    <definedName name="_513xxxxx_1" localSheetId="2">[13]DEFINITION1!#REF!</definedName>
    <definedName name="_513xxxxx_1" localSheetId="7">[13]DEFINITION1!#REF!</definedName>
    <definedName name="_513xxxxx_1" localSheetId="5">[13]DEFINITION1!#REF!</definedName>
    <definedName name="_514xxxxx_1" localSheetId="6">[13]DEFINITION1!#REF!</definedName>
    <definedName name="_515xxxxx_1" localSheetId="4">[13]DEFINITION1!#REF!</definedName>
    <definedName name="_515xxxxx_1" localSheetId="2">[13]DEFINITION1!#REF!</definedName>
    <definedName name="_515xxxxx_1" localSheetId="7">[13]DEFINITION1!#REF!</definedName>
    <definedName name="_515xxxxx_1" localSheetId="5">[13]DEFINITION1!#REF!</definedName>
    <definedName name="_515xxxxx_1">[13]DEFINITION1!#REF!</definedName>
    <definedName name="_516xzaxax_1" localSheetId="4">#REF!</definedName>
    <definedName name="_516xzaxax_1" localSheetId="2">#REF!</definedName>
    <definedName name="_516xzaxax_1" localSheetId="7">#REF!</definedName>
    <definedName name="_516xzaxax_1" localSheetId="5">#REF!</definedName>
    <definedName name="_517xzaxax_1" localSheetId="6">#REF!</definedName>
    <definedName name="_518xzaxax_1" localSheetId="4">#REF!</definedName>
    <definedName name="_518xzaxax_1" localSheetId="2">#REF!</definedName>
    <definedName name="_518xzaxax_1" localSheetId="7">#REF!</definedName>
    <definedName name="_518xzaxax_1" localSheetId="5">#REF!</definedName>
    <definedName name="_518xzaxax_1">#REF!</definedName>
    <definedName name="_519yt_1" localSheetId="4">#REF!</definedName>
    <definedName name="_519yt_1" localSheetId="2">#REF!</definedName>
    <definedName name="_519yt_1" localSheetId="7">#REF!</definedName>
    <definedName name="_519yt_1" localSheetId="5">#REF!</definedName>
    <definedName name="_51A1303????_1" localSheetId="4">#REF!</definedName>
    <definedName name="_51A1303????_1" localSheetId="2">#REF!</definedName>
    <definedName name="_51A1303????_1" localSheetId="7">#REF!</definedName>
    <definedName name="_51A1303????_1" localSheetId="5">#REF!</definedName>
    <definedName name="_51A1303????_1">#REF!</definedName>
    <definedName name="_520yt_1" localSheetId="6">#REF!</definedName>
    <definedName name="_521yt_1" localSheetId="4">#REF!</definedName>
    <definedName name="_521yt_1" localSheetId="2">#REF!</definedName>
    <definedName name="_521yt_1" localSheetId="7">#REF!</definedName>
    <definedName name="_521yt_1" localSheetId="5">#REF!</definedName>
    <definedName name="_521yt_1">#REF!</definedName>
    <definedName name="_522ytkm_1" localSheetId="4">'[6]Diff_Data _2_'!#REF!</definedName>
    <definedName name="_522ytkm_1" localSheetId="2">'[6]Diff_Data _2_'!#REF!</definedName>
    <definedName name="_522ytkm_1" localSheetId="7">'[6]Diff_Data _2_'!#REF!</definedName>
    <definedName name="_522ytkm_1" localSheetId="5">'[6]Diff_Data _2_'!#REF!</definedName>
    <definedName name="_523ytkm_1" localSheetId="6">'[6]Diff_Data _2_'!#REF!</definedName>
    <definedName name="_524ytkm_1" localSheetId="4">'[6]Diff_Data _2_'!#REF!</definedName>
    <definedName name="_524ytkm_1" localSheetId="2">'[6]Diff_Data _2_'!#REF!</definedName>
    <definedName name="_524ytkm_1" localSheetId="7">'[6]Diff_Data _2_'!#REF!</definedName>
    <definedName name="_524ytkm_1" localSheetId="5">'[6]Diff_Data _2_'!#REF!</definedName>
    <definedName name="_524ytkm_1">'[6]Diff_Data _2_'!#REF!</definedName>
    <definedName name="_525zxzxzx_1" localSheetId="4">#REF!</definedName>
    <definedName name="_525zxzxzx_1" localSheetId="2">#REF!</definedName>
    <definedName name="_525zxzxzx_1" localSheetId="7">#REF!</definedName>
    <definedName name="_525zxzxzx_1" localSheetId="5">#REF!</definedName>
    <definedName name="_526zxzxzx_1" localSheetId="6">#REF!</definedName>
    <definedName name="_527zxzxzx_1" localSheetId="4">#REF!</definedName>
    <definedName name="_527zxzxzx_1" localSheetId="2">#REF!</definedName>
    <definedName name="_527zxzxzx_1" localSheetId="7">#REF!</definedName>
    <definedName name="_527zxzxzx_1" localSheetId="5">#REF!</definedName>
    <definedName name="_527zxzxzx_1">#REF!</definedName>
    <definedName name="_528松下_1" localSheetId="4">#REF!</definedName>
    <definedName name="_528松下_1" localSheetId="2">#REF!</definedName>
    <definedName name="_528松下_1" localSheetId="7">#REF!</definedName>
    <definedName name="_528松下_1" localSheetId="5">#REF!</definedName>
    <definedName name="_529松下_1" localSheetId="6">#REF!</definedName>
    <definedName name="_52A1303日立電線_1" localSheetId="4">#REF!</definedName>
    <definedName name="_52A1303日立電線_1" localSheetId="2">#REF!</definedName>
    <definedName name="_52A1303日立電線_1" localSheetId="7">#REF!</definedName>
    <definedName name="_52A1303日立電線_1" localSheetId="5">#REF!</definedName>
    <definedName name="_530松下_1" localSheetId="4">#REF!</definedName>
    <definedName name="_530松下_1" localSheetId="2">#REF!</definedName>
    <definedName name="_530松下_1" localSheetId="7">#REF!</definedName>
    <definedName name="_530松下_1" localSheetId="5">#REF!</definedName>
    <definedName name="_530松下_1">#REF!</definedName>
    <definedName name="_531部品分類_1" localSheetId="4">#REF!</definedName>
    <definedName name="_531部品分類_1" localSheetId="2">#REF!</definedName>
    <definedName name="_531部品分類_1" localSheetId="7">#REF!</definedName>
    <definedName name="_531部品分類_1" localSheetId="5">#REF!</definedName>
    <definedName name="_532部品分類_1" localSheetId="6">#REF!</definedName>
    <definedName name="_533部品分類_1" localSheetId="4">#REF!</definedName>
    <definedName name="_533部品分類_1" localSheetId="2">#REF!</definedName>
    <definedName name="_533部品分類_1" localSheetId="7">#REF!</definedName>
    <definedName name="_533部品分類_1" localSheetId="5">#REF!</definedName>
    <definedName name="_533部品分類_1">#REF!</definedName>
    <definedName name="_53A1303日立電線_1" localSheetId="6">#REF!</definedName>
    <definedName name="_54A1303日立電線_1" localSheetId="4">#REF!</definedName>
    <definedName name="_54A1303日立電線_1" localSheetId="2">#REF!</definedName>
    <definedName name="_54A1303日立電線_1" localSheetId="7">#REF!</definedName>
    <definedName name="_54A1303日立電線_1" localSheetId="5">#REF!</definedName>
    <definedName name="_54A1303日立電線_1">#REF!</definedName>
    <definedName name="_55A1375?????_1" localSheetId="4">#REF!</definedName>
    <definedName name="_55A1375?????_1" localSheetId="2">#REF!</definedName>
    <definedName name="_55A1375?????_1" localSheetId="7">#REF!</definedName>
    <definedName name="_55A1375?????_1" localSheetId="5">#REF!</definedName>
    <definedName name="_56A1375?????_1" localSheetId="6">#REF!</definedName>
    <definedName name="_57A1375?????_1" localSheetId="4">#REF!</definedName>
    <definedName name="_57A1375?????_1" localSheetId="2">#REF!</definedName>
    <definedName name="_57A1375?????_1" localSheetId="7">#REF!</definedName>
    <definedName name="_57A1375?????_1" localSheetId="5">#REF!</definedName>
    <definedName name="_57A1375?????_1">#REF!</definedName>
    <definedName name="_58A1375ｲﾉﾃｯｸ_1" localSheetId="4">#REF!</definedName>
    <definedName name="_58A1375ｲﾉﾃｯｸ_1" localSheetId="2">#REF!</definedName>
    <definedName name="_58A1375ｲﾉﾃｯｸ_1" localSheetId="7">#REF!</definedName>
    <definedName name="_58A1375ｲﾉﾃｯｸ_1" localSheetId="5">#REF!</definedName>
    <definedName name="_59A1375ｲﾉﾃｯｸ_1" localSheetId="6">#REF!</definedName>
    <definedName name="_6_????" localSheetId="4">#REF!</definedName>
    <definedName name="_6_????" localSheetId="2">#REF!</definedName>
    <definedName name="_6_????" localSheetId="7">#REF!</definedName>
    <definedName name="_6_????" localSheetId="5">#REF!</definedName>
    <definedName name="_6_????">#REF!</definedName>
    <definedName name="_60A1375ｲﾉﾃｯｸ_1" localSheetId="4">#REF!</definedName>
    <definedName name="_60A1375ｲﾉﾃｯｸ_1" localSheetId="2">#REF!</definedName>
    <definedName name="_60A1375ｲﾉﾃｯｸ_1" localSheetId="7">#REF!</definedName>
    <definedName name="_60A1375ｲﾉﾃｯｸ_1" localSheetId="5">#REF!</definedName>
    <definedName name="_60A1375ｲﾉﾃｯｸ_1">#REF!</definedName>
    <definedName name="_61A223???_1" localSheetId="4">#REF!</definedName>
    <definedName name="_61A223???_1" localSheetId="2">#REF!</definedName>
    <definedName name="_61A223???_1" localSheetId="7">#REF!</definedName>
    <definedName name="_61A223???_1" localSheetId="5">#REF!</definedName>
    <definedName name="_62A223???_1" localSheetId="6">#REF!</definedName>
    <definedName name="_63A223???_1" localSheetId="4">#REF!</definedName>
    <definedName name="_63A223???_1" localSheetId="2">#REF!</definedName>
    <definedName name="_63A223???_1" localSheetId="7">#REF!</definedName>
    <definedName name="_63A223???_1" localSheetId="5">#REF!</definedName>
    <definedName name="_63A223???_1">#REF!</definedName>
    <definedName name="_64A223電子販_1" localSheetId="4">#REF!</definedName>
    <definedName name="_64A223電子販_1" localSheetId="2">#REF!</definedName>
    <definedName name="_64A223電子販_1" localSheetId="7">#REF!</definedName>
    <definedName name="_64A223電子販_1" localSheetId="5">#REF!</definedName>
    <definedName name="_65A223電子販_1" localSheetId="6">#REF!</definedName>
    <definedName name="_66A223電子販_1" localSheetId="4">#REF!</definedName>
    <definedName name="_66A223電子販_1" localSheetId="2">#REF!</definedName>
    <definedName name="_66A223電子販_1" localSheetId="7">#REF!</definedName>
    <definedName name="_66A223電子販_1" localSheetId="5">#REF!</definedName>
    <definedName name="_66A223電子販_1">#REF!</definedName>
    <definedName name="_67A295??????_1" localSheetId="4">#REF!</definedName>
    <definedName name="_67A295??????_1" localSheetId="2">#REF!</definedName>
    <definedName name="_67A295??????_1" localSheetId="7">#REF!</definedName>
    <definedName name="_67A295??????_1" localSheetId="5">#REF!</definedName>
    <definedName name="_68A295??????_1" localSheetId="6">#REF!</definedName>
    <definedName name="_69A295??????_1" localSheetId="4">#REF!</definedName>
    <definedName name="_69A295??????_1" localSheetId="2">#REF!</definedName>
    <definedName name="_69A295??????_1" localSheetId="7">#REF!</definedName>
    <definedName name="_69A295??????_1" localSheetId="5">#REF!</definedName>
    <definedName name="_69A295??????_1">#REF!</definedName>
    <definedName name="_7_?_1" localSheetId="4">#REF!</definedName>
    <definedName name="_7_?_1" localSheetId="2">#REF!</definedName>
    <definedName name="_7_?_1" localSheetId="7">#REF!</definedName>
    <definedName name="_7_?_1" localSheetId="5">#REF!</definedName>
    <definedName name="_70A295ﾌｼﾞﾃﾞﾝ_1" localSheetId="4">#REF!</definedName>
    <definedName name="_70A295ﾌｼﾞﾃﾞﾝ_1" localSheetId="2">#REF!</definedName>
    <definedName name="_70A295ﾌｼﾞﾃﾞﾝ_1" localSheetId="7">#REF!</definedName>
    <definedName name="_70A295ﾌｼﾞﾃﾞﾝ_1" localSheetId="5">#REF!</definedName>
    <definedName name="_71A295ﾌｼﾞﾃﾞﾝ_1" localSheetId="6">#REF!</definedName>
    <definedName name="_72A295ﾌｼﾞﾃﾞﾝ_1" localSheetId="4">#REF!</definedName>
    <definedName name="_72A295ﾌｼﾞﾃﾞﾝ_1" localSheetId="2">#REF!</definedName>
    <definedName name="_72A295ﾌｼﾞﾃﾞﾝ_1" localSheetId="7">#REF!</definedName>
    <definedName name="_72A295ﾌｼﾞﾃﾞﾝ_1" localSheetId="5">#REF!</definedName>
    <definedName name="_72A295ﾌｼﾞﾃﾞﾝ_1">#REF!</definedName>
    <definedName name="_73A439NEL_1" localSheetId="4">#REF!</definedName>
    <definedName name="_73A439NEL_1" localSheetId="2">#REF!</definedName>
    <definedName name="_73A439NEL_1" localSheetId="7">#REF!</definedName>
    <definedName name="_73A439NEL_1" localSheetId="5">#REF!</definedName>
    <definedName name="_74A439NEL_1" localSheetId="6">#REF!</definedName>
    <definedName name="_75A439NEL_1" localSheetId="4">#REF!</definedName>
    <definedName name="_75A439NEL_1" localSheetId="2">#REF!</definedName>
    <definedName name="_75A439NEL_1" localSheetId="7">#REF!</definedName>
    <definedName name="_75A439NEL_1" localSheetId="5">#REF!</definedName>
    <definedName name="_75A439NEL_1">#REF!</definedName>
    <definedName name="_76A547???_1" localSheetId="4">#REF!</definedName>
    <definedName name="_76A547???_1" localSheetId="2">#REF!</definedName>
    <definedName name="_76A547???_1" localSheetId="7">#REF!</definedName>
    <definedName name="_76A547???_1" localSheetId="5">#REF!</definedName>
    <definedName name="_77A547???_1" localSheetId="6">#REF!</definedName>
    <definedName name="_78A547???_1" localSheetId="4">#REF!</definedName>
    <definedName name="_78A547???_1" localSheetId="2">#REF!</definedName>
    <definedName name="_78A547???_1" localSheetId="7">#REF!</definedName>
    <definedName name="_78A547???_1" localSheetId="5">#REF!</definedName>
    <definedName name="_78A547???_1">#REF!</definedName>
    <definedName name="_79A547旭化成_1" localSheetId="4">#REF!</definedName>
    <definedName name="_79A547旭化成_1" localSheetId="2">#REF!</definedName>
    <definedName name="_79A547旭化成_1" localSheetId="7">#REF!</definedName>
    <definedName name="_79A547旭化成_1" localSheetId="5">#REF!</definedName>
    <definedName name="_8_?_1" localSheetId="6">#REF!</definedName>
    <definedName name="_80A547旭化成_1" localSheetId="6">#REF!</definedName>
    <definedName name="_81A547旭化成_1" localSheetId="4">#REF!</definedName>
    <definedName name="_81A547旭化成_1" localSheetId="2">#REF!</definedName>
    <definedName name="_81A547旭化成_1" localSheetId="7">#REF!</definedName>
    <definedName name="_81A547旭化成_1" localSheetId="5">#REF!</definedName>
    <definedName name="_81A547旭化成_1">#REF!</definedName>
    <definedName name="_82A691????_1" localSheetId="4">#REF!</definedName>
    <definedName name="_82A691????_1" localSheetId="2">#REF!</definedName>
    <definedName name="_82A691????_1" localSheetId="7">#REF!</definedName>
    <definedName name="_82A691????_1" localSheetId="5">#REF!</definedName>
    <definedName name="_83A691????_1" localSheetId="6">#REF!</definedName>
    <definedName name="_84A691????_1" localSheetId="4">#REF!</definedName>
    <definedName name="_84A691????_1" localSheetId="2">#REF!</definedName>
    <definedName name="_84A691????_1" localSheetId="7">#REF!</definedName>
    <definedName name="_84A691????_1" localSheetId="5">#REF!</definedName>
    <definedName name="_84A691????_1">#REF!</definedName>
    <definedName name="_85A691ﾆﾃﾞｺ_1" localSheetId="4">#REF!</definedName>
    <definedName name="_85A691ﾆﾃﾞｺ_1" localSheetId="2">#REF!</definedName>
    <definedName name="_85A691ﾆﾃﾞｺ_1" localSheetId="7">#REF!</definedName>
    <definedName name="_85A691ﾆﾃﾞｺ_1" localSheetId="5">#REF!</definedName>
    <definedName name="_86A691ﾆﾃﾞｺ_1" localSheetId="6">#REF!</definedName>
    <definedName name="_87A691ﾆﾃﾞｺ_1" localSheetId="4">#REF!</definedName>
    <definedName name="_87A691ﾆﾃﾞｺ_1" localSheetId="2">#REF!</definedName>
    <definedName name="_87A691ﾆﾃﾞｺ_1" localSheetId="7">#REF!</definedName>
    <definedName name="_87A691ﾆﾃﾞｺ_1" localSheetId="5">#REF!</definedName>
    <definedName name="_87A691ﾆﾃﾞｺ_1">#REF!</definedName>
    <definedName name="_88A763??_1" localSheetId="4">#REF!</definedName>
    <definedName name="_88A763??_1" localSheetId="2">#REF!</definedName>
    <definedName name="_88A763??_1" localSheetId="7">#REF!</definedName>
    <definedName name="_88A763??_1" localSheetId="5">#REF!</definedName>
    <definedName name="_89A763??_1" localSheetId="6">#REF!</definedName>
    <definedName name="_9_?_1" localSheetId="4">#REF!</definedName>
    <definedName name="_9_?_1" localSheetId="2">#REF!</definedName>
    <definedName name="_9_?_1" localSheetId="7">#REF!</definedName>
    <definedName name="_9_?_1" localSheetId="5">#REF!</definedName>
    <definedName name="_9_?_1">#REF!</definedName>
    <definedName name="_90A763??_1" localSheetId="4">#REF!</definedName>
    <definedName name="_90A763??_1" localSheetId="2">#REF!</definedName>
    <definedName name="_90A763??_1" localSheetId="7">#REF!</definedName>
    <definedName name="_90A763??_1" localSheetId="5">#REF!</definedName>
    <definedName name="_90A763??_1">#REF!</definedName>
    <definedName name="_91A763松下_1" localSheetId="4">#REF!</definedName>
    <definedName name="_91A763松下_1" localSheetId="2">#REF!</definedName>
    <definedName name="_91A763松下_1" localSheetId="7">#REF!</definedName>
    <definedName name="_91A763松下_1" localSheetId="5">#REF!</definedName>
    <definedName name="_92A763松下_1" localSheetId="6">#REF!</definedName>
    <definedName name="_93A763松下_1" localSheetId="4">#REF!</definedName>
    <definedName name="_93A763松下_1" localSheetId="2">#REF!</definedName>
    <definedName name="_93A763松下_1" localSheetId="7">#REF!</definedName>
    <definedName name="_93A763松下_1" localSheetId="5">#REF!</definedName>
    <definedName name="_93A763松下_1">#REF!</definedName>
    <definedName name="_94A79?????_1" localSheetId="4">#REF!</definedName>
    <definedName name="_94A79?????_1" localSheetId="2">#REF!</definedName>
    <definedName name="_94A79?????_1" localSheetId="7">#REF!</definedName>
    <definedName name="_94A79?????_1" localSheetId="5">#REF!</definedName>
    <definedName name="_95A79?????_1" localSheetId="6">#REF!</definedName>
    <definedName name="_96A79?????_1" localSheetId="4">#REF!</definedName>
    <definedName name="_96A79?????_1" localSheetId="2">#REF!</definedName>
    <definedName name="_96A79?????_1" localSheetId="7">#REF!</definedName>
    <definedName name="_96A79?????_1" localSheetId="5">#REF!</definedName>
    <definedName name="_96A79?????_1">#REF!</definedName>
    <definedName name="_97A799???_1" localSheetId="4">#REF!</definedName>
    <definedName name="_97A799???_1" localSheetId="2">#REF!</definedName>
    <definedName name="_97A799???_1" localSheetId="7">#REF!</definedName>
    <definedName name="_97A799???_1" localSheetId="5">#REF!</definedName>
    <definedName name="_98A799???_1" localSheetId="6">#REF!</definedName>
    <definedName name="_99A799???_1" localSheetId="4">#REF!</definedName>
    <definedName name="_99A799???_1" localSheetId="2">#REF!</definedName>
    <definedName name="_99A799???_1" localSheetId="7">#REF!</definedName>
    <definedName name="_99A799???_1" localSheetId="5">#REF!</definedName>
    <definedName name="_99A799???_1">#REF!</definedName>
    <definedName name="_EMS1" localSheetId="4">'[3]Diff_Data _2_'!#REF!</definedName>
    <definedName name="_EMS1" localSheetId="2">'[3]Diff_Data _2_'!#REF!</definedName>
    <definedName name="_EMS1" localSheetId="6">'[3]Diff_Data _2_'!#REF!</definedName>
    <definedName name="_EMS1" localSheetId="7">'[3]Diff_Data _2_'!#REF!</definedName>
    <definedName name="_EMS1" localSheetId="5">'[3]Diff_Data _2_'!#REF!</definedName>
    <definedName name="_EMS1">'[3]Diff_Data _2_'!#REF!</definedName>
    <definedName name="_Fill" localSheetId="4" hidden="1">#REF!</definedName>
    <definedName name="_Fill" localSheetId="2" hidden="1">#REF!</definedName>
    <definedName name="_Fill" localSheetId="0" hidden="1">'[14]#REF!'!#REF!</definedName>
    <definedName name="_Fill" localSheetId="6" hidden="1">#REF!</definedName>
    <definedName name="_Fill" localSheetId="7" hidden="1">#REF!</definedName>
    <definedName name="_Fill" localSheetId="5" hidden="1">#REF!</definedName>
    <definedName name="_Fill" hidden="1">#REF!</definedName>
    <definedName name="_Fill_1" localSheetId="4">'[14]#REF!'!#REF!</definedName>
    <definedName name="_Fill_1" localSheetId="2">'[14]#REF!'!#REF!</definedName>
    <definedName name="_Fill_1" localSheetId="0">#REF!</definedName>
    <definedName name="_Fill_1" localSheetId="6">'[14]#REF!'!#REF!</definedName>
    <definedName name="_Fill_1" localSheetId="7">'[14]#REF!'!#REF!</definedName>
    <definedName name="_Fill_1" localSheetId="5">'[14]#REF!'!#REF!</definedName>
    <definedName name="_Fill_1">'[14]#REF!'!#REF!</definedName>
    <definedName name="_Fill_2" localSheetId="4">'[14]#REF!'!#REF!</definedName>
    <definedName name="_Fill_2" localSheetId="2">'[14]#REF!'!#REF!</definedName>
    <definedName name="_Fill_2" localSheetId="0">#REF!</definedName>
    <definedName name="_Fill_2" localSheetId="6">'[14]#REF!'!#REF!</definedName>
    <definedName name="_Fill_2" localSheetId="7">'[14]#REF!'!#REF!</definedName>
    <definedName name="_Fill_2" localSheetId="5">'[14]#REF!'!#REF!</definedName>
    <definedName name="_Fill_2">'[14]#REF!'!#REF!</definedName>
    <definedName name="_Fill_3" localSheetId="4">'[14]#REF!'!#REF!</definedName>
    <definedName name="_Fill_3" localSheetId="2">'[14]#REF!'!#REF!</definedName>
    <definedName name="_Fill_3" localSheetId="0">#REF!</definedName>
    <definedName name="_Fill_3" localSheetId="6">'[14]#REF!'!#REF!</definedName>
    <definedName name="_Fill_3" localSheetId="7">'[14]#REF!'!#REF!</definedName>
    <definedName name="_Fill_3" localSheetId="5">'[14]#REF!'!#REF!</definedName>
    <definedName name="_Fill_3">'[14]#REF!'!#REF!</definedName>
    <definedName name="_k11" localSheetId="4">'[3]Diff_Data _2_'!#REF!</definedName>
    <definedName name="_k11" localSheetId="2">'[3]Diff_Data _2_'!#REF!</definedName>
    <definedName name="_k11" localSheetId="6">'[3]Diff_Data _2_'!#REF!</definedName>
    <definedName name="_k11" localSheetId="7">'[3]Diff_Data _2_'!#REF!</definedName>
    <definedName name="_k11" localSheetId="5">'[3]Diff_Data _2_'!#REF!</definedName>
    <definedName name="_k11">'[3]Diff_Data _2_'!#REF!</definedName>
    <definedName name="_Key1" localSheetId="4" hidden="1">#REF!</definedName>
    <definedName name="_Key1" localSheetId="2" hidden="1">#REF!</definedName>
    <definedName name="_Key1" localSheetId="0" hidden="1">'[14]#REF!'!$B$10:$B$18</definedName>
    <definedName name="_Key1" localSheetId="7" hidden="1">#REF!</definedName>
    <definedName name="_Key1" localSheetId="5" hidden="1">#REF!</definedName>
    <definedName name="_Key1" hidden="1">#REF!</definedName>
    <definedName name="_Key1_1" localSheetId="0">#REF!</definedName>
    <definedName name="_Key1_1">'[14]#REF!'!$B$10:$B$18</definedName>
    <definedName name="_Key1_2" localSheetId="4">'[14]#REF!'!$B$10:$B$18</definedName>
    <definedName name="_Key1_2" localSheetId="0">#REF!</definedName>
    <definedName name="_Key1_2">'[14]#REF!'!$B$10:$B$18</definedName>
    <definedName name="_Key2" localSheetId="4" hidden="1">#REF!</definedName>
    <definedName name="_Key2" localSheetId="2" hidden="1">#REF!</definedName>
    <definedName name="_Key2" localSheetId="0" hidden="1">'[14]#REF!'!$A$7:$A$7</definedName>
    <definedName name="_Key2" localSheetId="7" hidden="1">#REF!</definedName>
    <definedName name="_Key2" localSheetId="5" hidden="1">#REF!</definedName>
    <definedName name="_Key2" hidden="1">#REF!</definedName>
    <definedName name="_Key2_1" localSheetId="0">#REF!</definedName>
    <definedName name="_Key2_1">'[14]#REF!'!$A$7:$A$7</definedName>
    <definedName name="_Key2_2" localSheetId="4">'[14]#REF!'!$A$7:$A$7</definedName>
    <definedName name="_Key2_2" localSheetId="0">#REF!</definedName>
    <definedName name="_Key2_2">'[14]#REF!'!$A$7:$A$7</definedName>
    <definedName name="_o" localSheetId="4">'[3]Diff_Data _2_'!#REF!</definedName>
    <definedName name="_o" localSheetId="2">'[3]Diff_Data _2_'!#REF!</definedName>
    <definedName name="_o" localSheetId="6">'[3]Diff_Data _2_'!#REF!</definedName>
    <definedName name="_o" localSheetId="7">'[3]Diff_Data _2_'!#REF!</definedName>
    <definedName name="_o" localSheetId="5">'[3]Diff_Data _2_'!#REF!</definedName>
    <definedName name="_o">'[3]Diff_Data _2_'!#REF!</definedName>
    <definedName name="_Sort" localSheetId="4" hidden="1">#REF!</definedName>
    <definedName name="_Sort" localSheetId="2" hidden="1">#REF!</definedName>
    <definedName name="_Sort" localSheetId="0" hidden="1">'[14]#REF!'!$B$10:$B$18</definedName>
    <definedName name="_Sort" localSheetId="7" hidden="1">#REF!</definedName>
    <definedName name="_Sort" localSheetId="5" hidden="1">#REF!</definedName>
    <definedName name="_Sort" hidden="1">#REF!</definedName>
    <definedName name="_Sort_1" localSheetId="0">#REF!</definedName>
    <definedName name="_Sort_1">'[14]#REF!'!$B$10:$B$18</definedName>
    <definedName name="_Sort_2" localSheetId="4">'[14]#REF!'!$B$10:$B$18</definedName>
    <definedName name="_Sort_2" localSheetId="0">#REF!</definedName>
    <definedName name="_Sort_2">'[14]#REF!'!$B$10:$B$18</definedName>
    <definedName name="_YE55">'[4]#REF!'!$F$40</definedName>
    <definedName name="_YF" localSheetId="4" hidden="1">#REF!</definedName>
    <definedName name="_YF" localSheetId="2" hidden="1">#REF!</definedName>
    <definedName name="_YF" localSheetId="0" hidden="1">#REF!</definedName>
    <definedName name="_YF" localSheetId="6" hidden="1">#REF!</definedName>
    <definedName name="_YF" localSheetId="7" hidden="1">#REF!</definedName>
    <definedName name="_YF" localSheetId="5" hidden="1">#REF!</definedName>
    <definedName name="_YF" hidden="1">#REF!</definedName>
    <definedName name="a" localSheetId="4">'[3]Diff_Data _2_'!#REF!</definedName>
    <definedName name="a" localSheetId="2">'[3]Diff_Data _2_'!#REF!</definedName>
    <definedName name="a" localSheetId="6">'[3]Diff_Data _2_'!#REF!</definedName>
    <definedName name="a" localSheetId="7">'[3]Diff_Data _2_'!#REF!</definedName>
    <definedName name="a" localSheetId="5">'[3]Diff_Data _2_'!#REF!</definedName>
    <definedName name="a">'[3]Diff_Data _2_'!#REF!</definedName>
    <definedName name="a_1" localSheetId="4">'[3]Diff_Data _2_'!#REF!</definedName>
    <definedName name="a_1" localSheetId="2">'[3]Diff_Data _2_'!#REF!</definedName>
    <definedName name="a_1" localSheetId="6">'[3]Diff_Data _2_'!#REF!</definedName>
    <definedName name="a_1" localSheetId="7">'[3]Diff_Data _2_'!#REF!</definedName>
    <definedName name="a_1" localSheetId="5">'[3]Diff_Data _2_'!#REF!</definedName>
    <definedName name="a_1">'[3]Diff_Data _2_'!#REF!</definedName>
    <definedName name="A_1_1" localSheetId="4">'[15]#REF!'!$S$2</definedName>
    <definedName name="A_1_1" localSheetId="0">'[16]#REF!'!$S$2</definedName>
    <definedName name="A_1_1">'[15]#REF!'!$S$2</definedName>
    <definedName name="a_2" localSheetId="4">'[3]Diff_Data _2_'!#REF!</definedName>
    <definedName name="a_2" localSheetId="2">'[3]Diff_Data _2_'!#REF!</definedName>
    <definedName name="a_2" localSheetId="6">'[3]Diff_Data _2_'!#REF!</definedName>
    <definedName name="a_2" localSheetId="7">'[3]Diff_Data _2_'!#REF!</definedName>
    <definedName name="a_2" localSheetId="5">'[3]Diff_Data _2_'!#REF!</definedName>
    <definedName name="a_2">'[3]Diff_Data _2_'!#REF!</definedName>
    <definedName name="a_3" localSheetId="4">'[3]Diff_Data _2_'!#REF!</definedName>
    <definedName name="a_3" localSheetId="2">'[3]Diff_Data _2_'!#REF!</definedName>
    <definedName name="a_3" localSheetId="6">'[3]Diff_Data _2_'!#REF!</definedName>
    <definedName name="a_3" localSheetId="7">'[3]Diff_Data _2_'!#REF!</definedName>
    <definedName name="a_3" localSheetId="5">'[3]Diff_Data _2_'!#REF!</definedName>
    <definedName name="a_3">'[3]Diff_Data _2_'!#REF!</definedName>
    <definedName name="A1015WD" localSheetId="4">#REF!</definedName>
    <definedName name="A1015WD" localSheetId="2">#REF!</definedName>
    <definedName name="A1015WD" localSheetId="0">'[2]#REF!'!#REF!</definedName>
    <definedName name="A1015WD" localSheetId="6">#REF!</definedName>
    <definedName name="A1015WD" localSheetId="7">#REF!</definedName>
    <definedName name="A1015WD" localSheetId="5">#REF!</definedName>
    <definedName name="A1015WD">#REF!</definedName>
    <definedName name="A1015WD_1" localSheetId="4">'[2]#REF!'!#REF!</definedName>
    <definedName name="A1015WD_1" localSheetId="2">'[2]#REF!'!#REF!</definedName>
    <definedName name="A1015WD_1" localSheetId="0">#REF!</definedName>
    <definedName name="A1015WD_1" localSheetId="6">'[2]#REF!'!#REF!</definedName>
    <definedName name="A1015WD_1" localSheetId="7">'[2]#REF!'!#REF!</definedName>
    <definedName name="A1015WD_1" localSheetId="5">'[2]#REF!'!#REF!</definedName>
    <definedName name="A1015WD_1">'[2]#REF!'!#REF!</definedName>
    <definedName name="A1015WD_2" localSheetId="4">'[2]#REF!'!#REF!</definedName>
    <definedName name="A1015WD_2" localSheetId="2">'[2]#REF!'!#REF!</definedName>
    <definedName name="A1015WD_2" localSheetId="0">#REF!</definedName>
    <definedName name="A1015WD_2" localSheetId="6">'[2]#REF!'!#REF!</definedName>
    <definedName name="A1015WD_2" localSheetId="7">'[2]#REF!'!#REF!</definedName>
    <definedName name="A1015WD_2" localSheetId="5">'[2]#REF!'!#REF!</definedName>
    <definedName name="A1015WD_2">'[2]#REF!'!#REF!</definedName>
    <definedName name="A1015WD_3" localSheetId="4">'[2]#REF!'!#REF!</definedName>
    <definedName name="A1015WD_3" localSheetId="2">'[2]#REF!'!#REF!</definedName>
    <definedName name="A1015WD_3" localSheetId="0">#REF!</definedName>
    <definedName name="A1015WD_3" localSheetId="6">'[2]#REF!'!#REF!</definedName>
    <definedName name="A1015WD_3" localSheetId="7">'[2]#REF!'!#REF!</definedName>
    <definedName name="A1015WD_3" localSheetId="5">'[2]#REF!'!#REF!</definedName>
    <definedName name="A1015WD_3">'[2]#REF!'!#REF!</definedName>
    <definedName name="A1051??" localSheetId="4">#REF!</definedName>
    <definedName name="A1051??" localSheetId="2">#REF!</definedName>
    <definedName name="A1051??" localSheetId="0">#REF!</definedName>
    <definedName name="A1051??" localSheetId="6">#REF!</definedName>
    <definedName name="A1051??" localSheetId="7">#REF!</definedName>
    <definedName name="A1051??" localSheetId="5">#REF!</definedName>
    <definedName name="A1051??">#REF!</definedName>
    <definedName name="A1051??_1" localSheetId="4">'[2]#REF!'!#REF!</definedName>
    <definedName name="A1051??_1" localSheetId="2">'[2]#REF!'!#REF!</definedName>
    <definedName name="A1051??_1" localSheetId="0">#REF!</definedName>
    <definedName name="A1051??_1" localSheetId="6">'[2]#REF!'!#REF!</definedName>
    <definedName name="A1051??_1" localSheetId="7">'[2]#REF!'!#REF!</definedName>
    <definedName name="A1051??_1" localSheetId="5">'[2]#REF!'!#REF!</definedName>
    <definedName name="A1051??_1">'[2]#REF!'!#REF!</definedName>
    <definedName name="A1051??_2" localSheetId="4">'[2]#REF!'!#REF!</definedName>
    <definedName name="A1051??_2" localSheetId="2">'[2]#REF!'!#REF!</definedName>
    <definedName name="A1051??_2" localSheetId="0">#REF!</definedName>
    <definedName name="A1051??_2" localSheetId="6">'[2]#REF!'!#REF!</definedName>
    <definedName name="A1051??_2" localSheetId="7">'[2]#REF!'!#REF!</definedName>
    <definedName name="A1051??_2" localSheetId="5">'[2]#REF!'!#REF!</definedName>
    <definedName name="A1051??_2">'[2]#REF!'!#REF!</definedName>
    <definedName name="A1051??_3" localSheetId="4">'[2]#REF!'!#REF!</definedName>
    <definedName name="A1051??_3" localSheetId="2">'[2]#REF!'!#REF!</definedName>
    <definedName name="A1051??_3" localSheetId="0">#REF!</definedName>
    <definedName name="A1051??_3" localSheetId="6">'[2]#REF!'!#REF!</definedName>
    <definedName name="A1051??_3" localSheetId="7">'[2]#REF!'!#REF!</definedName>
    <definedName name="A1051??_3" localSheetId="5">'[2]#REF!'!#REF!</definedName>
    <definedName name="A1051??_3">'[2]#REF!'!#REF!</definedName>
    <definedName name="A1051??_4" localSheetId="4">'[2]#REF!'!#REF!</definedName>
    <definedName name="A1051??_4" localSheetId="2">'[2]#REF!'!#REF!</definedName>
    <definedName name="A1051??_4" localSheetId="0">#REF!</definedName>
    <definedName name="A1051??_4" localSheetId="6">'[2]#REF!'!#REF!</definedName>
    <definedName name="A1051??_4" localSheetId="7">'[2]#REF!'!#REF!</definedName>
    <definedName name="A1051??_4" localSheetId="5">'[2]#REF!'!#REF!</definedName>
    <definedName name="A1051??_4">'[2]#REF!'!#REF!</definedName>
    <definedName name="A1051??_5" localSheetId="4">'[2]#REF!'!#REF!</definedName>
    <definedName name="A1051??_5" localSheetId="2">'[2]#REF!'!#REF!</definedName>
    <definedName name="A1051??_5" localSheetId="0">#REF!</definedName>
    <definedName name="A1051??_5" localSheetId="6">'[2]#REF!'!#REF!</definedName>
    <definedName name="A1051??_5" localSheetId="7">'[2]#REF!'!#REF!</definedName>
    <definedName name="A1051??_5" localSheetId="5">'[2]#REF!'!#REF!</definedName>
    <definedName name="A1051??_5">'[2]#REF!'!#REF!</definedName>
    <definedName name="A1051??_6" localSheetId="4">'[2]#REF!'!#REF!</definedName>
    <definedName name="A1051??_6" localSheetId="2">'[2]#REF!'!#REF!</definedName>
    <definedName name="A1051??_6" localSheetId="0">#REF!</definedName>
    <definedName name="A1051??_6" localSheetId="6">'[2]#REF!'!#REF!</definedName>
    <definedName name="A1051??_6" localSheetId="7">'[2]#REF!'!#REF!</definedName>
    <definedName name="A1051??_6" localSheetId="5">'[2]#REF!'!#REF!</definedName>
    <definedName name="A1051??_6">'[2]#REF!'!#REF!</definedName>
    <definedName name="A1051??_7" localSheetId="4">'[2]#REF!'!#REF!</definedName>
    <definedName name="A1051??_7" localSheetId="2">'[2]#REF!'!#REF!</definedName>
    <definedName name="A1051??_7" localSheetId="0">#REF!</definedName>
    <definedName name="A1051??_7" localSheetId="6">'[2]#REF!'!#REF!</definedName>
    <definedName name="A1051??_7" localSheetId="7">'[2]#REF!'!#REF!</definedName>
    <definedName name="A1051??_7" localSheetId="5">'[2]#REF!'!#REF!</definedName>
    <definedName name="A1051??_7">'[2]#REF!'!#REF!</definedName>
    <definedName name="A1051??_8" localSheetId="4">'[2]#REF!'!#REF!</definedName>
    <definedName name="A1051??_8" localSheetId="2">'[2]#REF!'!#REF!</definedName>
    <definedName name="A1051??_8" localSheetId="0">#REF!</definedName>
    <definedName name="A1051??_8" localSheetId="6">'[2]#REF!'!#REF!</definedName>
    <definedName name="A1051??_8" localSheetId="7">'[2]#REF!'!#REF!</definedName>
    <definedName name="A1051??_8" localSheetId="5">'[2]#REF!'!#REF!</definedName>
    <definedName name="A1051??_8">'[2]#REF!'!#REF!</definedName>
    <definedName name="A1051日商" localSheetId="4">#REF!</definedName>
    <definedName name="A1051日商" localSheetId="2">#REF!</definedName>
    <definedName name="A1051日商" localSheetId="0">'[2]#REF!'!#REF!</definedName>
    <definedName name="A1051日商" localSheetId="6">#REF!</definedName>
    <definedName name="A1051日商" localSheetId="7">#REF!</definedName>
    <definedName name="A1051日商" localSheetId="5">#REF!</definedName>
    <definedName name="A1051日商">#REF!</definedName>
    <definedName name="A1051日商_1" localSheetId="4">'[2]#REF!'!#REF!</definedName>
    <definedName name="A1051日商_1" localSheetId="2">'[2]#REF!'!#REF!</definedName>
    <definedName name="A1051日商_1" localSheetId="0">#REF!</definedName>
    <definedName name="A1051日商_1" localSheetId="6">'[2]#REF!'!#REF!</definedName>
    <definedName name="A1051日商_1" localSheetId="7">'[2]#REF!'!#REF!</definedName>
    <definedName name="A1051日商_1" localSheetId="5">'[2]#REF!'!#REF!</definedName>
    <definedName name="A1051日商_1">'[2]#REF!'!#REF!</definedName>
    <definedName name="A1051日商_2" localSheetId="4">'[2]#REF!'!#REF!</definedName>
    <definedName name="A1051日商_2" localSheetId="2">'[2]#REF!'!#REF!</definedName>
    <definedName name="A1051日商_2" localSheetId="0">#REF!</definedName>
    <definedName name="A1051日商_2" localSheetId="6">'[2]#REF!'!#REF!</definedName>
    <definedName name="A1051日商_2" localSheetId="7">'[2]#REF!'!#REF!</definedName>
    <definedName name="A1051日商_2" localSheetId="5">'[2]#REF!'!#REF!</definedName>
    <definedName name="A1051日商_2">'[2]#REF!'!#REF!</definedName>
    <definedName name="A1051日商_3" localSheetId="4">'[2]#REF!'!#REF!</definedName>
    <definedName name="A1051日商_3" localSheetId="2">'[2]#REF!'!#REF!</definedName>
    <definedName name="A1051日商_3" localSheetId="0">#REF!</definedName>
    <definedName name="A1051日商_3" localSheetId="6">'[2]#REF!'!#REF!</definedName>
    <definedName name="A1051日商_3" localSheetId="7">'[2]#REF!'!#REF!</definedName>
    <definedName name="A1051日商_3" localSheetId="5">'[2]#REF!'!#REF!</definedName>
    <definedName name="A1051日商_3">'[2]#REF!'!#REF!</definedName>
    <definedName name="A1087NPD" localSheetId="4">#REF!</definedName>
    <definedName name="A1087NPD" localSheetId="2">#REF!</definedName>
    <definedName name="A1087NPD" localSheetId="0">'[2]#REF!'!#REF!</definedName>
    <definedName name="A1087NPD" localSheetId="6">#REF!</definedName>
    <definedName name="A1087NPD" localSheetId="7">#REF!</definedName>
    <definedName name="A1087NPD" localSheetId="5">#REF!</definedName>
    <definedName name="A1087NPD">#REF!</definedName>
    <definedName name="A1087NPD_1" localSheetId="4">'[2]#REF!'!#REF!</definedName>
    <definedName name="A1087NPD_1" localSheetId="2">'[2]#REF!'!#REF!</definedName>
    <definedName name="A1087NPD_1" localSheetId="0">#REF!</definedName>
    <definedName name="A1087NPD_1" localSheetId="6">'[2]#REF!'!#REF!</definedName>
    <definedName name="A1087NPD_1" localSheetId="7">'[2]#REF!'!#REF!</definedName>
    <definedName name="A1087NPD_1" localSheetId="5">'[2]#REF!'!#REF!</definedName>
    <definedName name="A1087NPD_1">'[2]#REF!'!#REF!</definedName>
    <definedName name="A1087NPD_2" localSheetId="4">'[2]#REF!'!#REF!</definedName>
    <definedName name="A1087NPD_2" localSheetId="2">'[2]#REF!'!#REF!</definedName>
    <definedName name="A1087NPD_2" localSheetId="0">#REF!</definedName>
    <definedName name="A1087NPD_2" localSheetId="6">'[2]#REF!'!#REF!</definedName>
    <definedName name="A1087NPD_2" localSheetId="7">'[2]#REF!'!#REF!</definedName>
    <definedName name="A1087NPD_2" localSheetId="5">'[2]#REF!'!#REF!</definedName>
    <definedName name="A1087NPD_2">'[2]#REF!'!#REF!</definedName>
    <definedName name="A1087NPD_3" localSheetId="4">'[2]#REF!'!#REF!</definedName>
    <definedName name="A1087NPD_3" localSheetId="2">'[2]#REF!'!#REF!</definedName>
    <definedName name="A1087NPD_3" localSheetId="0">#REF!</definedName>
    <definedName name="A1087NPD_3" localSheetId="6">'[2]#REF!'!#REF!</definedName>
    <definedName name="A1087NPD_3" localSheetId="7">'[2]#REF!'!#REF!</definedName>
    <definedName name="A1087NPD_3" localSheetId="5">'[2]#REF!'!#REF!</definedName>
    <definedName name="A1087NPD_3">'[2]#REF!'!#REF!</definedName>
    <definedName name="A1123???????" localSheetId="4">#REF!</definedName>
    <definedName name="A1123???????" localSheetId="2">#REF!</definedName>
    <definedName name="A1123???????" localSheetId="0">#REF!</definedName>
    <definedName name="A1123???????" localSheetId="6">#REF!</definedName>
    <definedName name="A1123???????" localSheetId="7">#REF!</definedName>
    <definedName name="A1123???????" localSheetId="5">#REF!</definedName>
    <definedName name="A1123???????">#REF!</definedName>
    <definedName name="A1123???????_1" localSheetId="4">'[2]#REF!'!#REF!</definedName>
    <definedName name="A1123???????_1" localSheetId="2">'[2]#REF!'!#REF!</definedName>
    <definedName name="A1123???????_1" localSheetId="0">#REF!</definedName>
    <definedName name="A1123???????_1" localSheetId="6">'[2]#REF!'!#REF!</definedName>
    <definedName name="A1123???????_1" localSheetId="7">'[2]#REF!'!#REF!</definedName>
    <definedName name="A1123???????_1" localSheetId="5">'[2]#REF!'!#REF!</definedName>
    <definedName name="A1123???????_1">'[2]#REF!'!#REF!</definedName>
    <definedName name="A1123???????_2" localSheetId="4">'[2]#REF!'!#REF!</definedName>
    <definedName name="A1123???????_2" localSheetId="2">'[2]#REF!'!#REF!</definedName>
    <definedName name="A1123???????_2" localSheetId="0">#REF!</definedName>
    <definedName name="A1123???????_2" localSheetId="6">'[2]#REF!'!#REF!</definedName>
    <definedName name="A1123???????_2" localSheetId="7">'[2]#REF!'!#REF!</definedName>
    <definedName name="A1123???????_2" localSheetId="5">'[2]#REF!'!#REF!</definedName>
    <definedName name="A1123???????_2">'[2]#REF!'!#REF!</definedName>
    <definedName name="A1123???????_3" localSheetId="4">'[2]#REF!'!#REF!</definedName>
    <definedName name="A1123???????_3" localSheetId="2">'[2]#REF!'!#REF!</definedName>
    <definedName name="A1123???????_3" localSheetId="0">#REF!</definedName>
    <definedName name="A1123???????_3" localSheetId="6">'[2]#REF!'!#REF!</definedName>
    <definedName name="A1123???????_3" localSheetId="7">'[2]#REF!'!#REF!</definedName>
    <definedName name="A1123???????_3" localSheetId="5">'[2]#REF!'!#REF!</definedName>
    <definedName name="A1123???????_3">'[2]#REF!'!#REF!</definedName>
    <definedName name="A1123???????_4" localSheetId="4">'[2]#REF!'!#REF!</definedName>
    <definedName name="A1123???????_4" localSheetId="2">'[2]#REF!'!#REF!</definedName>
    <definedName name="A1123???????_4" localSheetId="0">#REF!</definedName>
    <definedName name="A1123???????_4" localSheetId="6">'[2]#REF!'!#REF!</definedName>
    <definedName name="A1123???????_4" localSheetId="7">'[2]#REF!'!#REF!</definedName>
    <definedName name="A1123???????_4" localSheetId="5">'[2]#REF!'!#REF!</definedName>
    <definedName name="A1123???????_4">'[2]#REF!'!#REF!</definedName>
    <definedName name="A1123???????_5" localSheetId="4">'[2]#REF!'!#REF!</definedName>
    <definedName name="A1123???????_5" localSheetId="2">'[2]#REF!'!#REF!</definedName>
    <definedName name="A1123???????_5" localSheetId="0">#REF!</definedName>
    <definedName name="A1123???????_5" localSheetId="6">'[2]#REF!'!#REF!</definedName>
    <definedName name="A1123???????_5" localSheetId="7">'[2]#REF!'!#REF!</definedName>
    <definedName name="A1123???????_5" localSheetId="5">'[2]#REF!'!#REF!</definedName>
    <definedName name="A1123???????_5">'[2]#REF!'!#REF!</definedName>
    <definedName name="A1123???????_6" localSheetId="4">'[2]#REF!'!#REF!</definedName>
    <definedName name="A1123???????_6" localSheetId="2">'[2]#REF!'!#REF!</definedName>
    <definedName name="A1123???????_6" localSheetId="0">#REF!</definedName>
    <definedName name="A1123???????_6" localSheetId="6">'[2]#REF!'!#REF!</definedName>
    <definedName name="A1123???????_6" localSheetId="7">'[2]#REF!'!#REF!</definedName>
    <definedName name="A1123???????_6" localSheetId="5">'[2]#REF!'!#REF!</definedName>
    <definedName name="A1123???????_6">'[2]#REF!'!#REF!</definedName>
    <definedName name="A1123???????_7" localSheetId="4">'[2]#REF!'!#REF!</definedName>
    <definedName name="A1123???????_7" localSheetId="2">'[2]#REF!'!#REF!</definedName>
    <definedName name="A1123???????_7" localSheetId="0">#REF!</definedName>
    <definedName name="A1123???????_7" localSheetId="6">'[2]#REF!'!#REF!</definedName>
    <definedName name="A1123???????_7" localSheetId="7">'[2]#REF!'!#REF!</definedName>
    <definedName name="A1123???????_7" localSheetId="5">'[2]#REF!'!#REF!</definedName>
    <definedName name="A1123???????_7">'[2]#REF!'!#REF!</definedName>
    <definedName name="A1123???????_8" localSheetId="4">'[2]#REF!'!#REF!</definedName>
    <definedName name="A1123???????_8" localSheetId="2">'[2]#REF!'!#REF!</definedName>
    <definedName name="A1123???????_8" localSheetId="0">#REF!</definedName>
    <definedName name="A1123???????_8" localSheetId="6">'[2]#REF!'!#REF!</definedName>
    <definedName name="A1123???????_8" localSheetId="7">'[2]#REF!'!#REF!</definedName>
    <definedName name="A1123???????_8" localSheetId="5">'[2]#REF!'!#REF!</definedName>
    <definedName name="A1123???????_8">'[2]#REF!'!#REF!</definedName>
    <definedName name="A1123ﾏｲｸﾛﾃｯｸ" localSheetId="4">#REF!</definedName>
    <definedName name="A1123ﾏｲｸﾛﾃｯｸ" localSheetId="2">#REF!</definedName>
    <definedName name="A1123ﾏｲｸﾛﾃｯｸ" localSheetId="0">'[2]#REF!'!#REF!</definedName>
    <definedName name="A1123ﾏｲｸﾛﾃｯｸ" localSheetId="6">#REF!</definedName>
    <definedName name="A1123ﾏｲｸﾛﾃｯｸ" localSheetId="7">#REF!</definedName>
    <definedName name="A1123ﾏｲｸﾛﾃｯｸ" localSheetId="5">#REF!</definedName>
    <definedName name="A1123ﾏｲｸﾛﾃｯｸ">#REF!</definedName>
    <definedName name="A1123ﾏｲｸﾛﾃｯｸ_1" localSheetId="4">'[2]#REF!'!#REF!</definedName>
    <definedName name="A1123ﾏｲｸﾛﾃｯｸ_1" localSheetId="2">'[2]#REF!'!#REF!</definedName>
    <definedName name="A1123ﾏｲｸﾛﾃｯｸ_1" localSheetId="0">#REF!</definedName>
    <definedName name="A1123ﾏｲｸﾛﾃｯｸ_1" localSheetId="6">'[2]#REF!'!#REF!</definedName>
    <definedName name="A1123ﾏｲｸﾛﾃｯｸ_1" localSheetId="7">'[2]#REF!'!#REF!</definedName>
    <definedName name="A1123ﾏｲｸﾛﾃｯｸ_1" localSheetId="5">'[2]#REF!'!#REF!</definedName>
    <definedName name="A1123ﾏｲｸﾛﾃｯｸ_1">'[2]#REF!'!#REF!</definedName>
    <definedName name="A1123ﾏｲｸﾛﾃｯｸ_2" localSheetId="4">'[2]#REF!'!#REF!</definedName>
    <definedName name="A1123ﾏｲｸﾛﾃｯｸ_2" localSheetId="2">'[2]#REF!'!#REF!</definedName>
    <definedName name="A1123ﾏｲｸﾛﾃｯｸ_2" localSheetId="0">#REF!</definedName>
    <definedName name="A1123ﾏｲｸﾛﾃｯｸ_2" localSheetId="6">'[2]#REF!'!#REF!</definedName>
    <definedName name="A1123ﾏｲｸﾛﾃｯｸ_2" localSheetId="7">'[2]#REF!'!#REF!</definedName>
    <definedName name="A1123ﾏｲｸﾛﾃｯｸ_2" localSheetId="5">'[2]#REF!'!#REF!</definedName>
    <definedName name="A1123ﾏｲｸﾛﾃｯｸ_2">'[2]#REF!'!#REF!</definedName>
    <definedName name="A1123ﾏｲｸﾛﾃｯｸ_3" localSheetId="4">'[2]#REF!'!#REF!</definedName>
    <definedName name="A1123ﾏｲｸﾛﾃｯｸ_3" localSheetId="2">'[2]#REF!'!#REF!</definedName>
    <definedName name="A1123ﾏｲｸﾛﾃｯｸ_3" localSheetId="0">#REF!</definedName>
    <definedName name="A1123ﾏｲｸﾛﾃｯｸ_3" localSheetId="6">'[2]#REF!'!#REF!</definedName>
    <definedName name="A1123ﾏｲｸﾛﾃｯｸ_3" localSheetId="7">'[2]#REF!'!#REF!</definedName>
    <definedName name="A1123ﾏｲｸﾛﾃｯｸ_3" localSheetId="5">'[2]#REF!'!#REF!</definedName>
    <definedName name="A1123ﾏｲｸﾛﾃｯｸ_3">'[2]#REF!'!#REF!</definedName>
    <definedName name="A1195??" localSheetId="4">#REF!</definedName>
    <definedName name="A1195??" localSheetId="2">#REF!</definedName>
    <definedName name="A1195??" localSheetId="0">#REF!</definedName>
    <definedName name="A1195??" localSheetId="6">#REF!</definedName>
    <definedName name="A1195??" localSheetId="7">#REF!</definedName>
    <definedName name="A1195??" localSheetId="5">#REF!</definedName>
    <definedName name="A1195??">#REF!</definedName>
    <definedName name="A1195??_1" localSheetId="4">'[2]#REF!'!#REF!</definedName>
    <definedName name="A1195??_1" localSheetId="2">'[2]#REF!'!#REF!</definedName>
    <definedName name="A1195??_1" localSheetId="0">#REF!</definedName>
    <definedName name="A1195??_1" localSheetId="6">'[2]#REF!'!#REF!</definedName>
    <definedName name="A1195??_1" localSheetId="7">'[2]#REF!'!#REF!</definedName>
    <definedName name="A1195??_1" localSheetId="5">'[2]#REF!'!#REF!</definedName>
    <definedName name="A1195??_1">'[2]#REF!'!#REF!</definedName>
    <definedName name="A1195??_2" localSheetId="4">'[2]#REF!'!#REF!</definedName>
    <definedName name="A1195??_2" localSheetId="2">'[2]#REF!'!#REF!</definedName>
    <definedName name="A1195??_2" localSheetId="0">#REF!</definedName>
    <definedName name="A1195??_2" localSheetId="6">'[2]#REF!'!#REF!</definedName>
    <definedName name="A1195??_2" localSheetId="7">'[2]#REF!'!#REF!</definedName>
    <definedName name="A1195??_2" localSheetId="5">'[2]#REF!'!#REF!</definedName>
    <definedName name="A1195??_2">'[2]#REF!'!#REF!</definedName>
    <definedName name="A1195??_3" localSheetId="4">'[2]#REF!'!#REF!</definedName>
    <definedName name="A1195??_3" localSheetId="2">'[2]#REF!'!#REF!</definedName>
    <definedName name="A1195??_3" localSheetId="0">#REF!</definedName>
    <definedName name="A1195??_3" localSheetId="6">'[2]#REF!'!#REF!</definedName>
    <definedName name="A1195??_3" localSheetId="7">'[2]#REF!'!#REF!</definedName>
    <definedName name="A1195??_3" localSheetId="5">'[2]#REF!'!#REF!</definedName>
    <definedName name="A1195??_3">'[2]#REF!'!#REF!</definedName>
    <definedName name="A1195??_4" localSheetId="4">'[2]#REF!'!#REF!</definedName>
    <definedName name="A1195??_4" localSheetId="2">'[2]#REF!'!#REF!</definedName>
    <definedName name="A1195??_4" localSheetId="0">#REF!</definedName>
    <definedName name="A1195??_4" localSheetId="6">'[2]#REF!'!#REF!</definedName>
    <definedName name="A1195??_4" localSheetId="7">'[2]#REF!'!#REF!</definedName>
    <definedName name="A1195??_4" localSheetId="5">'[2]#REF!'!#REF!</definedName>
    <definedName name="A1195??_4">'[2]#REF!'!#REF!</definedName>
    <definedName name="A1195??_5" localSheetId="4">'[2]#REF!'!#REF!</definedName>
    <definedName name="A1195??_5" localSheetId="2">'[2]#REF!'!#REF!</definedName>
    <definedName name="A1195??_5" localSheetId="0">#REF!</definedName>
    <definedName name="A1195??_5" localSheetId="6">'[2]#REF!'!#REF!</definedName>
    <definedName name="A1195??_5" localSheetId="7">'[2]#REF!'!#REF!</definedName>
    <definedName name="A1195??_5" localSheetId="5">'[2]#REF!'!#REF!</definedName>
    <definedName name="A1195??_5">'[2]#REF!'!#REF!</definedName>
    <definedName name="A1195??_6" localSheetId="4">'[2]#REF!'!#REF!</definedName>
    <definedName name="A1195??_6" localSheetId="2">'[2]#REF!'!#REF!</definedName>
    <definedName name="A1195??_6" localSheetId="0">#REF!</definedName>
    <definedName name="A1195??_6" localSheetId="6">'[2]#REF!'!#REF!</definedName>
    <definedName name="A1195??_6" localSheetId="7">'[2]#REF!'!#REF!</definedName>
    <definedName name="A1195??_6" localSheetId="5">'[2]#REF!'!#REF!</definedName>
    <definedName name="A1195??_6">'[2]#REF!'!#REF!</definedName>
    <definedName name="A1195??_7" localSheetId="4">'[2]#REF!'!#REF!</definedName>
    <definedName name="A1195??_7" localSheetId="2">'[2]#REF!'!#REF!</definedName>
    <definedName name="A1195??_7" localSheetId="0">#REF!</definedName>
    <definedName name="A1195??_7" localSheetId="6">'[2]#REF!'!#REF!</definedName>
    <definedName name="A1195??_7" localSheetId="7">'[2]#REF!'!#REF!</definedName>
    <definedName name="A1195??_7" localSheetId="5">'[2]#REF!'!#REF!</definedName>
    <definedName name="A1195??_7">'[2]#REF!'!#REF!</definedName>
    <definedName name="A1195??_8" localSheetId="4">'[2]#REF!'!#REF!</definedName>
    <definedName name="A1195??_8" localSheetId="2">'[2]#REF!'!#REF!</definedName>
    <definedName name="A1195??_8" localSheetId="0">#REF!</definedName>
    <definedName name="A1195??_8" localSheetId="6">'[2]#REF!'!#REF!</definedName>
    <definedName name="A1195??_8" localSheetId="7">'[2]#REF!'!#REF!</definedName>
    <definedName name="A1195??_8" localSheetId="5">'[2]#REF!'!#REF!</definedName>
    <definedName name="A1195??_8">'[2]#REF!'!#REF!</definedName>
    <definedName name="A1195三洋" localSheetId="4">#REF!</definedName>
    <definedName name="A1195三洋" localSheetId="2">#REF!</definedName>
    <definedName name="A1195三洋" localSheetId="0">'[2]#REF!'!#REF!</definedName>
    <definedName name="A1195三洋" localSheetId="6">#REF!</definedName>
    <definedName name="A1195三洋" localSheetId="7">#REF!</definedName>
    <definedName name="A1195三洋" localSheetId="5">#REF!</definedName>
    <definedName name="A1195三洋">#REF!</definedName>
    <definedName name="A1195三洋_1" localSheetId="4">'[2]#REF!'!#REF!</definedName>
    <definedName name="A1195三洋_1" localSheetId="2">'[2]#REF!'!#REF!</definedName>
    <definedName name="A1195三洋_1" localSheetId="0">#REF!</definedName>
    <definedName name="A1195三洋_1" localSheetId="6">'[2]#REF!'!#REF!</definedName>
    <definedName name="A1195三洋_1" localSheetId="7">'[2]#REF!'!#REF!</definedName>
    <definedName name="A1195三洋_1" localSheetId="5">'[2]#REF!'!#REF!</definedName>
    <definedName name="A1195三洋_1">'[2]#REF!'!#REF!</definedName>
    <definedName name="A1195三洋_2" localSheetId="4">'[2]#REF!'!#REF!</definedName>
    <definedName name="A1195三洋_2" localSheetId="2">'[2]#REF!'!#REF!</definedName>
    <definedName name="A1195三洋_2" localSheetId="0">#REF!</definedName>
    <definedName name="A1195三洋_2" localSheetId="6">'[2]#REF!'!#REF!</definedName>
    <definedName name="A1195三洋_2" localSheetId="7">'[2]#REF!'!#REF!</definedName>
    <definedName name="A1195三洋_2" localSheetId="5">'[2]#REF!'!#REF!</definedName>
    <definedName name="A1195三洋_2">'[2]#REF!'!#REF!</definedName>
    <definedName name="A1195三洋_3" localSheetId="4">'[2]#REF!'!#REF!</definedName>
    <definedName name="A1195三洋_3" localSheetId="2">'[2]#REF!'!#REF!</definedName>
    <definedName name="A1195三洋_3" localSheetId="0">#REF!</definedName>
    <definedName name="A1195三洋_3" localSheetId="6">'[2]#REF!'!#REF!</definedName>
    <definedName name="A1195三洋_3" localSheetId="7">'[2]#REF!'!#REF!</definedName>
    <definedName name="A1195三洋_3" localSheetId="5">'[2]#REF!'!#REF!</definedName>
    <definedName name="A1195三洋_3">'[2]#REF!'!#REF!</definedName>
    <definedName name="A1231???" localSheetId="4">#REF!</definedName>
    <definedName name="A1231???" localSheetId="2">#REF!</definedName>
    <definedName name="A1231???" localSheetId="0">#REF!</definedName>
    <definedName name="A1231???" localSheetId="6">#REF!</definedName>
    <definedName name="A1231???" localSheetId="7">#REF!</definedName>
    <definedName name="A1231???" localSheetId="5">#REF!</definedName>
    <definedName name="A1231???">#REF!</definedName>
    <definedName name="A1231???_1" localSheetId="4">'[2]#REF!'!#REF!</definedName>
    <definedName name="A1231???_1" localSheetId="2">'[2]#REF!'!#REF!</definedName>
    <definedName name="A1231???_1" localSheetId="0">#REF!</definedName>
    <definedName name="A1231???_1" localSheetId="6">'[2]#REF!'!#REF!</definedName>
    <definedName name="A1231???_1" localSheetId="7">'[2]#REF!'!#REF!</definedName>
    <definedName name="A1231???_1" localSheetId="5">'[2]#REF!'!#REF!</definedName>
    <definedName name="A1231???_1">'[2]#REF!'!#REF!</definedName>
    <definedName name="A1231???_2" localSheetId="4">'[2]#REF!'!#REF!</definedName>
    <definedName name="A1231???_2" localSheetId="2">'[2]#REF!'!#REF!</definedName>
    <definedName name="A1231???_2" localSheetId="0">#REF!</definedName>
    <definedName name="A1231???_2" localSheetId="6">'[2]#REF!'!#REF!</definedName>
    <definedName name="A1231???_2" localSheetId="7">'[2]#REF!'!#REF!</definedName>
    <definedName name="A1231???_2" localSheetId="5">'[2]#REF!'!#REF!</definedName>
    <definedName name="A1231???_2">'[2]#REF!'!#REF!</definedName>
    <definedName name="A1231???_3" localSheetId="4">'[2]#REF!'!#REF!</definedName>
    <definedName name="A1231???_3" localSheetId="2">'[2]#REF!'!#REF!</definedName>
    <definedName name="A1231???_3" localSheetId="0">#REF!</definedName>
    <definedName name="A1231???_3" localSheetId="6">'[2]#REF!'!#REF!</definedName>
    <definedName name="A1231???_3" localSheetId="7">'[2]#REF!'!#REF!</definedName>
    <definedName name="A1231???_3" localSheetId="5">'[2]#REF!'!#REF!</definedName>
    <definedName name="A1231???_3">'[2]#REF!'!#REF!</definedName>
    <definedName name="A1231???_4" localSheetId="4">'[2]#REF!'!#REF!</definedName>
    <definedName name="A1231???_4" localSheetId="2">'[2]#REF!'!#REF!</definedName>
    <definedName name="A1231???_4" localSheetId="0">#REF!</definedName>
    <definedName name="A1231???_4" localSheetId="6">'[2]#REF!'!#REF!</definedName>
    <definedName name="A1231???_4" localSheetId="7">'[2]#REF!'!#REF!</definedName>
    <definedName name="A1231???_4" localSheetId="5">'[2]#REF!'!#REF!</definedName>
    <definedName name="A1231???_4">'[2]#REF!'!#REF!</definedName>
    <definedName name="A1231???_5" localSheetId="4">'[2]#REF!'!#REF!</definedName>
    <definedName name="A1231???_5" localSheetId="2">'[2]#REF!'!#REF!</definedName>
    <definedName name="A1231???_5" localSheetId="0">#REF!</definedName>
    <definedName name="A1231???_5" localSheetId="6">'[2]#REF!'!#REF!</definedName>
    <definedName name="A1231???_5" localSheetId="7">'[2]#REF!'!#REF!</definedName>
    <definedName name="A1231???_5" localSheetId="5">'[2]#REF!'!#REF!</definedName>
    <definedName name="A1231???_5">'[2]#REF!'!#REF!</definedName>
    <definedName name="A1231???_6" localSheetId="4">'[2]#REF!'!#REF!</definedName>
    <definedName name="A1231???_6" localSheetId="2">'[2]#REF!'!#REF!</definedName>
    <definedName name="A1231???_6" localSheetId="0">#REF!</definedName>
    <definedName name="A1231???_6" localSheetId="6">'[2]#REF!'!#REF!</definedName>
    <definedName name="A1231???_6" localSheetId="7">'[2]#REF!'!#REF!</definedName>
    <definedName name="A1231???_6" localSheetId="5">'[2]#REF!'!#REF!</definedName>
    <definedName name="A1231???_6">'[2]#REF!'!#REF!</definedName>
    <definedName name="A1231???_7" localSheetId="4">'[2]#REF!'!#REF!</definedName>
    <definedName name="A1231???_7" localSheetId="2">'[2]#REF!'!#REF!</definedName>
    <definedName name="A1231???_7" localSheetId="0">#REF!</definedName>
    <definedName name="A1231???_7" localSheetId="6">'[2]#REF!'!#REF!</definedName>
    <definedName name="A1231???_7" localSheetId="7">'[2]#REF!'!#REF!</definedName>
    <definedName name="A1231???_7" localSheetId="5">'[2]#REF!'!#REF!</definedName>
    <definedName name="A1231???_7">'[2]#REF!'!#REF!</definedName>
    <definedName name="A1231???_8" localSheetId="4">'[2]#REF!'!#REF!</definedName>
    <definedName name="A1231???_8" localSheetId="2">'[2]#REF!'!#REF!</definedName>
    <definedName name="A1231???_8" localSheetId="0">#REF!</definedName>
    <definedName name="A1231???_8" localSheetId="6">'[2]#REF!'!#REF!</definedName>
    <definedName name="A1231???_8" localSheetId="7">'[2]#REF!'!#REF!</definedName>
    <definedName name="A1231???_8" localSheetId="5">'[2]#REF!'!#REF!</definedName>
    <definedName name="A1231???_8">'[2]#REF!'!#REF!</definedName>
    <definedName name="A1231旭硝子" localSheetId="4">#REF!</definedName>
    <definedName name="A1231旭硝子" localSheetId="2">#REF!</definedName>
    <definedName name="A1231旭硝子" localSheetId="0">'[2]#REF!'!#REF!</definedName>
    <definedName name="A1231旭硝子" localSheetId="6">#REF!</definedName>
    <definedName name="A1231旭硝子" localSheetId="7">#REF!</definedName>
    <definedName name="A1231旭硝子" localSheetId="5">#REF!</definedName>
    <definedName name="A1231旭硝子">#REF!</definedName>
    <definedName name="A1231旭硝子_1" localSheetId="4">'[2]#REF!'!#REF!</definedName>
    <definedName name="A1231旭硝子_1" localSheetId="2">'[2]#REF!'!#REF!</definedName>
    <definedName name="A1231旭硝子_1" localSheetId="0">#REF!</definedName>
    <definedName name="A1231旭硝子_1" localSheetId="6">'[2]#REF!'!#REF!</definedName>
    <definedName name="A1231旭硝子_1" localSheetId="7">'[2]#REF!'!#REF!</definedName>
    <definedName name="A1231旭硝子_1" localSheetId="5">'[2]#REF!'!#REF!</definedName>
    <definedName name="A1231旭硝子_1">'[2]#REF!'!#REF!</definedName>
    <definedName name="A1231旭硝子_2" localSheetId="4">'[2]#REF!'!#REF!</definedName>
    <definedName name="A1231旭硝子_2" localSheetId="2">'[2]#REF!'!#REF!</definedName>
    <definedName name="A1231旭硝子_2" localSheetId="0">#REF!</definedName>
    <definedName name="A1231旭硝子_2" localSheetId="6">'[2]#REF!'!#REF!</definedName>
    <definedName name="A1231旭硝子_2" localSheetId="7">'[2]#REF!'!#REF!</definedName>
    <definedName name="A1231旭硝子_2" localSheetId="5">'[2]#REF!'!#REF!</definedName>
    <definedName name="A1231旭硝子_2">'[2]#REF!'!#REF!</definedName>
    <definedName name="A1231旭硝子_3" localSheetId="4">'[2]#REF!'!#REF!</definedName>
    <definedName name="A1231旭硝子_3" localSheetId="2">'[2]#REF!'!#REF!</definedName>
    <definedName name="A1231旭硝子_3" localSheetId="0">#REF!</definedName>
    <definedName name="A1231旭硝子_3" localSheetId="6">'[2]#REF!'!#REF!</definedName>
    <definedName name="A1231旭硝子_3" localSheetId="7">'[2]#REF!'!#REF!</definedName>
    <definedName name="A1231旭硝子_3" localSheetId="5">'[2]#REF!'!#REF!</definedName>
    <definedName name="A1231旭硝子_3">'[2]#REF!'!#REF!</definedName>
    <definedName name="A1303????" localSheetId="4">#REF!</definedName>
    <definedName name="A1303????" localSheetId="2">#REF!</definedName>
    <definedName name="A1303????" localSheetId="0">#REF!</definedName>
    <definedName name="A1303????" localSheetId="6">#REF!</definedName>
    <definedName name="A1303????" localSheetId="7">#REF!</definedName>
    <definedName name="A1303????" localSheetId="5">#REF!</definedName>
    <definedName name="A1303????">#REF!</definedName>
    <definedName name="A1303????_1" localSheetId="4">'[2]#REF!'!#REF!</definedName>
    <definedName name="A1303????_1" localSheetId="2">'[2]#REF!'!#REF!</definedName>
    <definedName name="A1303????_1" localSheetId="0">#REF!</definedName>
    <definedName name="A1303????_1" localSheetId="6">'[2]#REF!'!#REF!</definedName>
    <definedName name="A1303????_1" localSheetId="7">'[2]#REF!'!#REF!</definedName>
    <definedName name="A1303????_1" localSheetId="5">'[2]#REF!'!#REF!</definedName>
    <definedName name="A1303????_1">'[2]#REF!'!#REF!</definedName>
    <definedName name="A1303????_2" localSheetId="4">'[2]#REF!'!#REF!</definedName>
    <definedName name="A1303????_2" localSheetId="2">'[2]#REF!'!#REF!</definedName>
    <definedName name="A1303????_2" localSheetId="0">#REF!</definedName>
    <definedName name="A1303????_2" localSheetId="6">'[2]#REF!'!#REF!</definedName>
    <definedName name="A1303????_2" localSheetId="7">'[2]#REF!'!#REF!</definedName>
    <definedName name="A1303????_2" localSheetId="5">'[2]#REF!'!#REF!</definedName>
    <definedName name="A1303????_2">'[2]#REF!'!#REF!</definedName>
    <definedName name="A1303????_3" localSheetId="4">'[2]#REF!'!#REF!</definedName>
    <definedName name="A1303????_3" localSheetId="2">'[2]#REF!'!#REF!</definedName>
    <definedName name="A1303????_3" localSheetId="0">#REF!</definedName>
    <definedName name="A1303????_3" localSheetId="6">'[2]#REF!'!#REF!</definedName>
    <definedName name="A1303????_3" localSheetId="7">'[2]#REF!'!#REF!</definedName>
    <definedName name="A1303????_3" localSheetId="5">'[2]#REF!'!#REF!</definedName>
    <definedName name="A1303????_3">'[2]#REF!'!#REF!</definedName>
    <definedName name="A1303????_4" localSheetId="4">'[2]#REF!'!#REF!</definedName>
    <definedName name="A1303????_4" localSheetId="2">'[2]#REF!'!#REF!</definedName>
    <definedName name="A1303????_4" localSheetId="0">#REF!</definedName>
    <definedName name="A1303????_4" localSheetId="6">'[2]#REF!'!#REF!</definedName>
    <definedName name="A1303????_4" localSheetId="7">'[2]#REF!'!#REF!</definedName>
    <definedName name="A1303????_4" localSheetId="5">'[2]#REF!'!#REF!</definedName>
    <definedName name="A1303????_4">'[2]#REF!'!#REF!</definedName>
    <definedName name="A1303????_5" localSheetId="4">'[2]#REF!'!#REF!</definedName>
    <definedName name="A1303????_5" localSheetId="2">'[2]#REF!'!#REF!</definedName>
    <definedName name="A1303????_5" localSheetId="0">#REF!</definedName>
    <definedName name="A1303????_5" localSheetId="6">'[2]#REF!'!#REF!</definedName>
    <definedName name="A1303????_5" localSheetId="7">'[2]#REF!'!#REF!</definedName>
    <definedName name="A1303????_5" localSheetId="5">'[2]#REF!'!#REF!</definedName>
    <definedName name="A1303????_5">'[2]#REF!'!#REF!</definedName>
    <definedName name="A1303????_6" localSheetId="4">'[2]#REF!'!#REF!</definedName>
    <definedName name="A1303????_6" localSheetId="2">'[2]#REF!'!#REF!</definedName>
    <definedName name="A1303????_6" localSheetId="0">#REF!</definedName>
    <definedName name="A1303????_6" localSheetId="6">'[2]#REF!'!#REF!</definedName>
    <definedName name="A1303????_6" localSheetId="7">'[2]#REF!'!#REF!</definedName>
    <definedName name="A1303????_6" localSheetId="5">'[2]#REF!'!#REF!</definedName>
    <definedName name="A1303????_6">'[2]#REF!'!#REF!</definedName>
    <definedName name="A1303????_7" localSheetId="4">'[2]#REF!'!#REF!</definedName>
    <definedName name="A1303????_7" localSheetId="2">'[2]#REF!'!#REF!</definedName>
    <definedName name="A1303????_7" localSheetId="0">#REF!</definedName>
    <definedName name="A1303????_7" localSheetId="6">'[2]#REF!'!#REF!</definedName>
    <definedName name="A1303????_7" localSheetId="7">'[2]#REF!'!#REF!</definedName>
    <definedName name="A1303????_7" localSheetId="5">'[2]#REF!'!#REF!</definedName>
    <definedName name="A1303????_7">'[2]#REF!'!#REF!</definedName>
    <definedName name="A1303????_8" localSheetId="4">'[2]#REF!'!#REF!</definedName>
    <definedName name="A1303????_8" localSheetId="2">'[2]#REF!'!#REF!</definedName>
    <definedName name="A1303????_8" localSheetId="0">#REF!</definedName>
    <definedName name="A1303????_8" localSheetId="6">'[2]#REF!'!#REF!</definedName>
    <definedName name="A1303????_8" localSheetId="7">'[2]#REF!'!#REF!</definedName>
    <definedName name="A1303????_8" localSheetId="5">'[2]#REF!'!#REF!</definedName>
    <definedName name="A1303????_8">'[2]#REF!'!#REF!</definedName>
    <definedName name="A1303日立電線" localSheetId="4">#REF!</definedName>
    <definedName name="A1303日立電線" localSheetId="2">#REF!</definedName>
    <definedName name="A1303日立電線" localSheetId="0">'[2]#REF!'!#REF!</definedName>
    <definedName name="A1303日立電線" localSheetId="6">#REF!</definedName>
    <definedName name="A1303日立電線" localSheetId="7">#REF!</definedName>
    <definedName name="A1303日立電線" localSheetId="5">#REF!</definedName>
    <definedName name="A1303日立電線">#REF!</definedName>
    <definedName name="A1303日立電線_1" localSheetId="4">'[2]#REF!'!#REF!</definedName>
    <definedName name="A1303日立電線_1" localSheetId="2">'[2]#REF!'!#REF!</definedName>
    <definedName name="A1303日立電線_1" localSheetId="0">#REF!</definedName>
    <definedName name="A1303日立電線_1" localSheetId="6">'[2]#REF!'!#REF!</definedName>
    <definedName name="A1303日立電線_1" localSheetId="7">'[2]#REF!'!#REF!</definedName>
    <definedName name="A1303日立電線_1" localSheetId="5">'[2]#REF!'!#REF!</definedName>
    <definedName name="A1303日立電線_1">'[2]#REF!'!#REF!</definedName>
    <definedName name="A1303日立電線_2" localSheetId="4">'[2]#REF!'!#REF!</definedName>
    <definedName name="A1303日立電線_2" localSheetId="2">'[2]#REF!'!#REF!</definedName>
    <definedName name="A1303日立電線_2" localSheetId="0">#REF!</definedName>
    <definedName name="A1303日立電線_2" localSheetId="6">'[2]#REF!'!#REF!</definedName>
    <definedName name="A1303日立電線_2" localSheetId="7">'[2]#REF!'!#REF!</definedName>
    <definedName name="A1303日立電線_2" localSheetId="5">'[2]#REF!'!#REF!</definedName>
    <definedName name="A1303日立電線_2">'[2]#REF!'!#REF!</definedName>
    <definedName name="A1303日立電線_3" localSheetId="4">'[2]#REF!'!#REF!</definedName>
    <definedName name="A1303日立電線_3" localSheetId="2">'[2]#REF!'!#REF!</definedName>
    <definedName name="A1303日立電線_3" localSheetId="0">#REF!</definedName>
    <definedName name="A1303日立電線_3" localSheetId="6">'[2]#REF!'!#REF!</definedName>
    <definedName name="A1303日立電線_3" localSheetId="7">'[2]#REF!'!#REF!</definedName>
    <definedName name="A1303日立電線_3" localSheetId="5">'[2]#REF!'!#REF!</definedName>
    <definedName name="A1303日立電線_3">'[2]#REF!'!#REF!</definedName>
    <definedName name="A1375?????" localSheetId="4">#REF!</definedName>
    <definedName name="A1375?????" localSheetId="2">#REF!</definedName>
    <definedName name="A1375?????" localSheetId="0">#REF!</definedName>
    <definedName name="A1375?????" localSheetId="6">#REF!</definedName>
    <definedName name="A1375?????" localSheetId="7">#REF!</definedName>
    <definedName name="A1375?????" localSheetId="5">#REF!</definedName>
    <definedName name="A1375?????">#REF!</definedName>
    <definedName name="A1375?????_1" localSheetId="4">'[2]#REF!'!#REF!</definedName>
    <definedName name="A1375?????_1" localSheetId="2">'[2]#REF!'!#REF!</definedName>
    <definedName name="A1375?????_1" localSheetId="0">#REF!</definedName>
    <definedName name="A1375?????_1" localSheetId="6">'[2]#REF!'!#REF!</definedName>
    <definedName name="A1375?????_1" localSheetId="7">'[2]#REF!'!#REF!</definedName>
    <definedName name="A1375?????_1" localSheetId="5">'[2]#REF!'!#REF!</definedName>
    <definedName name="A1375?????_1">'[2]#REF!'!#REF!</definedName>
    <definedName name="A1375?????_2" localSheetId="4">'[2]#REF!'!#REF!</definedName>
    <definedName name="A1375?????_2" localSheetId="2">'[2]#REF!'!#REF!</definedName>
    <definedName name="A1375?????_2" localSheetId="0">#REF!</definedName>
    <definedName name="A1375?????_2" localSheetId="6">'[2]#REF!'!#REF!</definedName>
    <definedName name="A1375?????_2" localSheetId="7">'[2]#REF!'!#REF!</definedName>
    <definedName name="A1375?????_2" localSheetId="5">'[2]#REF!'!#REF!</definedName>
    <definedName name="A1375?????_2">'[2]#REF!'!#REF!</definedName>
    <definedName name="A1375?????_3" localSheetId="4">'[2]#REF!'!#REF!</definedName>
    <definedName name="A1375?????_3" localSheetId="2">'[2]#REF!'!#REF!</definedName>
    <definedName name="A1375?????_3" localSheetId="0">#REF!</definedName>
    <definedName name="A1375?????_3" localSheetId="6">'[2]#REF!'!#REF!</definedName>
    <definedName name="A1375?????_3" localSheetId="7">'[2]#REF!'!#REF!</definedName>
    <definedName name="A1375?????_3" localSheetId="5">'[2]#REF!'!#REF!</definedName>
    <definedName name="A1375?????_3">'[2]#REF!'!#REF!</definedName>
    <definedName name="A1375?????_4" localSheetId="4">'[2]#REF!'!#REF!</definedName>
    <definedName name="A1375?????_4" localSheetId="2">'[2]#REF!'!#REF!</definedName>
    <definedName name="A1375?????_4" localSheetId="0">#REF!</definedName>
    <definedName name="A1375?????_4" localSheetId="6">'[2]#REF!'!#REF!</definedName>
    <definedName name="A1375?????_4" localSheetId="7">'[2]#REF!'!#REF!</definedName>
    <definedName name="A1375?????_4" localSheetId="5">'[2]#REF!'!#REF!</definedName>
    <definedName name="A1375?????_4">'[2]#REF!'!#REF!</definedName>
    <definedName name="A1375?????_5" localSheetId="4">'[2]#REF!'!#REF!</definedName>
    <definedName name="A1375?????_5" localSheetId="2">'[2]#REF!'!#REF!</definedName>
    <definedName name="A1375?????_5" localSheetId="0">#REF!</definedName>
    <definedName name="A1375?????_5" localSheetId="6">'[2]#REF!'!#REF!</definedName>
    <definedName name="A1375?????_5" localSheetId="7">'[2]#REF!'!#REF!</definedName>
    <definedName name="A1375?????_5" localSheetId="5">'[2]#REF!'!#REF!</definedName>
    <definedName name="A1375?????_5">'[2]#REF!'!#REF!</definedName>
    <definedName name="A1375?????_6" localSheetId="4">'[2]#REF!'!#REF!</definedName>
    <definedName name="A1375?????_6" localSheetId="2">'[2]#REF!'!#REF!</definedName>
    <definedName name="A1375?????_6" localSheetId="0">#REF!</definedName>
    <definedName name="A1375?????_6" localSheetId="6">'[2]#REF!'!#REF!</definedName>
    <definedName name="A1375?????_6" localSheetId="7">'[2]#REF!'!#REF!</definedName>
    <definedName name="A1375?????_6" localSheetId="5">'[2]#REF!'!#REF!</definedName>
    <definedName name="A1375?????_6">'[2]#REF!'!#REF!</definedName>
    <definedName name="A1375?????_7" localSheetId="4">'[2]#REF!'!#REF!</definedName>
    <definedName name="A1375?????_7" localSheetId="2">'[2]#REF!'!#REF!</definedName>
    <definedName name="A1375?????_7" localSheetId="0">#REF!</definedName>
    <definedName name="A1375?????_7" localSheetId="6">'[2]#REF!'!#REF!</definedName>
    <definedName name="A1375?????_7" localSheetId="7">'[2]#REF!'!#REF!</definedName>
    <definedName name="A1375?????_7" localSheetId="5">'[2]#REF!'!#REF!</definedName>
    <definedName name="A1375?????_7">'[2]#REF!'!#REF!</definedName>
    <definedName name="A1375?????_8" localSheetId="4">'[2]#REF!'!#REF!</definedName>
    <definedName name="A1375?????_8" localSheetId="2">'[2]#REF!'!#REF!</definedName>
    <definedName name="A1375?????_8" localSheetId="0">#REF!</definedName>
    <definedName name="A1375?????_8" localSheetId="6">'[2]#REF!'!#REF!</definedName>
    <definedName name="A1375?????_8" localSheetId="7">'[2]#REF!'!#REF!</definedName>
    <definedName name="A1375?????_8" localSheetId="5">'[2]#REF!'!#REF!</definedName>
    <definedName name="A1375?????_8">'[2]#REF!'!#REF!</definedName>
    <definedName name="A1375ｲﾉﾃｯｸ" localSheetId="4">#REF!</definedName>
    <definedName name="A1375ｲﾉﾃｯｸ" localSheetId="2">#REF!</definedName>
    <definedName name="A1375ｲﾉﾃｯｸ" localSheetId="0">'[2]#REF!'!#REF!</definedName>
    <definedName name="A1375ｲﾉﾃｯｸ" localSheetId="6">#REF!</definedName>
    <definedName name="A1375ｲﾉﾃｯｸ" localSheetId="7">#REF!</definedName>
    <definedName name="A1375ｲﾉﾃｯｸ" localSheetId="5">#REF!</definedName>
    <definedName name="A1375ｲﾉﾃｯｸ">#REF!</definedName>
    <definedName name="A1375ｲﾉﾃｯｸ_1" localSheetId="4">'[2]#REF!'!#REF!</definedName>
    <definedName name="A1375ｲﾉﾃｯｸ_1" localSheetId="2">'[2]#REF!'!#REF!</definedName>
    <definedName name="A1375ｲﾉﾃｯｸ_1" localSheetId="0">#REF!</definedName>
    <definedName name="A1375ｲﾉﾃｯｸ_1" localSheetId="6">'[2]#REF!'!#REF!</definedName>
    <definedName name="A1375ｲﾉﾃｯｸ_1" localSheetId="7">'[2]#REF!'!#REF!</definedName>
    <definedName name="A1375ｲﾉﾃｯｸ_1" localSheetId="5">'[2]#REF!'!#REF!</definedName>
    <definedName name="A1375ｲﾉﾃｯｸ_1">'[2]#REF!'!#REF!</definedName>
    <definedName name="A1375ｲﾉﾃｯｸ_2" localSheetId="4">'[2]#REF!'!#REF!</definedName>
    <definedName name="A1375ｲﾉﾃｯｸ_2" localSheetId="2">'[2]#REF!'!#REF!</definedName>
    <definedName name="A1375ｲﾉﾃｯｸ_2" localSheetId="0">#REF!</definedName>
    <definedName name="A1375ｲﾉﾃｯｸ_2" localSheetId="6">'[2]#REF!'!#REF!</definedName>
    <definedName name="A1375ｲﾉﾃｯｸ_2" localSheetId="7">'[2]#REF!'!#REF!</definedName>
    <definedName name="A1375ｲﾉﾃｯｸ_2" localSheetId="5">'[2]#REF!'!#REF!</definedName>
    <definedName name="A1375ｲﾉﾃｯｸ_2">'[2]#REF!'!#REF!</definedName>
    <definedName name="A1375ｲﾉﾃｯｸ_3" localSheetId="4">'[2]#REF!'!#REF!</definedName>
    <definedName name="A1375ｲﾉﾃｯｸ_3" localSheetId="2">'[2]#REF!'!#REF!</definedName>
    <definedName name="A1375ｲﾉﾃｯｸ_3" localSheetId="0">#REF!</definedName>
    <definedName name="A1375ｲﾉﾃｯｸ_3" localSheetId="6">'[2]#REF!'!#REF!</definedName>
    <definedName name="A1375ｲﾉﾃｯｸ_3" localSheetId="7">'[2]#REF!'!#REF!</definedName>
    <definedName name="A1375ｲﾉﾃｯｸ_3" localSheetId="5">'[2]#REF!'!#REF!</definedName>
    <definedName name="A1375ｲﾉﾃｯｸ_3">'[2]#REF!'!#REF!</definedName>
    <definedName name="A151??" localSheetId="4">#REF!</definedName>
    <definedName name="A151??" localSheetId="2">#REF!</definedName>
    <definedName name="A151??" localSheetId="0">#REF!</definedName>
    <definedName name="A151??" localSheetId="7">#REF!</definedName>
    <definedName name="A151??" localSheetId="5">#REF!</definedName>
    <definedName name="A151??">#REF!</definedName>
    <definedName name="A151??_1" localSheetId="0">#REF!</definedName>
    <definedName name="A151??_1">'[2]#REF!'!$A$135</definedName>
    <definedName name="A151協栄" localSheetId="4">#REF!</definedName>
    <definedName name="A151協栄" localSheetId="2">#REF!</definedName>
    <definedName name="A151協栄" localSheetId="0">'[2]#REF!'!$A$135</definedName>
    <definedName name="A151協栄" localSheetId="7">#REF!</definedName>
    <definedName name="A151協栄" localSheetId="5">#REF!</definedName>
    <definedName name="A151協栄">#REF!</definedName>
    <definedName name="A223??" localSheetId="4">#REF!</definedName>
    <definedName name="A223??" localSheetId="2">#REF!</definedName>
    <definedName name="A223??" localSheetId="0">#REF!</definedName>
    <definedName name="A223??" localSheetId="7">#REF!</definedName>
    <definedName name="A223??" localSheetId="5">#REF!</definedName>
    <definedName name="A223??">#REF!</definedName>
    <definedName name="A223???" localSheetId="4">#REF!</definedName>
    <definedName name="A223???" localSheetId="2">#REF!</definedName>
    <definedName name="A223???" localSheetId="0">#REF!</definedName>
    <definedName name="A223???" localSheetId="6">#REF!</definedName>
    <definedName name="A223???" localSheetId="7">#REF!</definedName>
    <definedName name="A223???" localSheetId="5">#REF!</definedName>
    <definedName name="A223???">#REF!</definedName>
    <definedName name="A223???_1" localSheetId="4">'[2]#REF!'!#REF!</definedName>
    <definedName name="A223???_1" localSheetId="2">'[2]#REF!'!#REF!</definedName>
    <definedName name="A223???_1" localSheetId="0">#REF!</definedName>
    <definedName name="A223???_1" localSheetId="6">'[2]#REF!'!#REF!</definedName>
    <definedName name="A223???_1" localSheetId="7">'[2]#REF!'!#REF!</definedName>
    <definedName name="A223???_1" localSheetId="5">'[2]#REF!'!#REF!</definedName>
    <definedName name="A223???_1">'[2]#REF!'!#REF!</definedName>
    <definedName name="A223???_2" localSheetId="4">'[2]#REF!'!#REF!</definedName>
    <definedName name="A223???_2" localSheetId="2">'[2]#REF!'!#REF!</definedName>
    <definedName name="A223???_2" localSheetId="0">#REF!</definedName>
    <definedName name="A223???_2" localSheetId="6">'[2]#REF!'!#REF!</definedName>
    <definedName name="A223???_2" localSheetId="7">'[2]#REF!'!#REF!</definedName>
    <definedName name="A223???_2" localSheetId="5">'[2]#REF!'!#REF!</definedName>
    <definedName name="A223???_2">'[2]#REF!'!#REF!</definedName>
    <definedName name="A223???_3" localSheetId="4">'[2]#REF!'!#REF!</definedName>
    <definedName name="A223???_3" localSheetId="2">'[2]#REF!'!#REF!</definedName>
    <definedName name="A223???_3" localSheetId="0">#REF!</definedName>
    <definedName name="A223???_3" localSheetId="6">'[2]#REF!'!#REF!</definedName>
    <definedName name="A223???_3" localSheetId="7">'[2]#REF!'!#REF!</definedName>
    <definedName name="A223???_3" localSheetId="5">'[2]#REF!'!#REF!</definedName>
    <definedName name="A223???_3">'[2]#REF!'!#REF!</definedName>
    <definedName name="A223???_4" localSheetId="4">'[2]#REF!'!#REF!</definedName>
    <definedName name="A223???_4" localSheetId="2">'[2]#REF!'!#REF!</definedName>
    <definedName name="A223???_4" localSheetId="0">#REF!</definedName>
    <definedName name="A223???_4" localSheetId="6">'[2]#REF!'!#REF!</definedName>
    <definedName name="A223???_4" localSheetId="7">'[2]#REF!'!#REF!</definedName>
    <definedName name="A223???_4" localSheetId="5">'[2]#REF!'!#REF!</definedName>
    <definedName name="A223???_4">'[2]#REF!'!#REF!</definedName>
    <definedName name="A223???_5" localSheetId="4">'[2]#REF!'!#REF!</definedName>
    <definedName name="A223???_5" localSheetId="2">'[2]#REF!'!#REF!</definedName>
    <definedName name="A223???_5" localSheetId="0">#REF!</definedName>
    <definedName name="A223???_5" localSheetId="6">'[2]#REF!'!#REF!</definedName>
    <definedName name="A223???_5" localSheetId="7">'[2]#REF!'!#REF!</definedName>
    <definedName name="A223???_5" localSheetId="5">'[2]#REF!'!#REF!</definedName>
    <definedName name="A223???_5">'[2]#REF!'!#REF!</definedName>
    <definedName name="A223???_6" localSheetId="4">'[2]#REF!'!#REF!</definedName>
    <definedName name="A223???_6" localSheetId="2">'[2]#REF!'!#REF!</definedName>
    <definedName name="A223???_6" localSheetId="0">#REF!</definedName>
    <definedName name="A223???_6" localSheetId="6">'[2]#REF!'!#REF!</definedName>
    <definedName name="A223???_6" localSheetId="7">'[2]#REF!'!#REF!</definedName>
    <definedName name="A223???_6" localSheetId="5">'[2]#REF!'!#REF!</definedName>
    <definedName name="A223???_6">'[2]#REF!'!#REF!</definedName>
    <definedName name="A223???_7" localSheetId="4">'[2]#REF!'!#REF!</definedName>
    <definedName name="A223???_7" localSheetId="2">'[2]#REF!'!#REF!</definedName>
    <definedName name="A223???_7" localSheetId="0">#REF!</definedName>
    <definedName name="A223???_7" localSheetId="6">'[2]#REF!'!#REF!</definedName>
    <definedName name="A223???_7" localSheetId="7">'[2]#REF!'!#REF!</definedName>
    <definedName name="A223???_7" localSheetId="5">'[2]#REF!'!#REF!</definedName>
    <definedName name="A223???_7">'[2]#REF!'!#REF!</definedName>
    <definedName name="A223???_8" localSheetId="4">'[2]#REF!'!#REF!</definedName>
    <definedName name="A223???_8" localSheetId="2">'[2]#REF!'!#REF!</definedName>
    <definedName name="A223???_8" localSheetId="0">#REF!</definedName>
    <definedName name="A223???_8" localSheetId="6">'[2]#REF!'!#REF!</definedName>
    <definedName name="A223???_8" localSheetId="7">'[2]#REF!'!#REF!</definedName>
    <definedName name="A223???_8" localSheetId="5">'[2]#REF!'!#REF!</definedName>
    <definedName name="A223???_8">'[2]#REF!'!#REF!</definedName>
    <definedName name="A223??_1" localSheetId="0">#REF!</definedName>
    <definedName name="A223??_1">'[2]#REF!'!$A$170</definedName>
    <definedName name="A223戸部" localSheetId="4">#REF!</definedName>
    <definedName name="A223戸部" localSheetId="2">#REF!</definedName>
    <definedName name="A223戸部" localSheetId="0">'[2]#REF!'!$A$170</definedName>
    <definedName name="A223戸部" localSheetId="7">#REF!</definedName>
    <definedName name="A223戸部" localSheetId="5">#REF!</definedName>
    <definedName name="A223戸部">#REF!</definedName>
    <definedName name="A223電子販" localSheetId="4">#REF!</definedName>
    <definedName name="A223電子販" localSheetId="2">#REF!</definedName>
    <definedName name="A223電子販" localSheetId="0">'[2]#REF!'!#REF!</definedName>
    <definedName name="A223電子販" localSheetId="6">#REF!</definedName>
    <definedName name="A223電子販" localSheetId="7">#REF!</definedName>
    <definedName name="A223電子販" localSheetId="5">#REF!</definedName>
    <definedName name="A223電子販">#REF!</definedName>
    <definedName name="A223電子販_1" localSheetId="4">'[2]#REF!'!#REF!</definedName>
    <definedName name="A223電子販_1" localSheetId="2">'[2]#REF!'!#REF!</definedName>
    <definedName name="A223電子販_1" localSheetId="0">#REF!</definedName>
    <definedName name="A223電子販_1" localSheetId="6">'[2]#REF!'!#REF!</definedName>
    <definedName name="A223電子販_1" localSheetId="7">'[2]#REF!'!#REF!</definedName>
    <definedName name="A223電子販_1" localSheetId="5">'[2]#REF!'!#REF!</definedName>
    <definedName name="A223電子販_1">'[2]#REF!'!#REF!</definedName>
    <definedName name="A223電子販_2" localSheetId="4">'[2]#REF!'!#REF!</definedName>
    <definedName name="A223電子販_2" localSheetId="2">'[2]#REF!'!#REF!</definedName>
    <definedName name="A223電子販_2" localSheetId="0">#REF!</definedName>
    <definedName name="A223電子販_2" localSheetId="6">'[2]#REF!'!#REF!</definedName>
    <definedName name="A223電子販_2" localSheetId="7">'[2]#REF!'!#REF!</definedName>
    <definedName name="A223電子販_2" localSheetId="5">'[2]#REF!'!#REF!</definedName>
    <definedName name="A223電子販_2">'[2]#REF!'!#REF!</definedName>
    <definedName name="A223電子販_3" localSheetId="4">'[2]#REF!'!#REF!</definedName>
    <definedName name="A223電子販_3" localSheetId="2">'[2]#REF!'!#REF!</definedName>
    <definedName name="A223電子販_3" localSheetId="0">#REF!</definedName>
    <definedName name="A223電子販_3" localSheetId="6">'[2]#REF!'!#REF!</definedName>
    <definedName name="A223電子販_3" localSheetId="7">'[2]#REF!'!#REF!</definedName>
    <definedName name="A223電子販_3" localSheetId="5">'[2]#REF!'!#REF!</definedName>
    <definedName name="A223電子販_3">'[2]#REF!'!#REF!</definedName>
    <definedName name="A259??" localSheetId="4">#REF!</definedName>
    <definedName name="A259??" localSheetId="2">#REF!</definedName>
    <definedName name="A259??" localSheetId="0">#REF!</definedName>
    <definedName name="A259??" localSheetId="7">#REF!</definedName>
    <definedName name="A259??" localSheetId="5">#REF!</definedName>
    <definedName name="A259??">#REF!</definedName>
    <definedName name="A259??_1" localSheetId="0">#REF!</definedName>
    <definedName name="A259??_1">'[2]#REF!'!$A$170</definedName>
    <definedName name="A259戸部" localSheetId="4">#REF!</definedName>
    <definedName name="A259戸部" localSheetId="2">#REF!</definedName>
    <definedName name="A259戸部" localSheetId="0">'[2]#REF!'!$A$170</definedName>
    <definedName name="A259戸部" localSheetId="7">#REF!</definedName>
    <definedName name="A259戸部" localSheetId="5">#REF!</definedName>
    <definedName name="A259戸部">#REF!</definedName>
    <definedName name="A295??????" localSheetId="4">#REF!</definedName>
    <definedName name="A295??????" localSheetId="2">#REF!</definedName>
    <definedName name="A295??????" localSheetId="0">#REF!</definedName>
    <definedName name="A295??????" localSheetId="6">#REF!</definedName>
    <definedName name="A295??????" localSheetId="7">#REF!</definedName>
    <definedName name="A295??????" localSheetId="5">#REF!</definedName>
    <definedName name="A295??????">#REF!</definedName>
    <definedName name="A295??????_1" localSheetId="4">'[2]#REF!'!#REF!</definedName>
    <definedName name="A295??????_1" localSheetId="2">'[2]#REF!'!#REF!</definedName>
    <definedName name="A295??????_1" localSheetId="0">#REF!</definedName>
    <definedName name="A295??????_1" localSheetId="6">'[2]#REF!'!#REF!</definedName>
    <definedName name="A295??????_1" localSheetId="7">'[2]#REF!'!#REF!</definedName>
    <definedName name="A295??????_1" localSheetId="5">'[2]#REF!'!#REF!</definedName>
    <definedName name="A295??????_1">'[2]#REF!'!#REF!</definedName>
    <definedName name="A295??????_2" localSheetId="4">'[2]#REF!'!#REF!</definedName>
    <definedName name="A295??????_2" localSheetId="2">'[2]#REF!'!#REF!</definedName>
    <definedName name="A295??????_2" localSheetId="0">#REF!</definedName>
    <definedName name="A295??????_2" localSheetId="6">'[2]#REF!'!#REF!</definedName>
    <definedName name="A295??????_2" localSheetId="7">'[2]#REF!'!#REF!</definedName>
    <definedName name="A295??????_2" localSheetId="5">'[2]#REF!'!#REF!</definedName>
    <definedName name="A295??????_2">'[2]#REF!'!#REF!</definedName>
    <definedName name="A295??????_3" localSheetId="4">'[2]#REF!'!#REF!</definedName>
    <definedName name="A295??????_3" localSheetId="2">'[2]#REF!'!#REF!</definedName>
    <definedName name="A295??????_3" localSheetId="0">#REF!</definedName>
    <definedName name="A295??????_3" localSheetId="6">'[2]#REF!'!#REF!</definedName>
    <definedName name="A295??????_3" localSheetId="7">'[2]#REF!'!#REF!</definedName>
    <definedName name="A295??????_3" localSheetId="5">'[2]#REF!'!#REF!</definedName>
    <definedName name="A295??????_3">'[2]#REF!'!#REF!</definedName>
    <definedName name="A295??????_4" localSheetId="4">'[2]#REF!'!#REF!</definedName>
    <definedName name="A295??????_4" localSheetId="2">'[2]#REF!'!#REF!</definedName>
    <definedName name="A295??????_4" localSheetId="0">#REF!</definedName>
    <definedName name="A295??????_4" localSheetId="6">'[2]#REF!'!#REF!</definedName>
    <definedName name="A295??????_4" localSheetId="7">'[2]#REF!'!#REF!</definedName>
    <definedName name="A295??????_4" localSheetId="5">'[2]#REF!'!#REF!</definedName>
    <definedName name="A295??????_4">'[2]#REF!'!#REF!</definedName>
    <definedName name="A295??????_5" localSheetId="4">'[2]#REF!'!#REF!</definedName>
    <definedName name="A295??????_5" localSheetId="2">'[2]#REF!'!#REF!</definedName>
    <definedName name="A295??????_5" localSheetId="0">#REF!</definedName>
    <definedName name="A295??????_5" localSheetId="6">'[2]#REF!'!#REF!</definedName>
    <definedName name="A295??????_5" localSheetId="7">'[2]#REF!'!#REF!</definedName>
    <definedName name="A295??????_5" localSheetId="5">'[2]#REF!'!#REF!</definedName>
    <definedName name="A295??????_5">'[2]#REF!'!#REF!</definedName>
    <definedName name="A295??????_6" localSheetId="4">'[2]#REF!'!#REF!</definedName>
    <definedName name="A295??????_6" localSheetId="2">'[2]#REF!'!#REF!</definedName>
    <definedName name="A295??????_6" localSheetId="0">#REF!</definedName>
    <definedName name="A295??????_6" localSheetId="6">'[2]#REF!'!#REF!</definedName>
    <definedName name="A295??????_6" localSheetId="7">'[2]#REF!'!#REF!</definedName>
    <definedName name="A295??????_6" localSheetId="5">'[2]#REF!'!#REF!</definedName>
    <definedName name="A295??????_6">'[2]#REF!'!#REF!</definedName>
    <definedName name="A295??????_7" localSheetId="4">'[2]#REF!'!#REF!</definedName>
    <definedName name="A295??????_7" localSheetId="2">'[2]#REF!'!#REF!</definedName>
    <definedName name="A295??????_7" localSheetId="0">#REF!</definedName>
    <definedName name="A295??????_7" localSheetId="6">'[2]#REF!'!#REF!</definedName>
    <definedName name="A295??????_7" localSheetId="7">'[2]#REF!'!#REF!</definedName>
    <definedName name="A295??????_7" localSheetId="5">'[2]#REF!'!#REF!</definedName>
    <definedName name="A295??????_7">'[2]#REF!'!#REF!</definedName>
    <definedName name="A295??????_8" localSheetId="4">'[2]#REF!'!#REF!</definedName>
    <definedName name="A295??????_8" localSheetId="2">'[2]#REF!'!#REF!</definedName>
    <definedName name="A295??????_8" localSheetId="0">#REF!</definedName>
    <definedName name="A295??????_8" localSheetId="6">'[2]#REF!'!#REF!</definedName>
    <definedName name="A295??????_8" localSheetId="7">'[2]#REF!'!#REF!</definedName>
    <definedName name="A295??????_8" localSheetId="5">'[2]#REF!'!#REF!</definedName>
    <definedName name="A295??????_8">'[2]#REF!'!#REF!</definedName>
    <definedName name="A295ﾌｼﾞﾃﾞﾝ" localSheetId="4">#REF!</definedName>
    <definedName name="A295ﾌｼﾞﾃﾞﾝ" localSheetId="2">#REF!</definedName>
    <definedName name="A295ﾌｼﾞﾃﾞﾝ" localSheetId="0">'[2]#REF!'!#REF!</definedName>
    <definedName name="A295ﾌｼﾞﾃﾞﾝ" localSheetId="6">#REF!</definedName>
    <definedName name="A295ﾌｼﾞﾃﾞﾝ" localSheetId="7">#REF!</definedName>
    <definedName name="A295ﾌｼﾞﾃﾞﾝ" localSheetId="5">#REF!</definedName>
    <definedName name="A295ﾌｼﾞﾃﾞﾝ">#REF!</definedName>
    <definedName name="A295ﾌｼﾞﾃﾞﾝ_1" localSheetId="4">'[2]#REF!'!#REF!</definedName>
    <definedName name="A295ﾌｼﾞﾃﾞﾝ_1" localSheetId="2">'[2]#REF!'!#REF!</definedName>
    <definedName name="A295ﾌｼﾞﾃﾞﾝ_1" localSheetId="0">#REF!</definedName>
    <definedName name="A295ﾌｼﾞﾃﾞﾝ_1" localSheetId="6">'[2]#REF!'!#REF!</definedName>
    <definedName name="A295ﾌｼﾞﾃﾞﾝ_1" localSheetId="7">'[2]#REF!'!#REF!</definedName>
    <definedName name="A295ﾌｼﾞﾃﾞﾝ_1" localSheetId="5">'[2]#REF!'!#REF!</definedName>
    <definedName name="A295ﾌｼﾞﾃﾞﾝ_1">'[2]#REF!'!#REF!</definedName>
    <definedName name="A295ﾌｼﾞﾃﾞﾝ_2" localSheetId="4">'[2]#REF!'!#REF!</definedName>
    <definedName name="A295ﾌｼﾞﾃﾞﾝ_2" localSheetId="2">'[2]#REF!'!#REF!</definedName>
    <definedName name="A295ﾌｼﾞﾃﾞﾝ_2" localSheetId="0">#REF!</definedName>
    <definedName name="A295ﾌｼﾞﾃﾞﾝ_2" localSheetId="6">'[2]#REF!'!#REF!</definedName>
    <definedName name="A295ﾌｼﾞﾃﾞﾝ_2" localSheetId="7">'[2]#REF!'!#REF!</definedName>
    <definedName name="A295ﾌｼﾞﾃﾞﾝ_2" localSheetId="5">'[2]#REF!'!#REF!</definedName>
    <definedName name="A295ﾌｼﾞﾃﾞﾝ_2">'[2]#REF!'!#REF!</definedName>
    <definedName name="A295ﾌｼﾞﾃﾞﾝ_3" localSheetId="4">'[2]#REF!'!#REF!</definedName>
    <definedName name="A295ﾌｼﾞﾃﾞﾝ_3" localSheetId="2">'[2]#REF!'!#REF!</definedName>
    <definedName name="A295ﾌｼﾞﾃﾞﾝ_3" localSheetId="0">#REF!</definedName>
    <definedName name="A295ﾌｼﾞﾃﾞﾝ_3" localSheetId="6">'[2]#REF!'!#REF!</definedName>
    <definedName name="A295ﾌｼﾞﾃﾞﾝ_3" localSheetId="7">'[2]#REF!'!#REF!</definedName>
    <definedName name="A295ﾌｼﾞﾃﾞﾝ_3" localSheetId="5">'[2]#REF!'!#REF!</definedName>
    <definedName name="A295ﾌｼﾞﾃﾞﾝ_3">'[2]#REF!'!#REF!</definedName>
    <definedName name="A331??" localSheetId="4">#REF!</definedName>
    <definedName name="A331??" localSheetId="2">#REF!</definedName>
    <definedName name="A331??" localSheetId="0">#REF!</definedName>
    <definedName name="A331??" localSheetId="7">#REF!</definedName>
    <definedName name="A331??" localSheetId="5">#REF!</definedName>
    <definedName name="A331??">#REF!</definedName>
    <definedName name="A331??_1" localSheetId="0">#REF!</definedName>
    <definedName name="A331??_1">'[2]#REF!'!$A$198</definedName>
    <definedName name="A331子営" localSheetId="4">#REF!</definedName>
    <definedName name="A331子営" localSheetId="2">#REF!</definedName>
    <definedName name="A331子営" localSheetId="0">'[2]#REF!'!$A$198</definedName>
    <definedName name="A331子営" localSheetId="7">#REF!</definedName>
    <definedName name="A331子営" localSheetId="5">#REF!</definedName>
    <definedName name="A331子営">#REF!</definedName>
    <definedName name="A43???" localSheetId="4">#REF!</definedName>
    <definedName name="A43???" localSheetId="2">#REF!</definedName>
    <definedName name="A43???" localSheetId="0">#REF!</definedName>
    <definedName name="A43???" localSheetId="7">#REF!</definedName>
    <definedName name="A43???" localSheetId="5">#REF!</definedName>
    <definedName name="A43???">#REF!</definedName>
    <definedName name="A43???_1" localSheetId="0">#REF!</definedName>
    <definedName name="A43???_1">'[2]#REF!'!$A$38</definedName>
    <definedName name="A439NEL" localSheetId="4">#REF!</definedName>
    <definedName name="A439NEL" localSheetId="2">#REF!</definedName>
    <definedName name="A439NEL" localSheetId="0">'[2]#REF!'!#REF!</definedName>
    <definedName name="A439NEL" localSheetId="6">#REF!</definedName>
    <definedName name="A439NEL" localSheetId="7">#REF!</definedName>
    <definedName name="A439NEL" localSheetId="5">#REF!</definedName>
    <definedName name="A439NEL">#REF!</definedName>
    <definedName name="A439NEL_1" localSheetId="4">'[2]#REF!'!#REF!</definedName>
    <definedName name="A439NEL_1" localSheetId="2">'[2]#REF!'!#REF!</definedName>
    <definedName name="A439NEL_1" localSheetId="0">#REF!</definedName>
    <definedName name="A439NEL_1" localSheetId="6">'[2]#REF!'!#REF!</definedName>
    <definedName name="A439NEL_1" localSheetId="7">'[2]#REF!'!#REF!</definedName>
    <definedName name="A439NEL_1" localSheetId="5">'[2]#REF!'!#REF!</definedName>
    <definedName name="A439NEL_1">'[2]#REF!'!#REF!</definedName>
    <definedName name="A439NEL_2" localSheetId="4">'[2]#REF!'!#REF!</definedName>
    <definedName name="A439NEL_2" localSheetId="2">'[2]#REF!'!#REF!</definedName>
    <definedName name="A439NEL_2" localSheetId="0">#REF!</definedName>
    <definedName name="A439NEL_2" localSheetId="6">'[2]#REF!'!#REF!</definedName>
    <definedName name="A439NEL_2" localSheetId="7">'[2]#REF!'!#REF!</definedName>
    <definedName name="A439NEL_2" localSheetId="5">'[2]#REF!'!#REF!</definedName>
    <definedName name="A439NEL_2">'[2]#REF!'!#REF!</definedName>
    <definedName name="A439NEL_3" localSheetId="4">'[2]#REF!'!#REF!</definedName>
    <definedName name="A439NEL_3" localSheetId="2">'[2]#REF!'!#REF!</definedName>
    <definedName name="A439NEL_3" localSheetId="0">#REF!</definedName>
    <definedName name="A439NEL_3" localSheetId="6">'[2]#REF!'!#REF!</definedName>
    <definedName name="A439NEL_3" localSheetId="7">'[2]#REF!'!#REF!</definedName>
    <definedName name="A439NEL_3" localSheetId="5">'[2]#REF!'!#REF!</definedName>
    <definedName name="A439NEL_3">'[2]#REF!'!#REF!</definedName>
    <definedName name="A43富士通" localSheetId="4">#REF!</definedName>
    <definedName name="A43富士通" localSheetId="2">#REF!</definedName>
    <definedName name="A43富士通" localSheetId="0">'[2]#REF!'!$A$38</definedName>
    <definedName name="A43富士通" localSheetId="7">#REF!</definedName>
    <definedName name="A43富士通" localSheetId="5">#REF!</definedName>
    <definedName name="A43富士通">#REF!</definedName>
    <definedName name="A475???" localSheetId="4">#REF!</definedName>
    <definedName name="A475???" localSheetId="2">#REF!</definedName>
    <definedName name="A475???" localSheetId="0">#REF!</definedName>
    <definedName name="A475???" localSheetId="7">#REF!</definedName>
    <definedName name="A475???" localSheetId="5">#REF!</definedName>
    <definedName name="A475???">#REF!</definedName>
    <definedName name="A475???_1" localSheetId="0">#REF!</definedName>
    <definedName name="A475???_1">'[2]#REF!'!$A$305</definedName>
    <definedName name="A475ﾛｰﾑ" localSheetId="4">#REF!</definedName>
    <definedName name="A475ﾛｰﾑ" localSheetId="2">#REF!</definedName>
    <definedName name="A475ﾛｰﾑ" localSheetId="0">'[2]#REF!'!$A$305</definedName>
    <definedName name="A475ﾛｰﾑ" localSheetId="7">#REF!</definedName>
    <definedName name="A475ﾛｰﾑ" localSheetId="5">#REF!</definedName>
    <definedName name="A475ﾛｰﾑ">#REF!</definedName>
    <definedName name="A511???" localSheetId="4">#REF!</definedName>
    <definedName name="A511???" localSheetId="2">#REF!</definedName>
    <definedName name="A511???" localSheetId="0">#REF!</definedName>
    <definedName name="A511???" localSheetId="7">#REF!</definedName>
    <definedName name="A511???" localSheetId="5">#REF!</definedName>
    <definedName name="A511???">#REF!</definedName>
    <definedName name="A511???_1" localSheetId="0">#REF!</definedName>
    <definedName name="A511???_1">'[2]#REF!'!$A$369</definedName>
    <definedName name="A511産業営" localSheetId="4">#REF!</definedName>
    <definedName name="A511産業営" localSheetId="2">#REF!</definedName>
    <definedName name="A511産業営" localSheetId="0">'[2]#REF!'!$A$369</definedName>
    <definedName name="A511産業営" localSheetId="7">#REF!</definedName>
    <definedName name="A511産業営" localSheetId="5">#REF!</definedName>
    <definedName name="A511産業営">#REF!</definedName>
    <definedName name="A547???" localSheetId="4">#REF!</definedName>
    <definedName name="A547???" localSheetId="2">#REF!</definedName>
    <definedName name="A547???" localSheetId="0">#REF!</definedName>
    <definedName name="A547???" localSheetId="6">#REF!</definedName>
    <definedName name="A547???" localSheetId="7">#REF!</definedName>
    <definedName name="A547???" localSheetId="5">#REF!</definedName>
    <definedName name="A547???">#REF!</definedName>
    <definedName name="A547???_1" localSheetId="4">'[2]#REF!'!#REF!</definedName>
    <definedName name="A547???_1" localSheetId="2">'[2]#REF!'!#REF!</definedName>
    <definedName name="A547???_1" localSheetId="0">#REF!</definedName>
    <definedName name="A547???_1" localSheetId="6">'[2]#REF!'!#REF!</definedName>
    <definedName name="A547???_1" localSheetId="7">'[2]#REF!'!#REF!</definedName>
    <definedName name="A547???_1" localSheetId="5">'[2]#REF!'!#REF!</definedName>
    <definedName name="A547???_1">'[2]#REF!'!#REF!</definedName>
    <definedName name="A547???_2" localSheetId="4">'[2]#REF!'!#REF!</definedName>
    <definedName name="A547???_2" localSheetId="2">'[2]#REF!'!#REF!</definedName>
    <definedName name="A547???_2" localSheetId="0">#REF!</definedName>
    <definedName name="A547???_2" localSheetId="6">'[2]#REF!'!#REF!</definedName>
    <definedName name="A547???_2" localSheetId="7">'[2]#REF!'!#REF!</definedName>
    <definedName name="A547???_2" localSheetId="5">'[2]#REF!'!#REF!</definedName>
    <definedName name="A547???_2">'[2]#REF!'!#REF!</definedName>
    <definedName name="A547???_3" localSheetId="4">'[2]#REF!'!#REF!</definedName>
    <definedName name="A547???_3" localSheetId="2">'[2]#REF!'!#REF!</definedName>
    <definedName name="A547???_3" localSheetId="0">#REF!</definedName>
    <definedName name="A547???_3" localSheetId="6">'[2]#REF!'!#REF!</definedName>
    <definedName name="A547???_3" localSheetId="7">'[2]#REF!'!#REF!</definedName>
    <definedName name="A547???_3" localSheetId="5">'[2]#REF!'!#REF!</definedName>
    <definedName name="A547???_3">'[2]#REF!'!#REF!</definedName>
    <definedName name="A547???_4" localSheetId="4">'[2]#REF!'!#REF!</definedName>
    <definedName name="A547???_4" localSheetId="2">'[2]#REF!'!#REF!</definedName>
    <definedName name="A547???_4" localSheetId="0">#REF!</definedName>
    <definedName name="A547???_4" localSheetId="6">'[2]#REF!'!#REF!</definedName>
    <definedName name="A547???_4" localSheetId="7">'[2]#REF!'!#REF!</definedName>
    <definedName name="A547???_4" localSheetId="5">'[2]#REF!'!#REF!</definedName>
    <definedName name="A547???_4">'[2]#REF!'!#REF!</definedName>
    <definedName name="A547???_5" localSheetId="4">'[2]#REF!'!#REF!</definedName>
    <definedName name="A547???_5" localSheetId="2">'[2]#REF!'!#REF!</definedName>
    <definedName name="A547???_5" localSheetId="0">#REF!</definedName>
    <definedName name="A547???_5" localSheetId="6">'[2]#REF!'!#REF!</definedName>
    <definedName name="A547???_5" localSheetId="7">'[2]#REF!'!#REF!</definedName>
    <definedName name="A547???_5" localSheetId="5">'[2]#REF!'!#REF!</definedName>
    <definedName name="A547???_5">'[2]#REF!'!#REF!</definedName>
    <definedName name="A547???_6" localSheetId="4">'[2]#REF!'!#REF!</definedName>
    <definedName name="A547???_6" localSheetId="2">'[2]#REF!'!#REF!</definedName>
    <definedName name="A547???_6" localSheetId="0">#REF!</definedName>
    <definedName name="A547???_6" localSheetId="6">'[2]#REF!'!#REF!</definedName>
    <definedName name="A547???_6" localSheetId="7">'[2]#REF!'!#REF!</definedName>
    <definedName name="A547???_6" localSheetId="5">'[2]#REF!'!#REF!</definedName>
    <definedName name="A547???_6">'[2]#REF!'!#REF!</definedName>
    <definedName name="A547???_7" localSheetId="4">'[2]#REF!'!#REF!</definedName>
    <definedName name="A547???_7" localSheetId="2">'[2]#REF!'!#REF!</definedName>
    <definedName name="A547???_7" localSheetId="0">#REF!</definedName>
    <definedName name="A547???_7" localSheetId="6">'[2]#REF!'!#REF!</definedName>
    <definedName name="A547???_7" localSheetId="7">'[2]#REF!'!#REF!</definedName>
    <definedName name="A547???_7" localSheetId="5">'[2]#REF!'!#REF!</definedName>
    <definedName name="A547???_7">'[2]#REF!'!#REF!</definedName>
    <definedName name="A547???_8" localSheetId="4">'[2]#REF!'!#REF!</definedName>
    <definedName name="A547???_8" localSheetId="2">'[2]#REF!'!#REF!</definedName>
    <definedName name="A547???_8" localSheetId="0">#REF!</definedName>
    <definedName name="A547???_8" localSheetId="6">'[2]#REF!'!#REF!</definedName>
    <definedName name="A547???_8" localSheetId="7">'[2]#REF!'!#REF!</definedName>
    <definedName name="A547???_8" localSheetId="5">'[2]#REF!'!#REF!</definedName>
    <definedName name="A547???_8">'[2]#REF!'!#REF!</definedName>
    <definedName name="A547旭化成" localSheetId="4">#REF!</definedName>
    <definedName name="A547旭化成" localSheetId="2">#REF!</definedName>
    <definedName name="A547旭化成" localSheetId="0">'[2]#REF!'!#REF!</definedName>
    <definedName name="A547旭化成" localSheetId="6">#REF!</definedName>
    <definedName name="A547旭化成" localSheetId="7">#REF!</definedName>
    <definedName name="A547旭化成" localSheetId="5">#REF!</definedName>
    <definedName name="A547旭化成">#REF!</definedName>
    <definedName name="A547旭化成_1" localSheetId="4">'[2]#REF!'!#REF!</definedName>
    <definedName name="A547旭化成_1" localSheetId="2">'[2]#REF!'!#REF!</definedName>
    <definedName name="A547旭化成_1" localSheetId="0">#REF!</definedName>
    <definedName name="A547旭化成_1" localSheetId="6">'[2]#REF!'!#REF!</definedName>
    <definedName name="A547旭化成_1" localSheetId="7">'[2]#REF!'!#REF!</definedName>
    <definedName name="A547旭化成_1" localSheetId="5">'[2]#REF!'!#REF!</definedName>
    <definedName name="A547旭化成_1">'[2]#REF!'!#REF!</definedName>
    <definedName name="A547旭化成_2" localSheetId="4">'[2]#REF!'!#REF!</definedName>
    <definedName name="A547旭化成_2" localSheetId="2">'[2]#REF!'!#REF!</definedName>
    <definedName name="A547旭化成_2" localSheetId="0">#REF!</definedName>
    <definedName name="A547旭化成_2" localSheetId="6">'[2]#REF!'!#REF!</definedName>
    <definedName name="A547旭化成_2" localSheetId="7">'[2]#REF!'!#REF!</definedName>
    <definedName name="A547旭化成_2" localSheetId="5">'[2]#REF!'!#REF!</definedName>
    <definedName name="A547旭化成_2">'[2]#REF!'!#REF!</definedName>
    <definedName name="A547旭化成_3" localSheetId="4">'[2]#REF!'!#REF!</definedName>
    <definedName name="A547旭化成_3" localSheetId="2">'[2]#REF!'!#REF!</definedName>
    <definedName name="A547旭化成_3" localSheetId="0">#REF!</definedName>
    <definedName name="A547旭化成_3" localSheetId="6">'[2]#REF!'!#REF!</definedName>
    <definedName name="A547旭化成_3" localSheetId="7">'[2]#REF!'!#REF!</definedName>
    <definedName name="A547旭化成_3" localSheetId="5">'[2]#REF!'!#REF!</definedName>
    <definedName name="A547旭化成_3">'[2]#REF!'!#REF!</definedName>
    <definedName name="A583????" localSheetId="4">#REF!</definedName>
    <definedName name="A583????" localSheetId="2">#REF!</definedName>
    <definedName name="A583????" localSheetId="0">#REF!</definedName>
    <definedName name="A583????" localSheetId="7">#REF!</definedName>
    <definedName name="A583????" localSheetId="5">#REF!</definedName>
    <definedName name="A583????">#REF!</definedName>
    <definedName name="A583????_1" localSheetId="0">#REF!</definedName>
    <definedName name="A583????_1">'[2]#REF!'!$A$405</definedName>
    <definedName name="A583ｻﾝｹﾝ" localSheetId="4">#REF!</definedName>
    <definedName name="A583ｻﾝｹﾝ" localSheetId="2">#REF!</definedName>
    <definedName name="A583ｻﾝｹﾝ" localSheetId="0">'[2]#REF!'!$A$405</definedName>
    <definedName name="A583ｻﾝｹﾝ" localSheetId="7">#REF!</definedName>
    <definedName name="A583ｻﾝｹﾝ" localSheetId="5">#REF!</definedName>
    <definedName name="A583ｻﾝｹﾝ">#REF!</definedName>
    <definedName name="A619????" localSheetId="4">#REF!</definedName>
    <definedName name="A619????" localSheetId="2">#REF!</definedName>
    <definedName name="A619????" localSheetId="0">#REF!</definedName>
    <definedName name="A619????" localSheetId="7">#REF!</definedName>
    <definedName name="A619????" localSheetId="5">#REF!</definedName>
    <definedName name="A619????">#REF!</definedName>
    <definedName name="A619????_1" localSheetId="0">#REF!</definedName>
    <definedName name="A619????_1">'[2]#REF!'!$A$441</definedName>
    <definedName name="A619ｺﾊﾟﾙ" localSheetId="4">#REF!</definedName>
    <definedName name="A619ｺﾊﾟﾙ" localSheetId="2">#REF!</definedName>
    <definedName name="A619ｺﾊﾟﾙ" localSheetId="0">'[2]#REF!'!$A$441</definedName>
    <definedName name="A619ｺﾊﾟﾙ" localSheetId="7">#REF!</definedName>
    <definedName name="A619ｺﾊﾟﾙ" localSheetId="5">#REF!</definedName>
    <definedName name="A619ｺﾊﾟﾙ">#REF!</definedName>
    <definedName name="A655???" localSheetId="4">#REF!</definedName>
    <definedName name="A655???" localSheetId="2">#REF!</definedName>
    <definedName name="A655???" localSheetId="0">#REF!</definedName>
    <definedName name="A655???" localSheetId="7">#REF!</definedName>
    <definedName name="A655???" localSheetId="5">#REF!</definedName>
    <definedName name="A655???">#REF!</definedName>
    <definedName name="A655???_1" localSheetId="0">#REF!</definedName>
    <definedName name="A655???_1">'[2]#REF!'!$A$477</definedName>
    <definedName name="A655新電元" localSheetId="4">#REF!</definedName>
    <definedName name="A655新電元" localSheetId="2">#REF!</definedName>
    <definedName name="A655新電元" localSheetId="0">'[2]#REF!'!$A$477</definedName>
    <definedName name="A655新電元" localSheetId="7">#REF!</definedName>
    <definedName name="A655新電元" localSheetId="5">#REF!</definedName>
    <definedName name="A655新電元">#REF!</definedName>
    <definedName name="A691????" localSheetId="4">#REF!</definedName>
    <definedName name="A691????" localSheetId="2">#REF!</definedName>
    <definedName name="A691????" localSheetId="0">#REF!</definedName>
    <definedName name="A691????" localSheetId="6">#REF!</definedName>
    <definedName name="A691????" localSheetId="7">#REF!</definedName>
    <definedName name="A691????" localSheetId="5">#REF!</definedName>
    <definedName name="A691????">#REF!</definedName>
    <definedName name="A691????_1" localSheetId="4">'[2]#REF!'!#REF!</definedName>
    <definedName name="A691????_1" localSheetId="2">'[2]#REF!'!#REF!</definedName>
    <definedName name="A691????_1" localSheetId="0">#REF!</definedName>
    <definedName name="A691????_1" localSheetId="6">'[2]#REF!'!#REF!</definedName>
    <definedName name="A691????_1" localSheetId="7">'[2]#REF!'!#REF!</definedName>
    <definedName name="A691????_1" localSheetId="5">'[2]#REF!'!#REF!</definedName>
    <definedName name="A691????_1">'[2]#REF!'!#REF!</definedName>
    <definedName name="A691????_2" localSheetId="4">'[2]#REF!'!#REF!</definedName>
    <definedName name="A691????_2" localSheetId="2">'[2]#REF!'!#REF!</definedName>
    <definedName name="A691????_2" localSheetId="0">#REF!</definedName>
    <definedName name="A691????_2" localSheetId="6">'[2]#REF!'!#REF!</definedName>
    <definedName name="A691????_2" localSheetId="7">'[2]#REF!'!#REF!</definedName>
    <definedName name="A691????_2" localSheetId="5">'[2]#REF!'!#REF!</definedName>
    <definedName name="A691????_2">'[2]#REF!'!#REF!</definedName>
    <definedName name="A691????_3" localSheetId="4">'[2]#REF!'!#REF!</definedName>
    <definedName name="A691????_3" localSheetId="2">'[2]#REF!'!#REF!</definedName>
    <definedName name="A691????_3" localSheetId="0">#REF!</definedName>
    <definedName name="A691????_3" localSheetId="6">'[2]#REF!'!#REF!</definedName>
    <definedName name="A691????_3" localSheetId="7">'[2]#REF!'!#REF!</definedName>
    <definedName name="A691????_3" localSheetId="5">'[2]#REF!'!#REF!</definedName>
    <definedName name="A691????_3">'[2]#REF!'!#REF!</definedName>
    <definedName name="A691????_4" localSheetId="4">'[2]#REF!'!#REF!</definedName>
    <definedName name="A691????_4" localSheetId="2">'[2]#REF!'!#REF!</definedName>
    <definedName name="A691????_4" localSheetId="0">#REF!</definedName>
    <definedName name="A691????_4" localSheetId="6">'[2]#REF!'!#REF!</definedName>
    <definedName name="A691????_4" localSheetId="7">'[2]#REF!'!#REF!</definedName>
    <definedName name="A691????_4" localSheetId="5">'[2]#REF!'!#REF!</definedName>
    <definedName name="A691????_4">'[2]#REF!'!#REF!</definedName>
    <definedName name="A691????_5" localSheetId="4">'[2]#REF!'!#REF!</definedName>
    <definedName name="A691????_5" localSheetId="2">'[2]#REF!'!#REF!</definedName>
    <definedName name="A691????_5" localSheetId="0">#REF!</definedName>
    <definedName name="A691????_5" localSheetId="6">'[2]#REF!'!#REF!</definedName>
    <definedName name="A691????_5" localSheetId="7">'[2]#REF!'!#REF!</definedName>
    <definedName name="A691????_5" localSheetId="5">'[2]#REF!'!#REF!</definedName>
    <definedName name="A691????_5">'[2]#REF!'!#REF!</definedName>
    <definedName name="A691????_6" localSheetId="4">'[2]#REF!'!#REF!</definedName>
    <definedName name="A691????_6" localSheetId="2">'[2]#REF!'!#REF!</definedName>
    <definedName name="A691????_6" localSheetId="0">#REF!</definedName>
    <definedName name="A691????_6" localSheetId="6">'[2]#REF!'!#REF!</definedName>
    <definedName name="A691????_6" localSheetId="7">'[2]#REF!'!#REF!</definedName>
    <definedName name="A691????_6" localSheetId="5">'[2]#REF!'!#REF!</definedName>
    <definedName name="A691????_6">'[2]#REF!'!#REF!</definedName>
    <definedName name="A691????_7" localSheetId="4">'[2]#REF!'!#REF!</definedName>
    <definedName name="A691????_7" localSheetId="2">'[2]#REF!'!#REF!</definedName>
    <definedName name="A691????_7" localSheetId="0">#REF!</definedName>
    <definedName name="A691????_7" localSheetId="6">'[2]#REF!'!#REF!</definedName>
    <definedName name="A691????_7" localSheetId="7">'[2]#REF!'!#REF!</definedName>
    <definedName name="A691????_7" localSheetId="5">'[2]#REF!'!#REF!</definedName>
    <definedName name="A691????_7">'[2]#REF!'!#REF!</definedName>
    <definedName name="A691????_8" localSheetId="4">'[2]#REF!'!#REF!</definedName>
    <definedName name="A691????_8" localSheetId="2">'[2]#REF!'!#REF!</definedName>
    <definedName name="A691????_8" localSheetId="0">#REF!</definedName>
    <definedName name="A691????_8" localSheetId="6">'[2]#REF!'!#REF!</definedName>
    <definedName name="A691????_8" localSheetId="7">'[2]#REF!'!#REF!</definedName>
    <definedName name="A691????_8" localSheetId="5">'[2]#REF!'!#REF!</definedName>
    <definedName name="A691????_8">'[2]#REF!'!#REF!</definedName>
    <definedName name="A691ﾆﾃﾞｺ" localSheetId="4">#REF!</definedName>
    <definedName name="A691ﾆﾃﾞｺ" localSheetId="2">#REF!</definedName>
    <definedName name="A691ﾆﾃﾞｺ" localSheetId="0">'[2]#REF!'!#REF!</definedName>
    <definedName name="A691ﾆﾃﾞｺ" localSheetId="6">#REF!</definedName>
    <definedName name="A691ﾆﾃﾞｺ" localSheetId="7">#REF!</definedName>
    <definedName name="A691ﾆﾃﾞｺ" localSheetId="5">#REF!</definedName>
    <definedName name="A691ﾆﾃﾞｺ">#REF!</definedName>
    <definedName name="A691ﾆﾃﾞｺ_1" localSheetId="4">'[2]#REF!'!#REF!</definedName>
    <definedName name="A691ﾆﾃﾞｺ_1" localSheetId="2">'[2]#REF!'!#REF!</definedName>
    <definedName name="A691ﾆﾃﾞｺ_1" localSheetId="0">#REF!</definedName>
    <definedName name="A691ﾆﾃﾞｺ_1" localSheetId="6">'[2]#REF!'!#REF!</definedName>
    <definedName name="A691ﾆﾃﾞｺ_1" localSheetId="7">'[2]#REF!'!#REF!</definedName>
    <definedName name="A691ﾆﾃﾞｺ_1" localSheetId="5">'[2]#REF!'!#REF!</definedName>
    <definedName name="A691ﾆﾃﾞｺ_1">'[2]#REF!'!#REF!</definedName>
    <definedName name="A691ﾆﾃﾞｺ_2" localSheetId="4">'[2]#REF!'!#REF!</definedName>
    <definedName name="A691ﾆﾃﾞｺ_2" localSheetId="2">'[2]#REF!'!#REF!</definedName>
    <definedName name="A691ﾆﾃﾞｺ_2" localSheetId="0">#REF!</definedName>
    <definedName name="A691ﾆﾃﾞｺ_2" localSheetId="6">'[2]#REF!'!#REF!</definedName>
    <definedName name="A691ﾆﾃﾞｺ_2" localSheetId="7">'[2]#REF!'!#REF!</definedName>
    <definedName name="A691ﾆﾃﾞｺ_2" localSheetId="5">'[2]#REF!'!#REF!</definedName>
    <definedName name="A691ﾆﾃﾞｺ_2">'[2]#REF!'!#REF!</definedName>
    <definedName name="A691ﾆﾃﾞｺ_3" localSheetId="4">'[2]#REF!'!#REF!</definedName>
    <definedName name="A691ﾆﾃﾞｺ_3" localSheetId="2">'[2]#REF!'!#REF!</definedName>
    <definedName name="A691ﾆﾃﾞｺ_3" localSheetId="0">#REF!</definedName>
    <definedName name="A691ﾆﾃﾞｺ_3" localSheetId="6">'[2]#REF!'!#REF!</definedName>
    <definedName name="A691ﾆﾃﾞｺ_3" localSheetId="7">'[2]#REF!'!#REF!</definedName>
    <definedName name="A691ﾆﾃﾞｺ_3" localSheetId="5">'[2]#REF!'!#REF!</definedName>
    <definedName name="A691ﾆﾃﾞｺ_3">'[2]#REF!'!#REF!</definedName>
    <definedName name="A7????" localSheetId="4">#REF!</definedName>
    <definedName name="A7????" localSheetId="2">#REF!</definedName>
    <definedName name="A7????" localSheetId="0">#REF!</definedName>
    <definedName name="A7????" localSheetId="7">#REF!</definedName>
    <definedName name="A7????" localSheetId="5">#REF!</definedName>
    <definedName name="A7????">#REF!</definedName>
    <definedName name="A7????_1" localSheetId="0">#REF!</definedName>
    <definedName name="A7????_1">'[2]#REF!'!$A$2</definedName>
    <definedName name="A727??????" localSheetId="4">#REF!</definedName>
    <definedName name="A727??????" localSheetId="2">#REF!</definedName>
    <definedName name="A727??????" localSheetId="0">#REF!</definedName>
    <definedName name="A727??????" localSheetId="7">#REF!</definedName>
    <definedName name="A727??????" localSheetId="5">#REF!</definedName>
    <definedName name="A727??????">#REF!</definedName>
    <definedName name="A727??????_1" localSheetId="0">#REF!</definedName>
    <definedName name="A727??????_1">'[2]#REF!'!$A$513</definedName>
    <definedName name="A727日本ｲﾝﾀｰ" localSheetId="4">#REF!</definedName>
    <definedName name="A727日本ｲﾝﾀｰ" localSheetId="2">#REF!</definedName>
    <definedName name="A727日本ｲﾝﾀｰ" localSheetId="0">'[2]#REF!'!$A$513</definedName>
    <definedName name="A727日本ｲﾝﾀｰ" localSheetId="7">#REF!</definedName>
    <definedName name="A727日本ｲﾝﾀｰ" localSheetId="5">#REF!</definedName>
    <definedName name="A727日本ｲﾝﾀｰ">#REF!</definedName>
    <definedName name="A763??" localSheetId="4">#REF!</definedName>
    <definedName name="A763??" localSheetId="2">#REF!</definedName>
    <definedName name="A763??" localSheetId="0">#REF!</definedName>
    <definedName name="A763??" localSheetId="6">#REF!</definedName>
    <definedName name="A763??" localSheetId="7">#REF!</definedName>
    <definedName name="A763??" localSheetId="5">#REF!</definedName>
    <definedName name="A763??">#REF!</definedName>
    <definedName name="A763??_1" localSheetId="4">'[2]#REF!'!#REF!</definedName>
    <definedName name="A763??_1" localSheetId="2">'[2]#REF!'!#REF!</definedName>
    <definedName name="A763??_1" localSheetId="0">#REF!</definedName>
    <definedName name="A763??_1" localSheetId="6">'[2]#REF!'!#REF!</definedName>
    <definedName name="A763??_1" localSheetId="7">'[2]#REF!'!#REF!</definedName>
    <definedName name="A763??_1" localSheetId="5">'[2]#REF!'!#REF!</definedName>
    <definedName name="A763??_1">'[2]#REF!'!#REF!</definedName>
    <definedName name="A763??_2" localSheetId="4">'[2]#REF!'!#REF!</definedName>
    <definedName name="A763??_2" localSheetId="2">'[2]#REF!'!#REF!</definedName>
    <definedName name="A763??_2" localSheetId="0">#REF!</definedName>
    <definedName name="A763??_2" localSheetId="6">'[2]#REF!'!#REF!</definedName>
    <definedName name="A763??_2" localSheetId="7">'[2]#REF!'!#REF!</definedName>
    <definedName name="A763??_2" localSheetId="5">'[2]#REF!'!#REF!</definedName>
    <definedName name="A763??_2">'[2]#REF!'!#REF!</definedName>
    <definedName name="A763??_3" localSheetId="4">'[2]#REF!'!#REF!</definedName>
    <definedName name="A763??_3" localSheetId="2">'[2]#REF!'!#REF!</definedName>
    <definedName name="A763??_3" localSheetId="0">#REF!</definedName>
    <definedName name="A763??_3" localSheetId="6">'[2]#REF!'!#REF!</definedName>
    <definedName name="A763??_3" localSheetId="7">'[2]#REF!'!#REF!</definedName>
    <definedName name="A763??_3" localSheetId="5">'[2]#REF!'!#REF!</definedName>
    <definedName name="A763??_3">'[2]#REF!'!#REF!</definedName>
    <definedName name="A763??_4" localSheetId="4">'[2]#REF!'!#REF!</definedName>
    <definedName name="A763??_4" localSheetId="2">'[2]#REF!'!#REF!</definedName>
    <definedName name="A763??_4" localSheetId="0">#REF!</definedName>
    <definedName name="A763??_4" localSheetId="6">'[2]#REF!'!#REF!</definedName>
    <definedName name="A763??_4" localSheetId="7">'[2]#REF!'!#REF!</definedName>
    <definedName name="A763??_4" localSheetId="5">'[2]#REF!'!#REF!</definedName>
    <definedName name="A763??_4">'[2]#REF!'!#REF!</definedName>
    <definedName name="A763??_5" localSheetId="4">'[2]#REF!'!#REF!</definedName>
    <definedName name="A763??_5" localSheetId="2">'[2]#REF!'!#REF!</definedName>
    <definedName name="A763??_5" localSheetId="0">#REF!</definedName>
    <definedName name="A763??_5" localSheetId="6">'[2]#REF!'!#REF!</definedName>
    <definedName name="A763??_5" localSheetId="7">'[2]#REF!'!#REF!</definedName>
    <definedName name="A763??_5" localSheetId="5">'[2]#REF!'!#REF!</definedName>
    <definedName name="A763??_5">'[2]#REF!'!#REF!</definedName>
    <definedName name="A763??_6" localSheetId="4">'[2]#REF!'!#REF!</definedName>
    <definedName name="A763??_6" localSheetId="2">'[2]#REF!'!#REF!</definedName>
    <definedName name="A763??_6" localSheetId="0">#REF!</definedName>
    <definedName name="A763??_6" localSheetId="6">'[2]#REF!'!#REF!</definedName>
    <definedName name="A763??_6" localSheetId="7">'[2]#REF!'!#REF!</definedName>
    <definedName name="A763??_6" localSheetId="5">'[2]#REF!'!#REF!</definedName>
    <definedName name="A763??_6">'[2]#REF!'!#REF!</definedName>
    <definedName name="A763??_7" localSheetId="4">'[2]#REF!'!#REF!</definedName>
    <definedName name="A763??_7" localSheetId="2">'[2]#REF!'!#REF!</definedName>
    <definedName name="A763??_7" localSheetId="0">#REF!</definedName>
    <definedName name="A763??_7" localSheetId="6">'[2]#REF!'!#REF!</definedName>
    <definedName name="A763??_7" localSheetId="7">'[2]#REF!'!#REF!</definedName>
    <definedName name="A763??_7" localSheetId="5">'[2]#REF!'!#REF!</definedName>
    <definedName name="A763??_7">'[2]#REF!'!#REF!</definedName>
    <definedName name="A763??_8" localSheetId="4">'[2]#REF!'!#REF!</definedName>
    <definedName name="A763??_8" localSheetId="2">'[2]#REF!'!#REF!</definedName>
    <definedName name="A763??_8" localSheetId="0">#REF!</definedName>
    <definedName name="A763??_8" localSheetId="6">'[2]#REF!'!#REF!</definedName>
    <definedName name="A763??_8" localSheetId="7">'[2]#REF!'!#REF!</definedName>
    <definedName name="A763??_8" localSheetId="5">'[2]#REF!'!#REF!</definedName>
    <definedName name="A763??_8">'[2]#REF!'!#REF!</definedName>
    <definedName name="A763松下" localSheetId="4">#REF!</definedName>
    <definedName name="A763松下" localSheetId="2">#REF!</definedName>
    <definedName name="A763松下" localSheetId="0">'[2]#REF!'!#REF!</definedName>
    <definedName name="A763松下" localSheetId="6">#REF!</definedName>
    <definedName name="A763松下" localSheetId="7">#REF!</definedName>
    <definedName name="A763松下" localSheetId="5">#REF!</definedName>
    <definedName name="A763松下">#REF!</definedName>
    <definedName name="A763松下_1" localSheetId="4">'[2]#REF!'!#REF!</definedName>
    <definedName name="A763松下_1" localSheetId="2">'[2]#REF!'!#REF!</definedName>
    <definedName name="A763松下_1" localSheetId="0">#REF!</definedName>
    <definedName name="A763松下_1" localSheetId="6">'[2]#REF!'!#REF!</definedName>
    <definedName name="A763松下_1" localSheetId="7">'[2]#REF!'!#REF!</definedName>
    <definedName name="A763松下_1" localSheetId="5">'[2]#REF!'!#REF!</definedName>
    <definedName name="A763松下_1">'[2]#REF!'!#REF!</definedName>
    <definedName name="A763松下_2" localSheetId="4">'[2]#REF!'!#REF!</definedName>
    <definedName name="A763松下_2" localSheetId="2">'[2]#REF!'!#REF!</definedName>
    <definedName name="A763松下_2" localSheetId="0">#REF!</definedName>
    <definedName name="A763松下_2" localSheetId="6">'[2]#REF!'!#REF!</definedName>
    <definedName name="A763松下_2" localSheetId="7">'[2]#REF!'!#REF!</definedName>
    <definedName name="A763松下_2" localSheetId="5">'[2]#REF!'!#REF!</definedName>
    <definedName name="A763松下_2">'[2]#REF!'!#REF!</definedName>
    <definedName name="A763松下_3" localSheetId="4">'[2]#REF!'!#REF!</definedName>
    <definedName name="A763松下_3" localSheetId="2">'[2]#REF!'!#REF!</definedName>
    <definedName name="A763松下_3" localSheetId="0">#REF!</definedName>
    <definedName name="A763松下_3" localSheetId="6">'[2]#REF!'!#REF!</definedName>
    <definedName name="A763松下_3" localSheetId="7">'[2]#REF!'!#REF!</definedName>
    <definedName name="A763松下_3" localSheetId="5">'[2]#REF!'!#REF!</definedName>
    <definedName name="A763松下_3">'[2]#REF!'!#REF!</definedName>
    <definedName name="A79?????" localSheetId="4">#REF!</definedName>
    <definedName name="A79?????" localSheetId="2">#REF!</definedName>
    <definedName name="A79?????" localSheetId="0">#REF!</definedName>
    <definedName name="A79?????" localSheetId="6">#REF!</definedName>
    <definedName name="A79?????" localSheetId="7">#REF!</definedName>
    <definedName name="A79?????" localSheetId="5">#REF!</definedName>
    <definedName name="A79?????">#REF!</definedName>
    <definedName name="A79?????_1" localSheetId="4">'[2]#REF!'!#REF!</definedName>
    <definedName name="A79?????_1" localSheetId="2">'[2]#REF!'!#REF!</definedName>
    <definedName name="A79?????_1" localSheetId="0">#REF!</definedName>
    <definedName name="A79?????_1" localSheetId="6">'[2]#REF!'!#REF!</definedName>
    <definedName name="A79?????_1" localSheetId="7">'[2]#REF!'!#REF!</definedName>
    <definedName name="A79?????_1" localSheetId="5">'[2]#REF!'!#REF!</definedName>
    <definedName name="A79?????_1">'[2]#REF!'!#REF!</definedName>
    <definedName name="A79?????_2" localSheetId="4">'[2]#REF!'!#REF!</definedName>
    <definedName name="A79?????_2" localSheetId="2">'[2]#REF!'!#REF!</definedName>
    <definedName name="A79?????_2" localSheetId="0">#REF!</definedName>
    <definedName name="A79?????_2" localSheetId="6">'[2]#REF!'!#REF!</definedName>
    <definedName name="A79?????_2" localSheetId="7">'[2]#REF!'!#REF!</definedName>
    <definedName name="A79?????_2" localSheetId="5">'[2]#REF!'!#REF!</definedName>
    <definedName name="A79?????_2">'[2]#REF!'!#REF!</definedName>
    <definedName name="A79?????_3" localSheetId="4">'[2]#REF!'!#REF!</definedName>
    <definedName name="A79?????_3" localSheetId="2">'[2]#REF!'!#REF!</definedName>
    <definedName name="A79?????_3" localSheetId="0">#REF!</definedName>
    <definedName name="A79?????_3" localSheetId="6">'[2]#REF!'!#REF!</definedName>
    <definedName name="A79?????_3" localSheetId="7">'[2]#REF!'!#REF!</definedName>
    <definedName name="A79?????_3" localSheetId="5">'[2]#REF!'!#REF!</definedName>
    <definedName name="A79?????_3">'[2]#REF!'!#REF!</definedName>
    <definedName name="A79?????_4" localSheetId="4">'[2]#REF!'!#REF!</definedName>
    <definedName name="A79?????_4" localSheetId="2">'[2]#REF!'!#REF!</definedName>
    <definedName name="A79?????_4" localSheetId="0">#REF!</definedName>
    <definedName name="A79?????_4" localSheetId="6">'[2]#REF!'!#REF!</definedName>
    <definedName name="A79?????_4" localSheetId="7">'[2]#REF!'!#REF!</definedName>
    <definedName name="A79?????_4" localSheetId="5">'[2]#REF!'!#REF!</definedName>
    <definedName name="A79?????_4">'[2]#REF!'!#REF!</definedName>
    <definedName name="A79?????_5" localSheetId="4">'[2]#REF!'!#REF!</definedName>
    <definedName name="A79?????_5" localSheetId="2">'[2]#REF!'!#REF!</definedName>
    <definedName name="A79?????_5" localSheetId="0">#REF!</definedName>
    <definedName name="A79?????_5" localSheetId="6">'[2]#REF!'!#REF!</definedName>
    <definedName name="A79?????_5" localSheetId="7">'[2]#REF!'!#REF!</definedName>
    <definedName name="A79?????_5" localSheetId="5">'[2]#REF!'!#REF!</definedName>
    <definedName name="A79?????_5">'[2]#REF!'!#REF!</definedName>
    <definedName name="A79?????_6" localSheetId="4">'[2]#REF!'!#REF!</definedName>
    <definedName name="A79?????_6" localSheetId="2">'[2]#REF!'!#REF!</definedName>
    <definedName name="A79?????_6" localSheetId="0">#REF!</definedName>
    <definedName name="A79?????_6" localSheetId="6">'[2]#REF!'!#REF!</definedName>
    <definedName name="A79?????_6" localSheetId="7">'[2]#REF!'!#REF!</definedName>
    <definedName name="A79?????_6" localSheetId="5">'[2]#REF!'!#REF!</definedName>
    <definedName name="A79?????_6">'[2]#REF!'!#REF!</definedName>
    <definedName name="A79?????_7" localSheetId="4">'[2]#REF!'!#REF!</definedName>
    <definedName name="A79?????_7" localSheetId="2">'[2]#REF!'!#REF!</definedName>
    <definedName name="A79?????_7" localSheetId="0">#REF!</definedName>
    <definedName name="A79?????_7" localSheetId="6">'[2]#REF!'!#REF!</definedName>
    <definedName name="A79?????_7" localSheetId="7">'[2]#REF!'!#REF!</definedName>
    <definedName name="A79?????_7" localSheetId="5">'[2]#REF!'!#REF!</definedName>
    <definedName name="A79?????_7">'[2]#REF!'!#REF!</definedName>
    <definedName name="A79?????_8" localSheetId="4">'[2]#REF!'!#REF!</definedName>
    <definedName name="A79?????_8" localSheetId="2">'[2]#REF!'!#REF!</definedName>
    <definedName name="A79?????_8" localSheetId="0">#REF!</definedName>
    <definedName name="A79?????_8" localSheetId="6">'[2]#REF!'!#REF!</definedName>
    <definedName name="A79?????_8" localSheetId="7">'[2]#REF!'!#REF!</definedName>
    <definedName name="A79?????_8" localSheetId="5">'[2]#REF!'!#REF!</definedName>
    <definedName name="A79?????_8">'[2]#REF!'!#REF!</definedName>
    <definedName name="A799???" localSheetId="4">#REF!</definedName>
    <definedName name="A799???" localSheetId="2">#REF!</definedName>
    <definedName name="A799???" localSheetId="0">#REF!</definedName>
    <definedName name="A799???" localSheetId="6">#REF!</definedName>
    <definedName name="A799???" localSheetId="7">#REF!</definedName>
    <definedName name="A799???" localSheetId="5">#REF!</definedName>
    <definedName name="A799???">#REF!</definedName>
    <definedName name="A799???_1" localSheetId="4">'[2]#REF!'!#REF!</definedName>
    <definedName name="A799???_1" localSheetId="2">'[2]#REF!'!#REF!</definedName>
    <definedName name="A799???_1" localSheetId="0">#REF!</definedName>
    <definedName name="A799???_1" localSheetId="6">'[2]#REF!'!#REF!</definedName>
    <definedName name="A799???_1" localSheetId="7">'[2]#REF!'!#REF!</definedName>
    <definedName name="A799???_1" localSheetId="5">'[2]#REF!'!#REF!</definedName>
    <definedName name="A799???_1">'[2]#REF!'!#REF!</definedName>
    <definedName name="A799???_2" localSheetId="4">'[2]#REF!'!#REF!</definedName>
    <definedName name="A799???_2" localSheetId="2">'[2]#REF!'!#REF!</definedName>
    <definedName name="A799???_2" localSheetId="0">#REF!</definedName>
    <definedName name="A799???_2" localSheetId="6">'[2]#REF!'!#REF!</definedName>
    <definedName name="A799???_2" localSheetId="7">'[2]#REF!'!#REF!</definedName>
    <definedName name="A799???_2" localSheetId="5">'[2]#REF!'!#REF!</definedName>
    <definedName name="A799???_2">'[2]#REF!'!#REF!</definedName>
    <definedName name="A799???_3" localSheetId="4">'[2]#REF!'!#REF!</definedName>
    <definedName name="A799???_3" localSheetId="2">'[2]#REF!'!#REF!</definedName>
    <definedName name="A799???_3" localSheetId="0">#REF!</definedName>
    <definedName name="A799???_3" localSheetId="6">'[2]#REF!'!#REF!</definedName>
    <definedName name="A799???_3" localSheetId="7">'[2]#REF!'!#REF!</definedName>
    <definedName name="A799???_3" localSheetId="5">'[2]#REF!'!#REF!</definedName>
    <definedName name="A799???_3">'[2]#REF!'!#REF!</definedName>
    <definedName name="A799???_4" localSheetId="4">'[2]#REF!'!#REF!</definedName>
    <definedName name="A799???_4" localSheetId="2">'[2]#REF!'!#REF!</definedName>
    <definedName name="A799???_4" localSheetId="0">#REF!</definedName>
    <definedName name="A799???_4" localSheetId="6">'[2]#REF!'!#REF!</definedName>
    <definedName name="A799???_4" localSheetId="7">'[2]#REF!'!#REF!</definedName>
    <definedName name="A799???_4" localSheetId="5">'[2]#REF!'!#REF!</definedName>
    <definedName name="A799???_4">'[2]#REF!'!#REF!</definedName>
    <definedName name="A799???_5" localSheetId="4">'[2]#REF!'!#REF!</definedName>
    <definedName name="A799???_5" localSheetId="2">'[2]#REF!'!#REF!</definedName>
    <definedName name="A799???_5" localSheetId="0">#REF!</definedName>
    <definedName name="A799???_5" localSheetId="6">'[2]#REF!'!#REF!</definedName>
    <definedName name="A799???_5" localSheetId="7">'[2]#REF!'!#REF!</definedName>
    <definedName name="A799???_5" localSheetId="5">'[2]#REF!'!#REF!</definedName>
    <definedName name="A799???_5">'[2]#REF!'!#REF!</definedName>
    <definedName name="A799???_6" localSheetId="4">'[2]#REF!'!#REF!</definedName>
    <definedName name="A799???_6" localSheetId="2">'[2]#REF!'!#REF!</definedName>
    <definedName name="A799???_6" localSheetId="0">#REF!</definedName>
    <definedName name="A799???_6" localSheetId="6">'[2]#REF!'!#REF!</definedName>
    <definedName name="A799???_6" localSheetId="7">'[2]#REF!'!#REF!</definedName>
    <definedName name="A799???_6" localSheetId="5">'[2]#REF!'!#REF!</definedName>
    <definedName name="A799???_6">'[2]#REF!'!#REF!</definedName>
    <definedName name="A799???_7" localSheetId="4">'[2]#REF!'!#REF!</definedName>
    <definedName name="A799???_7" localSheetId="2">'[2]#REF!'!#REF!</definedName>
    <definedName name="A799???_7" localSheetId="0">#REF!</definedName>
    <definedName name="A799???_7" localSheetId="6">'[2]#REF!'!#REF!</definedName>
    <definedName name="A799???_7" localSheetId="7">'[2]#REF!'!#REF!</definedName>
    <definedName name="A799???_7" localSheetId="5">'[2]#REF!'!#REF!</definedName>
    <definedName name="A799???_7">'[2]#REF!'!#REF!</definedName>
    <definedName name="A799???_8" localSheetId="4">'[2]#REF!'!#REF!</definedName>
    <definedName name="A799???_8" localSheetId="2">'[2]#REF!'!#REF!</definedName>
    <definedName name="A799???_8" localSheetId="0">#REF!</definedName>
    <definedName name="A799???_8" localSheetId="6">'[2]#REF!'!#REF!</definedName>
    <definedName name="A799???_8" localSheetId="7">'[2]#REF!'!#REF!</definedName>
    <definedName name="A799???_8" localSheetId="5">'[2]#REF!'!#REF!</definedName>
    <definedName name="A799???_8">'[2]#REF!'!#REF!</definedName>
    <definedName name="A799栄電子" localSheetId="4">#REF!</definedName>
    <definedName name="A799栄電子" localSheetId="2">#REF!</definedName>
    <definedName name="A799栄電子" localSheetId="0">'[2]#REF!'!#REF!</definedName>
    <definedName name="A799栄電子" localSheetId="6">#REF!</definedName>
    <definedName name="A799栄電子" localSheetId="7">#REF!</definedName>
    <definedName name="A799栄電子" localSheetId="5">#REF!</definedName>
    <definedName name="A799栄電子">#REF!</definedName>
    <definedName name="A799栄電子_1" localSheetId="4">'[2]#REF!'!#REF!</definedName>
    <definedName name="A799栄電子_1" localSheetId="2">'[2]#REF!'!#REF!</definedName>
    <definedName name="A799栄電子_1" localSheetId="0">#REF!</definedName>
    <definedName name="A799栄電子_1" localSheetId="6">'[2]#REF!'!#REF!</definedName>
    <definedName name="A799栄電子_1" localSheetId="7">'[2]#REF!'!#REF!</definedName>
    <definedName name="A799栄電子_1" localSheetId="5">'[2]#REF!'!#REF!</definedName>
    <definedName name="A799栄電子_1">'[2]#REF!'!#REF!</definedName>
    <definedName name="A799栄電子_2" localSheetId="4">'[2]#REF!'!#REF!</definedName>
    <definedName name="A799栄電子_2" localSheetId="2">'[2]#REF!'!#REF!</definedName>
    <definedName name="A799栄電子_2" localSheetId="0">#REF!</definedName>
    <definedName name="A799栄電子_2" localSheetId="6">'[2]#REF!'!#REF!</definedName>
    <definedName name="A799栄電子_2" localSheetId="7">'[2]#REF!'!#REF!</definedName>
    <definedName name="A799栄電子_2" localSheetId="5">'[2]#REF!'!#REF!</definedName>
    <definedName name="A799栄電子_2">'[2]#REF!'!#REF!</definedName>
    <definedName name="A799栄電子_3" localSheetId="4">'[2]#REF!'!#REF!</definedName>
    <definedName name="A799栄電子_3" localSheetId="2">'[2]#REF!'!#REF!</definedName>
    <definedName name="A799栄電子_3" localSheetId="0">#REF!</definedName>
    <definedName name="A799栄電子_3" localSheetId="6">'[2]#REF!'!#REF!</definedName>
    <definedName name="A799栄電子_3" localSheetId="7">'[2]#REF!'!#REF!</definedName>
    <definedName name="A799栄電子_3" localSheetId="5">'[2]#REF!'!#REF!</definedName>
    <definedName name="A799栄電子_3">'[2]#REF!'!#REF!</definedName>
    <definedName name="A79ﾘｮｰｻﾝ" localSheetId="4">#REF!</definedName>
    <definedName name="A79ﾘｮｰｻﾝ" localSheetId="2">#REF!</definedName>
    <definedName name="A79ﾘｮｰｻﾝ" localSheetId="0">'[2]#REF!'!#REF!</definedName>
    <definedName name="A79ﾘｮｰｻﾝ" localSheetId="6">#REF!</definedName>
    <definedName name="A79ﾘｮｰｻﾝ" localSheetId="7">#REF!</definedName>
    <definedName name="A79ﾘｮｰｻﾝ" localSheetId="5">#REF!</definedName>
    <definedName name="A79ﾘｮｰｻﾝ">#REF!</definedName>
    <definedName name="A79ﾘｮｰｻﾝ_1" localSheetId="4">'[2]#REF!'!#REF!</definedName>
    <definedName name="A79ﾘｮｰｻﾝ_1" localSheetId="2">'[2]#REF!'!#REF!</definedName>
    <definedName name="A79ﾘｮｰｻﾝ_1" localSheetId="0">#REF!</definedName>
    <definedName name="A79ﾘｮｰｻﾝ_1" localSheetId="6">'[2]#REF!'!#REF!</definedName>
    <definedName name="A79ﾘｮｰｻﾝ_1" localSheetId="7">'[2]#REF!'!#REF!</definedName>
    <definedName name="A79ﾘｮｰｻﾝ_1" localSheetId="5">'[2]#REF!'!#REF!</definedName>
    <definedName name="A79ﾘｮｰｻﾝ_1">'[2]#REF!'!#REF!</definedName>
    <definedName name="A79ﾘｮｰｻﾝ_2" localSheetId="4">'[2]#REF!'!#REF!</definedName>
    <definedName name="A79ﾘｮｰｻﾝ_2" localSheetId="2">'[2]#REF!'!#REF!</definedName>
    <definedName name="A79ﾘｮｰｻﾝ_2" localSheetId="0">#REF!</definedName>
    <definedName name="A79ﾘｮｰｻﾝ_2" localSheetId="6">'[2]#REF!'!#REF!</definedName>
    <definedName name="A79ﾘｮｰｻﾝ_2" localSheetId="7">'[2]#REF!'!#REF!</definedName>
    <definedName name="A79ﾘｮｰｻﾝ_2" localSheetId="5">'[2]#REF!'!#REF!</definedName>
    <definedName name="A79ﾘｮｰｻﾝ_2">'[2]#REF!'!#REF!</definedName>
    <definedName name="A79ﾘｮｰｻﾝ_3" localSheetId="4">'[2]#REF!'!#REF!</definedName>
    <definedName name="A79ﾘｮｰｻﾝ_3" localSheetId="2">'[2]#REF!'!#REF!</definedName>
    <definedName name="A79ﾘｮｰｻﾝ_3" localSheetId="0">#REF!</definedName>
    <definedName name="A79ﾘｮｰｻﾝ_3" localSheetId="6">'[2]#REF!'!#REF!</definedName>
    <definedName name="A79ﾘｮｰｻﾝ_3" localSheetId="7">'[2]#REF!'!#REF!</definedName>
    <definedName name="A79ﾘｮｰｻﾝ_3" localSheetId="5">'[2]#REF!'!#REF!</definedName>
    <definedName name="A79ﾘｮｰｻﾝ_3">'[2]#REF!'!#REF!</definedName>
    <definedName name="A7ﾄｰﾒﾝ" localSheetId="4">#REF!</definedName>
    <definedName name="A7ﾄｰﾒﾝ" localSheetId="2">#REF!</definedName>
    <definedName name="A7ﾄｰﾒﾝ" localSheetId="0">'[2]#REF!'!$A$2</definedName>
    <definedName name="A7ﾄｰﾒﾝ" localSheetId="7">#REF!</definedName>
    <definedName name="A7ﾄｰﾒﾝ" localSheetId="5">#REF!</definedName>
    <definedName name="A7ﾄｰﾒﾝ">#REF!</definedName>
    <definedName name="A835??????" localSheetId="4">#REF!</definedName>
    <definedName name="A835??????" localSheetId="2">#REF!</definedName>
    <definedName name="A835??????" localSheetId="0">#REF!</definedName>
    <definedName name="A835??????" localSheetId="7">#REF!</definedName>
    <definedName name="A835??????" localSheetId="5">#REF!</definedName>
    <definedName name="A835??????">#REF!</definedName>
    <definedName name="A835??????_1" localSheetId="0">#REF!</definedName>
    <definedName name="A835??????_1">'[2]#REF!'!$A$549</definedName>
    <definedName name="A835ﾊｲﾃｯｸｽ" localSheetId="4">#REF!</definedName>
    <definedName name="A835ﾊｲﾃｯｸｽ" localSheetId="2">#REF!</definedName>
    <definedName name="A835ﾊｲﾃｯｸｽ" localSheetId="0">'[2]#REF!'!$A$549</definedName>
    <definedName name="A835ﾊｲﾃｯｸｽ" localSheetId="7">#REF!</definedName>
    <definedName name="A835ﾊｲﾃｯｸｽ" localSheetId="5">#REF!</definedName>
    <definedName name="A835ﾊｲﾃｯｸｽ">#REF!</definedName>
    <definedName name="A871????" localSheetId="4">#REF!</definedName>
    <definedName name="A871????" localSheetId="2">#REF!</definedName>
    <definedName name="A871????" localSheetId="0">#REF!</definedName>
    <definedName name="A871????" localSheetId="6">#REF!</definedName>
    <definedName name="A871????" localSheetId="7">#REF!</definedName>
    <definedName name="A871????" localSheetId="5">#REF!</definedName>
    <definedName name="A871????">#REF!</definedName>
    <definedName name="A871????_1" localSheetId="4">'[2]#REF!'!#REF!</definedName>
    <definedName name="A871????_1" localSheetId="2">'[2]#REF!'!#REF!</definedName>
    <definedName name="A871????_1" localSheetId="0">#REF!</definedName>
    <definedName name="A871????_1" localSheetId="6">'[2]#REF!'!#REF!</definedName>
    <definedName name="A871????_1" localSheetId="7">'[2]#REF!'!#REF!</definedName>
    <definedName name="A871????_1" localSheetId="5">'[2]#REF!'!#REF!</definedName>
    <definedName name="A871????_1">'[2]#REF!'!#REF!</definedName>
    <definedName name="A871????_2" localSheetId="4">'[2]#REF!'!#REF!</definedName>
    <definedName name="A871????_2" localSheetId="2">'[2]#REF!'!#REF!</definedName>
    <definedName name="A871????_2" localSheetId="0">#REF!</definedName>
    <definedName name="A871????_2" localSheetId="6">'[2]#REF!'!#REF!</definedName>
    <definedName name="A871????_2" localSheetId="7">'[2]#REF!'!#REF!</definedName>
    <definedName name="A871????_2" localSheetId="5">'[2]#REF!'!#REF!</definedName>
    <definedName name="A871????_2">'[2]#REF!'!#REF!</definedName>
    <definedName name="A871????_3" localSheetId="4">'[2]#REF!'!#REF!</definedName>
    <definedName name="A871????_3" localSheetId="2">'[2]#REF!'!#REF!</definedName>
    <definedName name="A871????_3" localSheetId="0">#REF!</definedName>
    <definedName name="A871????_3" localSheetId="6">'[2]#REF!'!#REF!</definedName>
    <definedName name="A871????_3" localSheetId="7">'[2]#REF!'!#REF!</definedName>
    <definedName name="A871????_3" localSheetId="5">'[2]#REF!'!#REF!</definedName>
    <definedName name="A871????_3">'[2]#REF!'!#REF!</definedName>
    <definedName name="A871????_4" localSheetId="4">'[2]#REF!'!#REF!</definedName>
    <definedName name="A871????_4" localSheetId="2">'[2]#REF!'!#REF!</definedName>
    <definedName name="A871????_4" localSheetId="0">#REF!</definedName>
    <definedName name="A871????_4" localSheetId="6">'[2]#REF!'!#REF!</definedName>
    <definedName name="A871????_4" localSheetId="7">'[2]#REF!'!#REF!</definedName>
    <definedName name="A871????_4" localSheetId="5">'[2]#REF!'!#REF!</definedName>
    <definedName name="A871????_4">'[2]#REF!'!#REF!</definedName>
    <definedName name="A871????_5" localSheetId="4">'[2]#REF!'!#REF!</definedName>
    <definedName name="A871????_5" localSheetId="2">'[2]#REF!'!#REF!</definedName>
    <definedName name="A871????_5" localSheetId="0">#REF!</definedName>
    <definedName name="A871????_5" localSheetId="6">'[2]#REF!'!#REF!</definedName>
    <definedName name="A871????_5" localSheetId="7">'[2]#REF!'!#REF!</definedName>
    <definedName name="A871????_5" localSheetId="5">'[2]#REF!'!#REF!</definedName>
    <definedName name="A871????_5">'[2]#REF!'!#REF!</definedName>
    <definedName name="A871????_6" localSheetId="4">'[2]#REF!'!#REF!</definedName>
    <definedName name="A871????_6" localSheetId="2">'[2]#REF!'!#REF!</definedName>
    <definedName name="A871????_6" localSheetId="0">#REF!</definedName>
    <definedName name="A871????_6" localSheetId="6">'[2]#REF!'!#REF!</definedName>
    <definedName name="A871????_6" localSheetId="7">'[2]#REF!'!#REF!</definedName>
    <definedName name="A871????_6" localSheetId="5">'[2]#REF!'!#REF!</definedName>
    <definedName name="A871????_6">'[2]#REF!'!#REF!</definedName>
    <definedName name="A871????_7" localSheetId="4">'[2]#REF!'!#REF!</definedName>
    <definedName name="A871????_7" localSheetId="2">'[2]#REF!'!#REF!</definedName>
    <definedName name="A871????_7" localSheetId="0">#REF!</definedName>
    <definedName name="A871????_7" localSheetId="6">'[2]#REF!'!#REF!</definedName>
    <definedName name="A871????_7" localSheetId="7">'[2]#REF!'!#REF!</definedName>
    <definedName name="A871????_7" localSheetId="5">'[2]#REF!'!#REF!</definedName>
    <definedName name="A871????_7">'[2]#REF!'!#REF!</definedName>
    <definedName name="A871????_8" localSheetId="4">'[2]#REF!'!#REF!</definedName>
    <definedName name="A871????_8" localSheetId="2">'[2]#REF!'!#REF!</definedName>
    <definedName name="A871????_8" localSheetId="0">#REF!</definedName>
    <definedName name="A871????_8" localSheetId="6">'[2]#REF!'!#REF!</definedName>
    <definedName name="A871????_8" localSheetId="7">'[2]#REF!'!#REF!</definedName>
    <definedName name="A871????_8" localSheetId="5">'[2]#REF!'!#REF!</definedName>
    <definedName name="A871????_8">'[2]#REF!'!#REF!</definedName>
    <definedName name="A871ﾏｸﾆｶ" localSheetId="4">#REF!</definedName>
    <definedName name="A871ﾏｸﾆｶ" localSheetId="2">#REF!</definedName>
    <definedName name="A871ﾏｸﾆｶ" localSheetId="0">'[2]#REF!'!#REF!</definedName>
    <definedName name="A871ﾏｸﾆｶ" localSheetId="6">#REF!</definedName>
    <definedName name="A871ﾏｸﾆｶ" localSheetId="7">#REF!</definedName>
    <definedName name="A871ﾏｸﾆｶ" localSheetId="5">#REF!</definedName>
    <definedName name="A871ﾏｸﾆｶ">#REF!</definedName>
    <definedName name="A871ﾏｸﾆｶ_1" localSheetId="4">'[2]#REF!'!#REF!</definedName>
    <definedName name="A871ﾏｸﾆｶ_1" localSheetId="2">'[2]#REF!'!#REF!</definedName>
    <definedName name="A871ﾏｸﾆｶ_1" localSheetId="0">#REF!</definedName>
    <definedName name="A871ﾏｸﾆｶ_1" localSheetId="6">'[2]#REF!'!#REF!</definedName>
    <definedName name="A871ﾏｸﾆｶ_1" localSheetId="7">'[2]#REF!'!#REF!</definedName>
    <definedName name="A871ﾏｸﾆｶ_1" localSheetId="5">'[2]#REF!'!#REF!</definedName>
    <definedName name="A871ﾏｸﾆｶ_1">'[2]#REF!'!#REF!</definedName>
    <definedName name="A871ﾏｸﾆｶ_2" localSheetId="4">'[2]#REF!'!#REF!</definedName>
    <definedName name="A871ﾏｸﾆｶ_2" localSheetId="2">'[2]#REF!'!#REF!</definedName>
    <definedName name="A871ﾏｸﾆｶ_2" localSheetId="0">#REF!</definedName>
    <definedName name="A871ﾏｸﾆｶ_2" localSheetId="6">'[2]#REF!'!#REF!</definedName>
    <definedName name="A871ﾏｸﾆｶ_2" localSheetId="7">'[2]#REF!'!#REF!</definedName>
    <definedName name="A871ﾏｸﾆｶ_2" localSheetId="5">'[2]#REF!'!#REF!</definedName>
    <definedName name="A871ﾏｸﾆｶ_2">'[2]#REF!'!#REF!</definedName>
    <definedName name="A871ﾏｸﾆｶ_3" localSheetId="4">'[2]#REF!'!#REF!</definedName>
    <definedName name="A871ﾏｸﾆｶ_3" localSheetId="2">'[2]#REF!'!#REF!</definedName>
    <definedName name="A871ﾏｸﾆｶ_3" localSheetId="0">#REF!</definedName>
    <definedName name="A871ﾏｸﾆｶ_3" localSheetId="6">'[2]#REF!'!#REF!</definedName>
    <definedName name="A871ﾏｸﾆｶ_3" localSheetId="7">'[2]#REF!'!#REF!</definedName>
    <definedName name="A871ﾏｸﾆｶ_3" localSheetId="5">'[2]#REF!'!#REF!</definedName>
    <definedName name="A871ﾏｸﾆｶ_3">'[2]#REF!'!#REF!</definedName>
    <definedName name="A907TDK" localSheetId="4">#REF!</definedName>
    <definedName name="A907TDK" localSheetId="2">#REF!</definedName>
    <definedName name="A907TDK" localSheetId="0">'[2]#REF!'!#REF!</definedName>
    <definedName name="A907TDK" localSheetId="6">#REF!</definedName>
    <definedName name="A907TDK" localSheetId="7">#REF!</definedName>
    <definedName name="A907TDK" localSheetId="5">#REF!</definedName>
    <definedName name="A907TDK">#REF!</definedName>
    <definedName name="A907TDK_1" localSheetId="4">'[2]#REF!'!#REF!</definedName>
    <definedName name="A907TDK_1" localSheetId="2">'[2]#REF!'!#REF!</definedName>
    <definedName name="A907TDK_1" localSheetId="0">#REF!</definedName>
    <definedName name="A907TDK_1" localSheetId="6">'[2]#REF!'!#REF!</definedName>
    <definedName name="A907TDK_1" localSheetId="7">'[2]#REF!'!#REF!</definedName>
    <definedName name="A907TDK_1" localSheetId="5">'[2]#REF!'!#REF!</definedName>
    <definedName name="A907TDK_1">'[2]#REF!'!#REF!</definedName>
    <definedName name="A907TDK_2" localSheetId="4">'[2]#REF!'!#REF!</definedName>
    <definedName name="A907TDK_2" localSheetId="2">'[2]#REF!'!#REF!</definedName>
    <definedName name="A907TDK_2" localSheetId="0">#REF!</definedName>
    <definedName name="A907TDK_2" localSheetId="6">'[2]#REF!'!#REF!</definedName>
    <definedName name="A907TDK_2" localSheetId="7">'[2]#REF!'!#REF!</definedName>
    <definedName name="A907TDK_2" localSheetId="5">'[2]#REF!'!#REF!</definedName>
    <definedName name="A907TDK_2">'[2]#REF!'!#REF!</definedName>
    <definedName name="A907TDK_3" localSheetId="4">'[2]#REF!'!#REF!</definedName>
    <definedName name="A907TDK_3" localSheetId="2">'[2]#REF!'!#REF!</definedName>
    <definedName name="A907TDK_3" localSheetId="0">#REF!</definedName>
    <definedName name="A907TDK_3" localSheetId="6">'[2]#REF!'!#REF!</definedName>
    <definedName name="A907TDK_3" localSheetId="7">'[2]#REF!'!#REF!</definedName>
    <definedName name="A907TDK_3" localSheetId="5">'[2]#REF!'!#REF!</definedName>
    <definedName name="A907TDK_3">'[2]#REF!'!#REF!</definedName>
    <definedName name="A943Q???" localSheetId="4">#REF!</definedName>
    <definedName name="A943Q???" localSheetId="2">#REF!</definedName>
    <definedName name="A943Q???" localSheetId="0">#REF!</definedName>
    <definedName name="A943Q???" localSheetId="6">#REF!</definedName>
    <definedName name="A943Q???" localSheetId="7">#REF!</definedName>
    <definedName name="A943Q???" localSheetId="5">#REF!</definedName>
    <definedName name="A943Q???">#REF!</definedName>
    <definedName name="A943Q???_1" localSheetId="4">'[2]#REF!'!#REF!</definedName>
    <definedName name="A943Q???_1" localSheetId="2">'[2]#REF!'!#REF!</definedName>
    <definedName name="A943Q???_1" localSheetId="0">#REF!</definedName>
    <definedName name="A943Q???_1" localSheetId="6">'[2]#REF!'!#REF!</definedName>
    <definedName name="A943Q???_1" localSheetId="7">'[2]#REF!'!#REF!</definedName>
    <definedName name="A943Q???_1" localSheetId="5">'[2]#REF!'!#REF!</definedName>
    <definedName name="A943Q???_1">'[2]#REF!'!#REF!</definedName>
    <definedName name="A943Q???_2" localSheetId="4">'[2]#REF!'!#REF!</definedName>
    <definedName name="A943Q???_2" localSheetId="2">'[2]#REF!'!#REF!</definedName>
    <definedName name="A943Q???_2" localSheetId="0">#REF!</definedName>
    <definedName name="A943Q???_2" localSheetId="6">'[2]#REF!'!#REF!</definedName>
    <definedName name="A943Q???_2" localSheetId="7">'[2]#REF!'!#REF!</definedName>
    <definedName name="A943Q???_2" localSheetId="5">'[2]#REF!'!#REF!</definedName>
    <definedName name="A943Q???_2">'[2]#REF!'!#REF!</definedName>
    <definedName name="A943Q???_3" localSheetId="4">'[2]#REF!'!#REF!</definedName>
    <definedName name="A943Q???_3" localSheetId="2">'[2]#REF!'!#REF!</definedName>
    <definedName name="A943Q???_3" localSheetId="0">#REF!</definedName>
    <definedName name="A943Q???_3" localSheetId="6">'[2]#REF!'!#REF!</definedName>
    <definedName name="A943Q???_3" localSheetId="7">'[2]#REF!'!#REF!</definedName>
    <definedName name="A943Q???_3" localSheetId="5">'[2]#REF!'!#REF!</definedName>
    <definedName name="A943Q???_3">'[2]#REF!'!#REF!</definedName>
    <definedName name="A943Q???_4" localSheetId="4">'[2]#REF!'!#REF!</definedName>
    <definedName name="A943Q???_4" localSheetId="2">'[2]#REF!'!#REF!</definedName>
    <definedName name="A943Q???_4" localSheetId="0">#REF!</definedName>
    <definedName name="A943Q???_4" localSheetId="6">'[2]#REF!'!#REF!</definedName>
    <definedName name="A943Q???_4" localSheetId="7">'[2]#REF!'!#REF!</definedName>
    <definedName name="A943Q???_4" localSheetId="5">'[2]#REF!'!#REF!</definedName>
    <definedName name="A943Q???_4">'[2]#REF!'!#REF!</definedName>
    <definedName name="A943Q???_5" localSheetId="4">'[2]#REF!'!#REF!</definedName>
    <definedName name="A943Q???_5" localSheetId="2">'[2]#REF!'!#REF!</definedName>
    <definedName name="A943Q???_5" localSheetId="0">#REF!</definedName>
    <definedName name="A943Q???_5" localSheetId="6">'[2]#REF!'!#REF!</definedName>
    <definedName name="A943Q???_5" localSheetId="7">'[2]#REF!'!#REF!</definedName>
    <definedName name="A943Q???_5" localSheetId="5">'[2]#REF!'!#REF!</definedName>
    <definedName name="A943Q???_5">'[2]#REF!'!#REF!</definedName>
    <definedName name="A943Q???_6" localSheetId="4">'[2]#REF!'!#REF!</definedName>
    <definedName name="A943Q???_6" localSheetId="2">'[2]#REF!'!#REF!</definedName>
    <definedName name="A943Q???_6" localSheetId="0">#REF!</definedName>
    <definedName name="A943Q???_6" localSheetId="6">'[2]#REF!'!#REF!</definedName>
    <definedName name="A943Q???_6" localSheetId="7">'[2]#REF!'!#REF!</definedName>
    <definedName name="A943Q???_6" localSheetId="5">'[2]#REF!'!#REF!</definedName>
    <definedName name="A943Q???_6">'[2]#REF!'!#REF!</definedName>
    <definedName name="A943Q???_7" localSheetId="4">'[2]#REF!'!#REF!</definedName>
    <definedName name="A943Q???_7" localSheetId="2">'[2]#REF!'!#REF!</definedName>
    <definedName name="A943Q???_7" localSheetId="0">#REF!</definedName>
    <definedName name="A943Q???_7" localSheetId="6">'[2]#REF!'!#REF!</definedName>
    <definedName name="A943Q???_7" localSheetId="7">'[2]#REF!'!#REF!</definedName>
    <definedName name="A943Q???_7" localSheetId="5">'[2]#REF!'!#REF!</definedName>
    <definedName name="A943Q???_7">'[2]#REF!'!#REF!</definedName>
    <definedName name="A943Q???_8" localSheetId="4">'[2]#REF!'!#REF!</definedName>
    <definedName name="A943Q???_8" localSheetId="2">'[2]#REF!'!#REF!</definedName>
    <definedName name="A943Q???_8" localSheetId="0">#REF!</definedName>
    <definedName name="A943Q???_8" localSheetId="6">'[2]#REF!'!#REF!</definedName>
    <definedName name="A943Q???_8" localSheetId="7">'[2]#REF!'!#REF!</definedName>
    <definedName name="A943Q???_8" localSheetId="5">'[2]#REF!'!#REF!</definedName>
    <definedName name="A943Q???_8">'[2]#REF!'!#REF!</definedName>
    <definedName name="A943Qﾛｼﾞ" localSheetId="4">#REF!</definedName>
    <definedName name="A943Qﾛｼﾞ" localSheetId="2">#REF!</definedName>
    <definedName name="A943Qﾛｼﾞ" localSheetId="0">'[2]#REF!'!#REF!</definedName>
    <definedName name="A943Qﾛｼﾞ" localSheetId="6">#REF!</definedName>
    <definedName name="A943Qﾛｼﾞ" localSheetId="7">#REF!</definedName>
    <definedName name="A943Qﾛｼﾞ" localSheetId="5">#REF!</definedName>
    <definedName name="A943Qﾛｼﾞ">#REF!</definedName>
    <definedName name="A943Qﾛｼﾞ_1" localSheetId="4">'[2]#REF!'!#REF!</definedName>
    <definedName name="A943Qﾛｼﾞ_1" localSheetId="2">'[2]#REF!'!#REF!</definedName>
    <definedName name="A943Qﾛｼﾞ_1" localSheetId="0">#REF!</definedName>
    <definedName name="A943Qﾛｼﾞ_1" localSheetId="6">'[2]#REF!'!#REF!</definedName>
    <definedName name="A943Qﾛｼﾞ_1" localSheetId="7">'[2]#REF!'!#REF!</definedName>
    <definedName name="A943Qﾛｼﾞ_1" localSheetId="5">'[2]#REF!'!#REF!</definedName>
    <definedName name="A943Qﾛｼﾞ_1">'[2]#REF!'!#REF!</definedName>
    <definedName name="A943Qﾛｼﾞ_2" localSheetId="4">'[2]#REF!'!#REF!</definedName>
    <definedName name="A943Qﾛｼﾞ_2" localSheetId="2">'[2]#REF!'!#REF!</definedName>
    <definedName name="A943Qﾛｼﾞ_2" localSheetId="0">#REF!</definedName>
    <definedName name="A943Qﾛｼﾞ_2" localSheetId="6">'[2]#REF!'!#REF!</definedName>
    <definedName name="A943Qﾛｼﾞ_2" localSheetId="7">'[2]#REF!'!#REF!</definedName>
    <definedName name="A943Qﾛｼﾞ_2" localSheetId="5">'[2]#REF!'!#REF!</definedName>
    <definedName name="A943Qﾛｼﾞ_2">'[2]#REF!'!#REF!</definedName>
    <definedName name="A943Qﾛｼﾞ_3" localSheetId="4">'[2]#REF!'!#REF!</definedName>
    <definedName name="A943Qﾛｼﾞ_3" localSheetId="2">'[2]#REF!'!#REF!</definedName>
    <definedName name="A943Qﾛｼﾞ_3" localSheetId="0">#REF!</definedName>
    <definedName name="A943Qﾛｼﾞ_3" localSheetId="6">'[2]#REF!'!#REF!</definedName>
    <definedName name="A943Qﾛｼﾞ_3" localSheetId="7">'[2]#REF!'!#REF!</definedName>
    <definedName name="A943Qﾛｼﾞ_3" localSheetId="5">'[2]#REF!'!#REF!</definedName>
    <definedName name="A943Qﾛｼﾞ_3">'[2]#REF!'!#REF!</definedName>
    <definedName name="A943TI" localSheetId="4">#REF!</definedName>
    <definedName name="A943TI" localSheetId="2">#REF!</definedName>
    <definedName name="A943TI" localSheetId="0">'[2]#REF!'!#REF!</definedName>
    <definedName name="A943TI" localSheetId="6">#REF!</definedName>
    <definedName name="A943TI" localSheetId="7">#REF!</definedName>
    <definedName name="A943TI" localSheetId="5">#REF!</definedName>
    <definedName name="A943TI">#REF!</definedName>
    <definedName name="A943TI_1" localSheetId="4">'[2]#REF!'!#REF!</definedName>
    <definedName name="A943TI_1" localSheetId="2">'[2]#REF!'!#REF!</definedName>
    <definedName name="A943TI_1" localSheetId="0">#REF!</definedName>
    <definedName name="A943TI_1" localSheetId="6">'[2]#REF!'!#REF!</definedName>
    <definedName name="A943TI_1" localSheetId="7">'[2]#REF!'!#REF!</definedName>
    <definedName name="A943TI_1" localSheetId="5">'[2]#REF!'!#REF!</definedName>
    <definedName name="A943TI_1">'[2]#REF!'!#REF!</definedName>
    <definedName name="A943TI_2" localSheetId="4">'[2]#REF!'!#REF!</definedName>
    <definedName name="A943TI_2" localSheetId="2">'[2]#REF!'!#REF!</definedName>
    <definedName name="A943TI_2" localSheetId="0">#REF!</definedName>
    <definedName name="A943TI_2" localSheetId="6">'[2]#REF!'!#REF!</definedName>
    <definedName name="A943TI_2" localSheetId="7">'[2]#REF!'!#REF!</definedName>
    <definedName name="A943TI_2" localSheetId="5">'[2]#REF!'!#REF!</definedName>
    <definedName name="A943TI_2">'[2]#REF!'!#REF!</definedName>
    <definedName name="A943TI_3" localSheetId="4">'[2]#REF!'!#REF!</definedName>
    <definedName name="A943TI_3" localSheetId="2">'[2]#REF!'!#REF!</definedName>
    <definedName name="A943TI_3" localSheetId="0">#REF!</definedName>
    <definedName name="A943TI_3" localSheetId="6">'[2]#REF!'!#REF!</definedName>
    <definedName name="A943TI_3" localSheetId="7">'[2]#REF!'!#REF!</definedName>
    <definedName name="A943TI_3" localSheetId="5">'[2]#REF!'!#REF!</definedName>
    <definedName name="A943TI_3">'[2]#REF!'!#REF!</definedName>
    <definedName name="A979MOT" localSheetId="4">#REF!</definedName>
    <definedName name="A979MOT" localSheetId="2">#REF!</definedName>
    <definedName name="A979MOT" localSheetId="0">'[2]#REF!'!#REF!</definedName>
    <definedName name="A979MOT" localSheetId="6">#REF!</definedName>
    <definedName name="A979MOT" localSheetId="7">#REF!</definedName>
    <definedName name="A979MOT" localSheetId="5">#REF!</definedName>
    <definedName name="A979MOT">#REF!</definedName>
    <definedName name="A979MOT_1" localSheetId="4">'[2]#REF!'!#REF!</definedName>
    <definedName name="A979MOT_1" localSheetId="2">'[2]#REF!'!#REF!</definedName>
    <definedName name="A979MOT_1" localSheetId="0">#REF!</definedName>
    <definedName name="A979MOT_1" localSheetId="6">'[2]#REF!'!#REF!</definedName>
    <definedName name="A979MOT_1" localSheetId="7">'[2]#REF!'!#REF!</definedName>
    <definedName name="A979MOT_1" localSheetId="5">'[2]#REF!'!#REF!</definedName>
    <definedName name="A979MOT_1">'[2]#REF!'!#REF!</definedName>
    <definedName name="A979MOT_2" localSheetId="4">'[2]#REF!'!#REF!</definedName>
    <definedName name="A979MOT_2" localSheetId="2">'[2]#REF!'!#REF!</definedName>
    <definedName name="A979MOT_2" localSheetId="0">#REF!</definedName>
    <definedName name="A979MOT_2" localSheetId="6">'[2]#REF!'!#REF!</definedName>
    <definedName name="A979MOT_2" localSheetId="7">'[2]#REF!'!#REF!</definedName>
    <definedName name="A979MOT_2" localSheetId="5">'[2]#REF!'!#REF!</definedName>
    <definedName name="A979MOT_2">'[2]#REF!'!#REF!</definedName>
    <definedName name="A979MOT_3" localSheetId="4">'[2]#REF!'!#REF!</definedName>
    <definedName name="A979MOT_3" localSheetId="2">'[2]#REF!'!#REF!</definedName>
    <definedName name="A979MOT_3" localSheetId="0">#REF!</definedName>
    <definedName name="A979MOT_3" localSheetId="6">'[2]#REF!'!#REF!</definedName>
    <definedName name="A979MOT_3" localSheetId="7">'[2]#REF!'!#REF!</definedName>
    <definedName name="A979MOT_3" localSheetId="5">'[2]#REF!'!#REF!</definedName>
    <definedName name="A979MOT_3">'[2]#REF!'!#REF!</definedName>
    <definedName name="aa" localSheetId="4" hidden="1">#REF!</definedName>
    <definedName name="aa" localSheetId="2" hidden="1">#REF!</definedName>
    <definedName name="aa" localSheetId="0" hidden="1">'[2]#REF!'!#REF!</definedName>
    <definedName name="aa" localSheetId="6" hidden="1">#REF!</definedName>
    <definedName name="aa" localSheetId="7" hidden="1">#REF!</definedName>
    <definedName name="aa" localSheetId="5" hidden="1">#REF!</definedName>
    <definedName name="aa" hidden="1">#REF!</definedName>
    <definedName name="aa_1" localSheetId="4">'[2]#REF!'!#REF!</definedName>
    <definedName name="aa_1" localSheetId="2">'[2]#REF!'!#REF!</definedName>
    <definedName name="aa_1" localSheetId="0">#REF!</definedName>
    <definedName name="aa_1" localSheetId="6">'[2]#REF!'!#REF!</definedName>
    <definedName name="aa_1" localSheetId="7">'[2]#REF!'!#REF!</definedName>
    <definedName name="aa_1" localSheetId="5">'[2]#REF!'!#REF!</definedName>
    <definedName name="aa_1">'[2]#REF!'!#REF!</definedName>
    <definedName name="aa_2" localSheetId="4">'[2]#REF!'!#REF!</definedName>
    <definedName name="aa_2" localSheetId="2">'[2]#REF!'!#REF!</definedName>
    <definedName name="aa_2" localSheetId="0">#REF!</definedName>
    <definedName name="aa_2" localSheetId="6">'[2]#REF!'!#REF!</definedName>
    <definedName name="aa_2" localSheetId="7">'[2]#REF!'!#REF!</definedName>
    <definedName name="aa_2" localSheetId="5">'[2]#REF!'!#REF!</definedName>
    <definedName name="aa_2">'[2]#REF!'!#REF!</definedName>
    <definedName name="aaa" localSheetId="4">[5]DEFINITION1!#REF!</definedName>
    <definedName name="aaa" localSheetId="2">[5]DEFINITION1!#REF!</definedName>
    <definedName name="aaa" localSheetId="0">[5]DEFINITION1!#REF!</definedName>
    <definedName name="aaa" localSheetId="6">[5]DEFINITION1!#REF!</definedName>
    <definedName name="aaa" localSheetId="7">[5]DEFINITION1!#REF!</definedName>
    <definedName name="aaa" localSheetId="5">[5]DEFINITION1!#REF!</definedName>
    <definedName name="aaa">[5]DEFINITION1!#REF!</definedName>
    <definedName name="aaa_1" localSheetId="4">[5]DEFINITION1!#REF!</definedName>
    <definedName name="aaa_1" localSheetId="2">[5]DEFINITION1!#REF!</definedName>
    <definedName name="aaa_1" localSheetId="0">[5]DEFINITION1!#REF!</definedName>
    <definedName name="aaa_1" localSheetId="6">[5]DEFINITION1!#REF!</definedName>
    <definedName name="aaa_1" localSheetId="7">[5]DEFINITION1!#REF!</definedName>
    <definedName name="aaa_1" localSheetId="5">[5]DEFINITION1!#REF!</definedName>
    <definedName name="aaa_1">[5]DEFINITION1!#REF!</definedName>
    <definedName name="aaa_2" localSheetId="4">[5]DEFINITION1!#REF!</definedName>
    <definedName name="aaa_2" localSheetId="2">[5]DEFINITION1!#REF!</definedName>
    <definedName name="aaa_2" localSheetId="0">[5]DEFINITION1!#REF!</definedName>
    <definedName name="aaa_2" localSheetId="6">[5]DEFINITION1!#REF!</definedName>
    <definedName name="aaa_2" localSheetId="7">[5]DEFINITION1!#REF!</definedName>
    <definedName name="aaa_2" localSheetId="5">[5]DEFINITION1!#REF!</definedName>
    <definedName name="aaa_2">[5]DEFINITION1!#REF!</definedName>
    <definedName name="aaa_3" localSheetId="4">[5]DEFINITION1!#REF!</definedName>
    <definedName name="aaa_3" localSheetId="2">[5]DEFINITION1!#REF!</definedName>
    <definedName name="aaa_3" localSheetId="0">[5]DEFINITION1!#REF!</definedName>
    <definedName name="aaa_3" localSheetId="6">[5]DEFINITION1!#REF!</definedName>
    <definedName name="aaa_3" localSheetId="7">[5]DEFINITION1!#REF!</definedName>
    <definedName name="aaa_3" localSheetId="5">[5]DEFINITION1!#REF!</definedName>
    <definedName name="aaa_3">[5]DEFINITION1!#REF!</definedName>
    <definedName name="aaaaa" localSheetId="4">#REF!</definedName>
    <definedName name="aaaaa" localSheetId="2">#REF!</definedName>
    <definedName name="aaaaa" localSheetId="0">'[2]#REF!'!#REF!</definedName>
    <definedName name="aaaaa" localSheetId="6">#REF!</definedName>
    <definedName name="aaaaa" localSheetId="7">#REF!</definedName>
    <definedName name="aaaaa" localSheetId="5">#REF!</definedName>
    <definedName name="aaaaa">#REF!</definedName>
    <definedName name="aaaaa_1" localSheetId="4">'[2]#REF!'!#REF!</definedName>
    <definedName name="aaaaa_1" localSheetId="2">'[2]#REF!'!#REF!</definedName>
    <definedName name="aaaaa_1" localSheetId="0">#REF!</definedName>
    <definedName name="aaaaa_1" localSheetId="6">'[2]#REF!'!#REF!</definedName>
    <definedName name="aaaaa_1" localSheetId="7">'[2]#REF!'!#REF!</definedName>
    <definedName name="aaaaa_1" localSheetId="5">'[2]#REF!'!#REF!</definedName>
    <definedName name="aaaaa_1">'[2]#REF!'!#REF!</definedName>
    <definedName name="aaaaa_2" localSheetId="4">'[2]#REF!'!#REF!</definedName>
    <definedName name="aaaaa_2" localSheetId="2">'[2]#REF!'!#REF!</definedName>
    <definedName name="aaaaa_2" localSheetId="0">#REF!</definedName>
    <definedName name="aaaaa_2" localSheetId="6">'[2]#REF!'!#REF!</definedName>
    <definedName name="aaaaa_2" localSheetId="7">'[2]#REF!'!#REF!</definedName>
    <definedName name="aaaaa_2" localSheetId="5">'[2]#REF!'!#REF!</definedName>
    <definedName name="aaaaa_2">'[2]#REF!'!#REF!</definedName>
    <definedName name="aaaaa_3" localSheetId="4">'[2]#REF!'!#REF!</definedName>
    <definedName name="aaaaa_3" localSheetId="2">'[2]#REF!'!#REF!</definedName>
    <definedName name="aaaaa_3" localSheetId="0">#REF!</definedName>
    <definedName name="aaaaa_3" localSheetId="6">'[2]#REF!'!#REF!</definedName>
    <definedName name="aaaaa_3" localSheetId="7">'[2]#REF!'!#REF!</definedName>
    <definedName name="aaaaa_3" localSheetId="5">'[2]#REF!'!#REF!</definedName>
    <definedName name="aaaaa_3">'[2]#REF!'!#REF!</definedName>
    <definedName name="AC" localSheetId="4">'[3]Diff_Data _2_'!#REF!</definedName>
    <definedName name="AC" localSheetId="2">'[3]Diff_Data _2_'!#REF!</definedName>
    <definedName name="AC" localSheetId="6">'[3]Diff_Data _2_'!#REF!</definedName>
    <definedName name="AC" localSheetId="7">'[3]Diff_Data _2_'!#REF!</definedName>
    <definedName name="AC" localSheetId="5">'[3]Diff_Data _2_'!#REF!</definedName>
    <definedName name="AC">'[3]Diff_Data _2_'!#REF!</definedName>
    <definedName name="AC_1" localSheetId="4">'[3]Diff_Data _2_'!#REF!</definedName>
    <definedName name="AC_1" localSheetId="2">'[3]Diff_Data _2_'!#REF!</definedName>
    <definedName name="AC_1" localSheetId="6">'[3]Diff_Data _2_'!#REF!</definedName>
    <definedName name="AC_1" localSheetId="7">'[3]Diff_Data _2_'!#REF!</definedName>
    <definedName name="AC_1" localSheetId="5">'[3]Diff_Data _2_'!#REF!</definedName>
    <definedName name="AC_1">'[3]Diff_Data _2_'!#REF!</definedName>
    <definedName name="AC_2" localSheetId="4">'[3]Diff_Data _2_'!#REF!</definedName>
    <definedName name="AC_2" localSheetId="2">'[3]Diff_Data _2_'!#REF!</definedName>
    <definedName name="AC_2" localSheetId="6">'[3]Diff_Data _2_'!#REF!</definedName>
    <definedName name="AC_2" localSheetId="7">'[3]Diff_Data _2_'!#REF!</definedName>
    <definedName name="AC_2" localSheetId="5">'[3]Diff_Data _2_'!#REF!</definedName>
    <definedName name="AC_2">'[3]Diff_Data _2_'!#REF!</definedName>
    <definedName name="AC_3" localSheetId="4">'[3]Diff_Data _2_'!#REF!</definedName>
    <definedName name="AC_3" localSheetId="2">'[3]Diff_Data _2_'!#REF!</definedName>
    <definedName name="AC_3" localSheetId="6">'[3]Diff_Data _2_'!#REF!</definedName>
    <definedName name="AC_3" localSheetId="7">'[3]Diff_Data _2_'!#REF!</definedName>
    <definedName name="AC_3" localSheetId="5">'[3]Diff_Data _2_'!#REF!</definedName>
    <definedName name="AC_3">'[3]Diff_Data _2_'!#REF!</definedName>
    <definedName name="aDEHASKDJN" localSheetId="4">'[6]Diff_Data _2_'!#REF!</definedName>
    <definedName name="aDEHASKDJN" localSheetId="2">'[6]Diff_Data _2_'!#REF!</definedName>
    <definedName name="aDEHASKDJN" localSheetId="6">'[6]Diff_Data _2_'!#REF!</definedName>
    <definedName name="aDEHASKDJN" localSheetId="7">'[6]Diff_Data _2_'!#REF!</definedName>
    <definedName name="aDEHASKDJN" localSheetId="5">'[6]Diff_Data _2_'!#REF!</definedName>
    <definedName name="aDEHASKDJN">'[6]Diff_Data _2_'!#REF!</definedName>
    <definedName name="aDEHASKDJN_1" localSheetId="4">'[6]Diff_Data _2_'!#REF!</definedName>
    <definedName name="aDEHASKDJN_1" localSheetId="2">'[6]Diff_Data _2_'!#REF!</definedName>
    <definedName name="aDEHASKDJN_1" localSheetId="6">'[6]Diff_Data _2_'!#REF!</definedName>
    <definedName name="aDEHASKDJN_1" localSheetId="7">'[6]Diff_Data _2_'!#REF!</definedName>
    <definedName name="aDEHASKDJN_1" localSheetId="5">'[6]Diff_Data _2_'!#REF!</definedName>
    <definedName name="aDEHASKDJN_1">'[6]Diff_Data _2_'!#REF!</definedName>
    <definedName name="aDEHASKDJN_2" localSheetId="4">'[6]Diff_Data _2_'!#REF!</definedName>
    <definedName name="aDEHASKDJN_2" localSheetId="2">'[6]Diff_Data _2_'!#REF!</definedName>
    <definedName name="aDEHASKDJN_2" localSheetId="6">'[6]Diff_Data _2_'!#REF!</definedName>
    <definedName name="aDEHASKDJN_2" localSheetId="7">'[6]Diff_Data _2_'!#REF!</definedName>
    <definedName name="aDEHASKDJN_2" localSheetId="5">'[6]Diff_Data _2_'!#REF!</definedName>
    <definedName name="aDEHASKDJN_2">'[6]Diff_Data _2_'!#REF!</definedName>
    <definedName name="aDEHASKDJN_3" localSheetId="4">'[6]Diff_Data _2_'!#REF!</definedName>
    <definedName name="aDEHASKDJN_3" localSheetId="2">'[6]Diff_Data _2_'!#REF!</definedName>
    <definedName name="aDEHASKDJN_3" localSheetId="6">'[6]Diff_Data _2_'!#REF!</definedName>
    <definedName name="aDEHASKDJN_3" localSheetId="7">'[6]Diff_Data _2_'!#REF!</definedName>
    <definedName name="aDEHASKDJN_3" localSheetId="5">'[6]Diff_Data _2_'!#REF!</definedName>
    <definedName name="aDEHASKDJN_3">'[6]Diff_Data _2_'!#REF!</definedName>
    <definedName name="After_ModelDwg" localSheetId="4">'[3]Diff_Data _2_'!#REF!</definedName>
    <definedName name="After_ModelDwg" localSheetId="2">'[3]Diff_Data _2_'!#REF!</definedName>
    <definedName name="After_ModelDwg" localSheetId="6">'[3]Diff_Data _2_'!#REF!</definedName>
    <definedName name="After_ModelDwg" localSheetId="7">'[3]Diff_Data _2_'!#REF!</definedName>
    <definedName name="After_ModelDwg" localSheetId="5">'[3]Diff_Data _2_'!#REF!</definedName>
    <definedName name="After_ModelDwg">'[3]Diff_Data _2_'!#REF!</definedName>
    <definedName name="After_ModelDwg_1" localSheetId="4">'[3]Diff_Data _2_'!#REF!</definedName>
    <definedName name="After_ModelDwg_1" localSheetId="2">'[3]Diff_Data _2_'!#REF!</definedName>
    <definedName name="After_ModelDwg_1" localSheetId="6">'[3]Diff_Data _2_'!#REF!</definedName>
    <definedName name="After_ModelDwg_1" localSheetId="7">'[3]Diff_Data _2_'!#REF!</definedName>
    <definedName name="After_ModelDwg_1" localSheetId="5">'[3]Diff_Data _2_'!#REF!</definedName>
    <definedName name="After_ModelDwg_1">'[3]Diff_Data _2_'!#REF!</definedName>
    <definedName name="After_ModelDwg_2" localSheetId="4">'[3]Diff_Data _2_'!#REF!</definedName>
    <definedName name="After_ModelDwg_2" localSheetId="2">'[3]Diff_Data _2_'!#REF!</definedName>
    <definedName name="After_ModelDwg_2" localSheetId="6">'[3]Diff_Data _2_'!#REF!</definedName>
    <definedName name="After_ModelDwg_2" localSheetId="7">'[3]Diff_Data _2_'!#REF!</definedName>
    <definedName name="After_ModelDwg_2" localSheetId="5">'[3]Diff_Data _2_'!#REF!</definedName>
    <definedName name="After_ModelDwg_2">'[3]Diff_Data _2_'!#REF!</definedName>
    <definedName name="After_ModelDwg_3" localSheetId="4">'[3]Diff_Data _2_'!#REF!</definedName>
    <definedName name="After_ModelDwg_3" localSheetId="2">'[3]Diff_Data _2_'!#REF!</definedName>
    <definedName name="After_ModelDwg_3" localSheetId="6">'[3]Diff_Data _2_'!#REF!</definedName>
    <definedName name="After_ModelDwg_3" localSheetId="7">'[3]Diff_Data _2_'!#REF!</definedName>
    <definedName name="After_ModelDwg_3" localSheetId="5">'[3]Diff_Data _2_'!#REF!</definedName>
    <definedName name="After_ModelDwg_3">'[3]Diff_Data _2_'!#REF!</definedName>
    <definedName name="After_ModelName" localSheetId="4">'[3]Diff_Data _2_'!#REF!</definedName>
    <definedName name="After_ModelName" localSheetId="2">'[3]Diff_Data _2_'!#REF!</definedName>
    <definedName name="After_ModelName" localSheetId="6">'[3]Diff_Data _2_'!#REF!</definedName>
    <definedName name="After_ModelName" localSheetId="7">'[3]Diff_Data _2_'!#REF!</definedName>
    <definedName name="After_ModelName" localSheetId="5">'[3]Diff_Data _2_'!#REF!</definedName>
    <definedName name="After_ModelName">'[3]Diff_Data _2_'!#REF!</definedName>
    <definedName name="After_ModelName_1" localSheetId="4">'[3]Diff_Data _2_'!#REF!</definedName>
    <definedName name="After_ModelName_1" localSheetId="2">'[3]Diff_Data _2_'!#REF!</definedName>
    <definedName name="After_ModelName_1" localSheetId="6">'[3]Diff_Data _2_'!#REF!</definedName>
    <definedName name="After_ModelName_1" localSheetId="7">'[3]Diff_Data _2_'!#REF!</definedName>
    <definedName name="After_ModelName_1" localSheetId="5">'[3]Diff_Data _2_'!#REF!</definedName>
    <definedName name="After_ModelName_1">'[3]Diff_Data _2_'!#REF!</definedName>
    <definedName name="After_ModelName_2" localSheetId="4">'[3]Diff_Data _2_'!#REF!</definedName>
    <definedName name="After_ModelName_2" localSheetId="2">'[3]Diff_Data _2_'!#REF!</definedName>
    <definedName name="After_ModelName_2" localSheetId="6">'[3]Diff_Data _2_'!#REF!</definedName>
    <definedName name="After_ModelName_2" localSheetId="7">'[3]Diff_Data _2_'!#REF!</definedName>
    <definedName name="After_ModelName_2" localSheetId="5">'[3]Diff_Data _2_'!#REF!</definedName>
    <definedName name="After_ModelName_2">'[3]Diff_Data _2_'!#REF!</definedName>
    <definedName name="After_ModelName_3" localSheetId="4">'[3]Diff_Data _2_'!#REF!</definedName>
    <definedName name="After_ModelName_3" localSheetId="2">'[3]Diff_Data _2_'!#REF!</definedName>
    <definedName name="After_ModelName_3" localSheetId="6">'[3]Diff_Data _2_'!#REF!</definedName>
    <definedName name="After_ModelName_3" localSheetId="7">'[3]Diff_Data _2_'!#REF!</definedName>
    <definedName name="After_ModelName_3" localSheetId="5">'[3]Diff_Data _2_'!#REF!</definedName>
    <definedName name="After_ModelName_3">'[3]Diff_Data _2_'!#REF!</definedName>
    <definedName name="AI" localSheetId="4">'[7]RULE SA05-09'!#REF!</definedName>
    <definedName name="AI" localSheetId="2">'[7]RULE SA05-09'!#REF!</definedName>
    <definedName name="AI" localSheetId="6">'[7]RULE SA05-09'!#REF!</definedName>
    <definedName name="AI" localSheetId="7">'[7]RULE SA05-09'!#REF!</definedName>
    <definedName name="AI" localSheetId="5">'[7]RULE SA05-09'!#REF!</definedName>
    <definedName name="AI">'[7]RULE SA05-09'!#REF!</definedName>
    <definedName name="AI_1" localSheetId="4">'[7]#REF!'!#REF!</definedName>
    <definedName name="AI_1" localSheetId="2">'[7]#REF!'!#REF!</definedName>
    <definedName name="AI_1" localSheetId="0">#REF!</definedName>
    <definedName name="AI_1" localSheetId="6">'[7]#REF!'!#REF!</definedName>
    <definedName name="AI_1" localSheetId="7">'[7]#REF!'!#REF!</definedName>
    <definedName name="AI_1" localSheetId="5">'[7]#REF!'!#REF!</definedName>
    <definedName name="AI_1">'[7]#REF!'!#REF!</definedName>
    <definedName name="AI_2" localSheetId="4">'[7]#REF!'!#REF!</definedName>
    <definedName name="AI_2" localSheetId="2">'[7]#REF!'!#REF!</definedName>
    <definedName name="AI_2" localSheetId="0">#REF!</definedName>
    <definedName name="AI_2" localSheetId="6">'[7]#REF!'!#REF!</definedName>
    <definedName name="AI_2" localSheetId="7">'[7]#REF!'!#REF!</definedName>
    <definedName name="AI_2" localSheetId="5">'[7]#REF!'!#REF!</definedName>
    <definedName name="AI_2">'[7]#REF!'!#REF!</definedName>
    <definedName name="AI_3" localSheetId="4">'[7]#REF!'!#REF!</definedName>
    <definedName name="AI_3" localSheetId="2">'[7]#REF!'!#REF!</definedName>
    <definedName name="AI_3" localSheetId="0">#REF!</definedName>
    <definedName name="AI_3" localSheetId="6">'[7]#REF!'!#REF!</definedName>
    <definedName name="AI_3" localSheetId="7">'[7]#REF!'!#REF!</definedName>
    <definedName name="AI_3" localSheetId="5">'[7]#REF!'!#REF!</definedName>
    <definedName name="AI_3">'[7]#REF!'!#REF!</definedName>
    <definedName name="annn" localSheetId="4">#REF!</definedName>
    <definedName name="annn" localSheetId="2">#REF!</definedName>
    <definedName name="annn" localSheetId="0">'[2]#REF!'!#REF!</definedName>
    <definedName name="annn" localSheetId="6">#REF!</definedName>
    <definedName name="annn" localSheetId="7">#REF!</definedName>
    <definedName name="annn" localSheetId="5">#REF!</definedName>
    <definedName name="annn">#REF!</definedName>
    <definedName name="ANNOUNCED" localSheetId="4">#REF!</definedName>
    <definedName name="ANNOUNCED" localSheetId="2">#REF!</definedName>
    <definedName name="ANNOUNCED" localSheetId="0">'[2]#REF!'!#REF!</definedName>
    <definedName name="ANNOUNCED" localSheetId="6">#REF!</definedName>
    <definedName name="ANNOUNCED" localSheetId="7">#REF!</definedName>
    <definedName name="ANNOUNCED" localSheetId="5">#REF!</definedName>
    <definedName name="ANNOUNCED">#REF!</definedName>
    <definedName name="anything" localSheetId="4">#REF!</definedName>
    <definedName name="anything" localSheetId="2">#REF!</definedName>
    <definedName name="anything" localSheetId="0">'[2]#REF!'!#REF!</definedName>
    <definedName name="anything" localSheetId="6">#REF!</definedName>
    <definedName name="anything" localSheetId="7">#REF!</definedName>
    <definedName name="anything" localSheetId="5">#REF!</definedName>
    <definedName name="anything">#REF!</definedName>
    <definedName name="anything_1" localSheetId="4">'[2]#REF!'!#REF!</definedName>
    <definedName name="anything_1" localSheetId="2">'[2]#REF!'!#REF!</definedName>
    <definedName name="anything_1" localSheetId="0">#REF!</definedName>
    <definedName name="anything_1" localSheetId="6">'[2]#REF!'!#REF!</definedName>
    <definedName name="anything_1" localSheetId="7">'[2]#REF!'!#REF!</definedName>
    <definedName name="anything_1" localSheetId="5">'[2]#REF!'!#REF!</definedName>
    <definedName name="anything_1">'[2]#REF!'!#REF!</definedName>
    <definedName name="anything_2" localSheetId="4">'[2]#REF!'!#REF!</definedName>
    <definedName name="anything_2" localSheetId="2">'[2]#REF!'!#REF!</definedName>
    <definedName name="anything_2" localSheetId="0">#REF!</definedName>
    <definedName name="anything_2" localSheetId="6">'[2]#REF!'!#REF!</definedName>
    <definedName name="anything_2" localSheetId="7">'[2]#REF!'!#REF!</definedName>
    <definedName name="anything_2" localSheetId="5">'[2]#REF!'!#REF!</definedName>
    <definedName name="anything_2">'[2]#REF!'!#REF!</definedName>
    <definedName name="anything_3" localSheetId="4">'[2]#REF!'!#REF!</definedName>
    <definedName name="anything_3" localSheetId="2">'[2]#REF!'!#REF!</definedName>
    <definedName name="anything_3" localSheetId="0">#REF!</definedName>
    <definedName name="anything_3" localSheetId="6">'[2]#REF!'!#REF!</definedName>
    <definedName name="anything_3" localSheetId="7">'[2]#REF!'!#REF!</definedName>
    <definedName name="anything_3" localSheetId="5">'[2]#REF!'!#REF!</definedName>
    <definedName name="anything_3">'[2]#REF!'!#REF!</definedName>
    <definedName name="aq" localSheetId="4">'[3]Diff_Data _2_'!#REF!</definedName>
    <definedName name="aq" localSheetId="2">'[3]Diff_Data _2_'!#REF!</definedName>
    <definedName name="aq" localSheetId="6">'[3]Diff_Data _2_'!#REF!</definedName>
    <definedName name="aq" localSheetId="7">'[3]Diff_Data _2_'!#REF!</definedName>
    <definedName name="aq" localSheetId="5">'[3]Diff_Data _2_'!#REF!</definedName>
    <definedName name="aq">'[3]Diff_Data _2_'!#REF!</definedName>
    <definedName name="aq_1" localSheetId="4">'[3]Diff_Data _2_'!#REF!</definedName>
    <definedName name="aq_1" localSheetId="2">'[3]Diff_Data _2_'!#REF!</definedName>
    <definedName name="aq_1" localSheetId="6">'[3]Diff_Data _2_'!#REF!</definedName>
    <definedName name="aq_1" localSheetId="7">'[3]Diff_Data _2_'!#REF!</definedName>
    <definedName name="aq_1" localSheetId="5">'[3]Diff_Data _2_'!#REF!</definedName>
    <definedName name="aq_1">'[3]Diff_Data _2_'!#REF!</definedName>
    <definedName name="aq_2" localSheetId="4">'[3]Diff_Data _2_'!#REF!</definedName>
    <definedName name="aq_2" localSheetId="2">'[3]Diff_Data _2_'!#REF!</definedName>
    <definedName name="aq_2" localSheetId="6">'[3]Diff_Data _2_'!#REF!</definedName>
    <definedName name="aq_2" localSheetId="7">'[3]Diff_Data _2_'!#REF!</definedName>
    <definedName name="aq_2" localSheetId="5">'[3]Diff_Data _2_'!#REF!</definedName>
    <definedName name="aq_2">'[3]Diff_Data _2_'!#REF!</definedName>
    <definedName name="aq_3" localSheetId="4">'[3]Diff_Data _2_'!#REF!</definedName>
    <definedName name="aq_3" localSheetId="2">'[3]Diff_Data _2_'!#REF!</definedName>
    <definedName name="aq_3" localSheetId="6">'[3]Diff_Data _2_'!#REF!</definedName>
    <definedName name="aq_3" localSheetId="7">'[3]Diff_Data _2_'!#REF!</definedName>
    <definedName name="aq_3" localSheetId="5">'[3]Diff_Data _2_'!#REF!</definedName>
    <definedName name="aq_3">'[3]Diff_Data _2_'!#REF!</definedName>
    <definedName name="ASADADFV">[17]DEFINITION!$B$4</definedName>
    <definedName name="asxxx" localSheetId="4">#REF!</definedName>
    <definedName name="asxxx" localSheetId="2">#REF!</definedName>
    <definedName name="asxxx" localSheetId="0">'[2]#REF!'!#REF!</definedName>
    <definedName name="asxxx" localSheetId="6">#REF!</definedName>
    <definedName name="asxxx" localSheetId="7">#REF!</definedName>
    <definedName name="asxxx" localSheetId="5">#REF!</definedName>
    <definedName name="asxxx">#REF!</definedName>
    <definedName name="asxxx_1" localSheetId="4">'[2]#REF!'!#REF!</definedName>
    <definedName name="asxxx_1" localSheetId="2">'[2]#REF!'!#REF!</definedName>
    <definedName name="asxxx_1" localSheetId="0">#REF!</definedName>
    <definedName name="asxxx_1" localSheetId="6">'[2]#REF!'!#REF!</definedName>
    <definedName name="asxxx_1" localSheetId="7">'[2]#REF!'!#REF!</definedName>
    <definedName name="asxxx_1" localSheetId="5">'[2]#REF!'!#REF!</definedName>
    <definedName name="asxxx_1">'[2]#REF!'!#REF!</definedName>
    <definedName name="asxxx_2" localSheetId="4">'[2]#REF!'!#REF!</definedName>
    <definedName name="asxxx_2" localSheetId="2">'[2]#REF!'!#REF!</definedName>
    <definedName name="asxxx_2" localSheetId="0">#REF!</definedName>
    <definedName name="asxxx_2" localSheetId="6">'[2]#REF!'!#REF!</definedName>
    <definedName name="asxxx_2" localSheetId="7">'[2]#REF!'!#REF!</definedName>
    <definedName name="asxxx_2" localSheetId="5">'[2]#REF!'!#REF!</definedName>
    <definedName name="asxxx_2">'[2]#REF!'!#REF!</definedName>
    <definedName name="asxxx_3" localSheetId="4">'[2]#REF!'!#REF!</definedName>
    <definedName name="asxxx_3" localSheetId="2">'[2]#REF!'!#REF!</definedName>
    <definedName name="asxxx_3" localSheetId="0">#REF!</definedName>
    <definedName name="asxxx_3" localSheetId="6">'[2]#REF!'!#REF!</definedName>
    <definedName name="asxxx_3" localSheetId="7">'[2]#REF!'!#REF!</definedName>
    <definedName name="asxxx_3" localSheetId="5">'[2]#REF!'!#REF!</definedName>
    <definedName name="asxxx_3">'[2]#REF!'!#REF!</definedName>
    <definedName name="axasas" localSheetId="4">#REF!</definedName>
    <definedName name="axasas" localSheetId="2">#REF!</definedName>
    <definedName name="axasas" localSheetId="0">'[2]#REF!'!#REF!</definedName>
    <definedName name="axasas" localSheetId="6">#REF!</definedName>
    <definedName name="axasas" localSheetId="7">#REF!</definedName>
    <definedName name="axasas" localSheetId="5">#REF!</definedName>
    <definedName name="axasas">#REF!</definedName>
    <definedName name="axasas_1" localSheetId="4">'[2]#REF!'!#REF!</definedName>
    <definedName name="axasas_1" localSheetId="2">'[2]#REF!'!#REF!</definedName>
    <definedName name="axasas_1" localSheetId="0">#REF!</definedName>
    <definedName name="axasas_1" localSheetId="6">'[2]#REF!'!#REF!</definedName>
    <definedName name="axasas_1" localSheetId="7">'[2]#REF!'!#REF!</definedName>
    <definedName name="axasas_1" localSheetId="5">'[2]#REF!'!#REF!</definedName>
    <definedName name="axasas_1">'[2]#REF!'!#REF!</definedName>
    <definedName name="axasas_2" localSheetId="4">'[2]#REF!'!#REF!</definedName>
    <definedName name="axasas_2" localSheetId="2">'[2]#REF!'!#REF!</definedName>
    <definedName name="axasas_2" localSheetId="0">#REF!</definedName>
    <definedName name="axasas_2" localSheetId="6">'[2]#REF!'!#REF!</definedName>
    <definedName name="axasas_2" localSheetId="7">'[2]#REF!'!#REF!</definedName>
    <definedName name="axasas_2" localSheetId="5">'[2]#REF!'!#REF!</definedName>
    <definedName name="axasas_2">'[2]#REF!'!#REF!</definedName>
    <definedName name="axasas_3" localSheetId="4">'[2]#REF!'!#REF!</definedName>
    <definedName name="axasas_3" localSheetId="2">'[2]#REF!'!#REF!</definedName>
    <definedName name="axasas_3" localSheetId="0">#REF!</definedName>
    <definedName name="axasas_3" localSheetId="6">'[2]#REF!'!#REF!</definedName>
    <definedName name="axasas_3" localSheetId="7">'[2]#REF!'!#REF!</definedName>
    <definedName name="axasas_3" localSheetId="5">'[2]#REF!'!#REF!</definedName>
    <definedName name="axasas_3">'[2]#REF!'!#REF!</definedName>
    <definedName name="b" localSheetId="4">'[3]Diff_Data _2_'!#REF!</definedName>
    <definedName name="b" localSheetId="2">'[3]Diff_Data _2_'!#REF!</definedName>
    <definedName name="b" localSheetId="6">'[3]Diff_Data _2_'!#REF!</definedName>
    <definedName name="b" localSheetId="7">'[3]Diff_Data _2_'!#REF!</definedName>
    <definedName name="b" localSheetId="5">'[3]Diff_Data _2_'!#REF!</definedName>
    <definedName name="b">'[3]Diff_Data _2_'!#REF!</definedName>
    <definedName name="b_1" localSheetId="4">'[3]Diff_Data _2_'!#REF!</definedName>
    <definedName name="b_1" localSheetId="2">'[3]Diff_Data _2_'!#REF!</definedName>
    <definedName name="b_1" localSheetId="6">'[3]Diff_Data _2_'!#REF!</definedName>
    <definedName name="b_1" localSheetId="7">'[3]Diff_Data _2_'!#REF!</definedName>
    <definedName name="b_1" localSheetId="5">'[3]Diff_Data _2_'!#REF!</definedName>
    <definedName name="b_1">'[3]Diff_Data _2_'!#REF!</definedName>
    <definedName name="b_2" localSheetId="4">'[3]Diff_Data _2_'!#REF!</definedName>
    <definedName name="b_2" localSheetId="2">'[3]Diff_Data _2_'!#REF!</definedName>
    <definedName name="b_2" localSheetId="6">'[3]Diff_Data _2_'!#REF!</definedName>
    <definedName name="b_2" localSheetId="7">'[3]Diff_Data _2_'!#REF!</definedName>
    <definedName name="b_2" localSheetId="5">'[3]Diff_Data _2_'!#REF!</definedName>
    <definedName name="b_2">'[3]Diff_Data _2_'!#REF!</definedName>
    <definedName name="b_3" localSheetId="4">'[3]Diff_Data _2_'!#REF!</definedName>
    <definedName name="b_3" localSheetId="2">'[3]Diff_Data _2_'!#REF!</definedName>
    <definedName name="b_3" localSheetId="6">'[3]Diff_Data _2_'!#REF!</definedName>
    <definedName name="b_3" localSheetId="7">'[3]Diff_Data _2_'!#REF!</definedName>
    <definedName name="b_3" localSheetId="5">'[3]Diff_Data _2_'!#REF!</definedName>
    <definedName name="b_3">'[3]Diff_Data _2_'!#REF!</definedName>
    <definedName name="Before_ModelDwg" localSheetId="4">'[3]Diff_Data _2_'!#REF!</definedName>
    <definedName name="Before_ModelDwg" localSheetId="2">'[3]Diff_Data _2_'!#REF!</definedName>
    <definedName name="Before_ModelDwg" localSheetId="6">'[3]Diff_Data _2_'!#REF!</definedName>
    <definedName name="Before_ModelDwg" localSheetId="7">'[3]Diff_Data _2_'!#REF!</definedName>
    <definedName name="Before_ModelDwg" localSheetId="5">'[3]Diff_Data _2_'!#REF!</definedName>
    <definedName name="Before_ModelDwg">'[3]Diff_Data _2_'!#REF!</definedName>
    <definedName name="Before_ModelDwg_1" localSheetId="4">'[3]Diff_Data _2_'!#REF!</definedName>
    <definedName name="Before_ModelDwg_1" localSheetId="2">'[3]Diff_Data _2_'!#REF!</definedName>
    <definedName name="Before_ModelDwg_1" localSheetId="6">'[3]Diff_Data _2_'!#REF!</definedName>
    <definedName name="Before_ModelDwg_1" localSheetId="7">'[3]Diff_Data _2_'!#REF!</definedName>
    <definedName name="Before_ModelDwg_1" localSheetId="5">'[3]Diff_Data _2_'!#REF!</definedName>
    <definedName name="Before_ModelDwg_1">'[3]Diff_Data _2_'!#REF!</definedName>
    <definedName name="Before_ModelDwg_2" localSheetId="4">'[3]Diff_Data _2_'!#REF!</definedName>
    <definedName name="Before_ModelDwg_2" localSheetId="2">'[3]Diff_Data _2_'!#REF!</definedName>
    <definedName name="Before_ModelDwg_2" localSheetId="6">'[3]Diff_Data _2_'!#REF!</definedName>
    <definedName name="Before_ModelDwg_2" localSheetId="7">'[3]Diff_Data _2_'!#REF!</definedName>
    <definedName name="Before_ModelDwg_2" localSheetId="5">'[3]Diff_Data _2_'!#REF!</definedName>
    <definedName name="Before_ModelDwg_2">'[3]Diff_Data _2_'!#REF!</definedName>
    <definedName name="Before_ModelDwg_3" localSheetId="4">'[3]Diff_Data _2_'!#REF!</definedName>
    <definedName name="Before_ModelDwg_3" localSheetId="2">'[3]Diff_Data _2_'!#REF!</definedName>
    <definedName name="Before_ModelDwg_3" localSheetId="6">'[3]Diff_Data _2_'!#REF!</definedName>
    <definedName name="Before_ModelDwg_3" localSheetId="7">'[3]Diff_Data _2_'!#REF!</definedName>
    <definedName name="Before_ModelDwg_3" localSheetId="5">'[3]Diff_Data _2_'!#REF!</definedName>
    <definedName name="Before_ModelDwg_3">'[3]Diff_Data _2_'!#REF!</definedName>
    <definedName name="Before_ModelName" localSheetId="4">'[3]Diff_Data _2_'!#REF!</definedName>
    <definedName name="Before_ModelName" localSheetId="2">'[3]Diff_Data _2_'!#REF!</definedName>
    <definedName name="Before_ModelName" localSheetId="6">'[3]Diff_Data _2_'!#REF!</definedName>
    <definedName name="Before_ModelName" localSheetId="7">'[3]Diff_Data _2_'!#REF!</definedName>
    <definedName name="Before_ModelName" localSheetId="5">'[3]Diff_Data _2_'!#REF!</definedName>
    <definedName name="Before_ModelName">'[3]Diff_Data _2_'!#REF!</definedName>
    <definedName name="Before_ModelName_1" localSheetId="4">'[3]Diff_Data _2_'!#REF!</definedName>
    <definedName name="Before_ModelName_1" localSheetId="2">'[3]Diff_Data _2_'!#REF!</definedName>
    <definedName name="Before_ModelName_1" localSheetId="6">'[3]Diff_Data _2_'!#REF!</definedName>
    <definedName name="Before_ModelName_1" localSheetId="7">'[3]Diff_Data _2_'!#REF!</definedName>
    <definedName name="Before_ModelName_1" localSheetId="5">'[3]Diff_Data _2_'!#REF!</definedName>
    <definedName name="Before_ModelName_1">'[3]Diff_Data _2_'!#REF!</definedName>
    <definedName name="Before_ModelName_2" localSheetId="4">'[3]Diff_Data _2_'!#REF!</definedName>
    <definedName name="Before_ModelName_2" localSheetId="2">'[3]Diff_Data _2_'!#REF!</definedName>
    <definedName name="Before_ModelName_2" localSheetId="6">'[3]Diff_Data _2_'!#REF!</definedName>
    <definedName name="Before_ModelName_2" localSheetId="7">'[3]Diff_Data _2_'!#REF!</definedName>
    <definedName name="Before_ModelName_2" localSheetId="5">'[3]Diff_Data _2_'!#REF!</definedName>
    <definedName name="Before_ModelName_2">'[3]Diff_Data _2_'!#REF!</definedName>
    <definedName name="Before_ModelName_3" localSheetId="4">'[3]Diff_Data _2_'!#REF!</definedName>
    <definedName name="Before_ModelName_3" localSheetId="2">'[3]Diff_Data _2_'!#REF!</definedName>
    <definedName name="Before_ModelName_3" localSheetId="6">'[3]Diff_Data _2_'!#REF!</definedName>
    <definedName name="Before_ModelName_3" localSheetId="7">'[3]Diff_Data _2_'!#REF!</definedName>
    <definedName name="Before_ModelName_3" localSheetId="5">'[3]Diff_Data _2_'!#REF!</definedName>
    <definedName name="Before_ModelName_3">'[3]Diff_Data _2_'!#REF!</definedName>
    <definedName name="bong" localSheetId="4">#REF!</definedName>
    <definedName name="bong" localSheetId="2">#REF!</definedName>
    <definedName name="bong" localSheetId="0">'[18]#REF!'!$B$1:$AF$38</definedName>
    <definedName name="bong" localSheetId="7">#REF!</definedName>
    <definedName name="bong" localSheetId="5">#REF!</definedName>
    <definedName name="bong">#REF!</definedName>
    <definedName name="BVTBN" localSheetId="4">#REF!</definedName>
    <definedName name="BVTBN" localSheetId="2">#REF!</definedName>
    <definedName name="BVTBN" localSheetId="0">'[10]#REF!'!#REF!</definedName>
    <definedName name="BVTBN" localSheetId="6">#REF!</definedName>
    <definedName name="BVTBN" localSheetId="7">#REF!</definedName>
    <definedName name="BVTBN" localSheetId="5">#REF!</definedName>
    <definedName name="BVTBN">#REF!</definedName>
    <definedName name="BVTBN_1" localSheetId="4">'[10]#REF!'!#REF!</definedName>
    <definedName name="BVTBN_1" localSheetId="2">'[10]#REF!'!#REF!</definedName>
    <definedName name="BVTBN_1" localSheetId="0">#REF!</definedName>
    <definedName name="BVTBN_1" localSheetId="6">'[10]#REF!'!#REF!</definedName>
    <definedName name="BVTBN_1" localSheetId="7">'[10]#REF!'!#REF!</definedName>
    <definedName name="BVTBN_1" localSheetId="5">'[10]#REF!'!#REF!</definedName>
    <definedName name="BVTBN_1">'[10]#REF!'!#REF!</definedName>
    <definedName name="BVTBN_2" localSheetId="4">'[10]#REF!'!#REF!</definedName>
    <definedName name="BVTBN_2" localSheetId="2">'[10]#REF!'!#REF!</definedName>
    <definedName name="BVTBN_2" localSheetId="0">#REF!</definedName>
    <definedName name="BVTBN_2" localSheetId="6">'[10]#REF!'!#REF!</definedName>
    <definedName name="BVTBN_2" localSheetId="7">'[10]#REF!'!#REF!</definedName>
    <definedName name="BVTBN_2" localSheetId="5">'[10]#REF!'!#REF!</definedName>
    <definedName name="BVTBN_2">'[10]#REF!'!#REF!</definedName>
    <definedName name="BVTBN_3" localSheetId="4">'[10]#REF!'!#REF!</definedName>
    <definedName name="BVTBN_3" localSheetId="2">'[10]#REF!'!#REF!</definedName>
    <definedName name="BVTBN_3" localSheetId="0">#REF!</definedName>
    <definedName name="BVTBN_3" localSheetId="6">'[10]#REF!'!#REF!</definedName>
    <definedName name="BVTBN_3" localSheetId="7">'[10]#REF!'!#REF!</definedName>
    <definedName name="BVTBN_3" localSheetId="5">'[10]#REF!'!#REF!</definedName>
    <definedName name="BVTBN_3">'[10]#REF!'!#REF!</definedName>
    <definedName name="CA" localSheetId="4">'[2]#REF!'!#REF!</definedName>
    <definedName name="CA" localSheetId="2">'[2]#REF!'!#REF!</definedName>
    <definedName name="CA" localSheetId="6">'[2]#REF!'!#REF!</definedName>
    <definedName name="CA" localSheetId="7">'[2]#REF!'!#REF!</definedName>
    <definedName name="CA" localSheetId="5">'[2]#REF!'!#REF!</definedName>
    <definedName name="CA">'[2]#REF!'!#REF!</definedName>
    <definedName name="cc" localSheetId="4">[1]_______!#REF!</definedName>
    <definedName name="cc" localSheetId="2">[1]_______!#REF!</definedName>
    <definedName name="cc" localSheetId="0">[1]_______!#REF!</definedName>
    <definedName name="cc" localSheetId="6">[1]_______!#REF!</definedName>
    <definedName name="cc" localSheetId="7">[1]_______!#REF!</definedName>
    <definedName name="cc" localSheetId="5">[1]_______!#REF!</definedName>
    <definedName name="cc">[1]_______!#REF!</definedName>
    <definedName name="ccccc">[19]Table1!$A$1:$B$427</definedName>
    <definedName name="cn" localSheetId="4">#REF!</definedName>
    <definedName name="cn" localSheetId="2">#REF!</definedName>
    <definedName name="cn" localSheetId="0">'[2]#REF!'!$6:$176</definedName>
    <definedName name="cn" localSheetId="7">#REF!</definedName>
    <definedName name="cn" localSheetId="5">#REF!</definedName>
    <definedName name="cn">#REF!</definedName>
    <definedName name="cnn" localSheetId="4">'[1]???????'!#REF!</definedName>
    <definedName name="cnn" localSheetId="2">'[1]???????'!#REF!</definedName>
    <definedName name="cnn" localSheetId="6">'[1]???????'!#REF!</definedName>
    <definedName name="cnn" localSheetId="7">'[1]???????'!#REF!</definedName>
    <definedName name="cnn" localSheetId="5">'[1]???????'!#REF!</definedName>
    <definedName name="cnn">'[1]???????'!#REF!</definedName>
    <definedName name="CS" localSheetId="4">#REF!</definedName>
    <definedName name="CS" localSheetId="2">#REF!</definedName>
    <definedName name="CS" localSheetId="0">'[2]#REF!'!#REF!</definedName>
    <definedName name="CS" localSheetId="6">#REF!</definedName>
    <definedName name="CS" localSheetId="7">#REF!</definedName>
    <definedName name="CS" localSheetId="5">#REF!</definedName>
    <definedName name="CS">#REF!</definedName>
    <definedName name="CS_1" localSheetId="4">'[2]#REF!'!#REF!</definedName>
    <definedName name="CS_1" localSheetId="2">'[2]#REF!'!#REF!</definedName>
    <definedName name="CS_1" localSheetId="0">#REF!</definedName>
    <definedName name="CS_1" localSheetId="6">'[2]#REF!'!#REF!</definedName>
    <definedName name="CS_1" localSheetId="7">'[2]#REF!'!#REF!</definedName>
    <definedName name="CS_1" localSheetId="5">'[2]#REF!'!#REF!</definedName>
    <definedName name="CS_1">'[2]#REF!'!#REF!</definedName>
    <definedName name="CS_2" localSheetId="4">'[2]#REF!'!#REF!</definedName>
    <definedName name="CS_2" localSheetId="2">'[2]#REF!'!#REF!</definedName>
    <definedName name="CS_2" localSheetId="0">#REF!</definedName>
    <definedName name="CS_2" localSheetId="6">'[2]#REF!'!#REF!</definedName>
    <definedName name="CS_2" localSheetId="7">'[2]#REF!'!#REF!</definedName>
    <definedName name="CS_2" localSheetId="5">'[2]#REF!'!#REF!</definedName>
    <definedName name="CS_2">'[2]#REF!'!#REF!</definedName>
    <definedName name="D5506515_001" localSheetId="4">#REF!</definedName>
    <definedName name="D5506515_001" localSheetId="2">#REF!</definedName>
    <definedName name="D5506515_001" localSheetId="0">'[2]#REF!'!#REF!</definedName>
    <definedName name="D5506515_001" localSheetId="6">#REF!</definedName>
    <definedName name="D5506515_001" localSheetId="7">#REF!</definedName>
    <definedName name="D5506515_001" localSheetId="5">#REF!</definedName>
    <definedName name="D5506515_001">#REF!</definedName>
    <definedName name="D5506515_001_1" localSheetId="4">'[2]#REF!'!#REF!</definedName>
    <definedName name="D5506515_001_1" localSheetId="2">'[2]#REF!'!#REF!</definedName>
    <definedName name="D5506515_001_1" localSheetId="0">#REF!</definedName>
    <definedName name="D5506515_001_1" localSheetId="6">'[2]#REF!'!#REF!</definedName>
    <definedName name="D5506515_001_1" localSheetId="7">'[2]#REF!'!#REF!</definedName>
    <definedName name="D5506515_001_1" localSheetId="5">'[2]#REF!'!#REF!</definedName>
    <definedName name="D5506515_001_1">'[2]#REF!'!#REF!</definedName>
    <definedName name="D5506515_001_2" localSheetId="4">'[2]#REF!'!#REF!</definedName>
    <definedName name="D5506515_001_2" localSheetId="2">'[2]#REF!'!#REF!</definedName>
    <definedName name="D5506515_001_2" localSheetId="0">#REF!</definedName>
    <definedName name="D5506515_001_2" localSheetId="6">'[2]#REF!'!#REF!</definedName>
    <definedName name="D5506515_001_2" localSheetId="7">'[2]#REF!'!#REF!</definedName>
    <definedName name="D5506515_001_2" localSheetId="5">'[2]#REF!'!#REF!</definedName>
    <definedName name="D5506515_001_2">'[2]#REF!'!#REF!</definedName>
    <definedName name="D5506515_001_3" localSheetId="4">'[2]#REF!'!#REF!</definedName>
    <definedName name="D5506515_001_3" localSheetId="2">'[2]#REF!'!#REF!</definedName>
    <definedName name="D5506515_001_3" localSheetId="0">#REF!</definedName>
    <definedName name="D5506515_001_3" localSheetId="6">'[2]#REF!'!#REF!</definedName>
    <definedName name="D5506515_001_3" localSheetId="7">'[2]#REF!'!#REF!</definedName>
    <definedName name="D5506515_001_3" localSheetId="5">'[2]#REF!'!#REF!</definedName>
    <definedName name="D5506515_001_3">'[2]#REF!'!#REF!</definedName>
    <definedName name="D5511617_002" localSheetId="4">#REF!</definedName>
    <definedName name="D5511617_002" localSheetId="2">#REF!</definedName>
    <definedName name="D5511617_002" localSheetId="0">'[2]#REF!'!#REF!</definedName>
    <definedName name="D5511617_002" localSheetId="6">#REF!</definedName>
    <definedName name="D5511617_002" localSheetId="7">#REF!</definedName>
    <definedName name="D5511617_002" localSheetId="5">#REF!</definedName>
    <definedName name="D5511617_002">#REF!</definedName>
    <definedName name="D5511617_002_1" localSheetId="4">'[2]#REF!'!#REF!</definedName>
    <definedName name="D5511617_002_1" localSheetId="2">'[2]#REF!'!#REF!</definedName>
    <definedName name="D5511617_002_1" localSheetId="0">#REF!</definedName>
    <definedName name="D5511617_002_1" localSheetId="6">'[2]#REF!'!#REF!</definedName>
    <definedName name="D5511617_002_1" localSheetId="7">'[2]#REF!'!#REF!</definedName>
    <definedName name="D5511617_002_1" localSheetId="5">'[2]#REF!'!#REF!</definedName>
    <definedName name="D5511617_002_1">'[2]#REF!'!#REF!</definedName>
    <definedName name="D5511617_002_2" localSheetId="4">'[2]#REF!'!#REF!</definedName>
    <definedName name="D5511617_002_2" localSheetId="2">'[2]#REF!'!#REF!</definedName>
    <definedName name="D5511617_002_2" localSheetId="0">#REF!</definedName>
    <definedName name="D5511617_002_2" localSheetId="6">'[2]#REF!'!#REF!</definedName>
    <definedName name="D5511617_002_2" localSheetId="7">'[2]#REF!'!#REF!</definedName>
    <definedName name="D5511617_002_2" localSheetId="5">'[2]#REF!'!#REF!</definedName>
    <definedName name="D5511617_002_2">'[2]#REF!'!#REF!</definedName>
    <definedName name="D5511617_002_3" localSheetId="4">'[2]#REF!'!#REF!</definedName>
    <definedName name="D5511617_002_3" localSheetId="2">'[2]#REF!'!#REF!</definedName>
    <definedName name="D5511617_002_3" localSheetId="0">#REF!</definedName>
    <definedName name="D5511617_002_3" localSheetId="6">'[2]#REF!'!#REF!</definedName>
    <definedName name="D5511617_002_3" localSheetId="7">'[2]#REF!'!#REF!</definedName>
    <definedName name="D5511617_002_3" localSheetId="5">'[2]#REF!'!#REF!</definedName>
    <definedName name="D5511617_002_3">'[2]#REF!'!#REF!</definedName>
    <definedName name="data" localSheetId="4">#REF!</definedName>
    <definedName name="data" localSheetId="2">#REF!</definedName>
    <definedName name="data" localSheetId="0">'[20]#REF!'!$A$7:$N$1205</definedName>
    <definedName name="data" localSheetId="7">#REF!</definedName>
    <definedName name="data" localSheetId="5">#REF!</definedName>
    <definedName name="data">#REF!</definedName>
    <definedName name="data_1" localSheetId="4">#REF!</definedName>
    <definedName name="data_1" localSheetId="2">#REF!</definedName>
    <definedName name="data_1" localSheetId="0">'[20]#REF!'!$A$7:$N$1205</definedName>
    <definedName name="data_1" localSheetId="7">#REF!</definedName>
    <definedName name="data_1" localSheetId="5">#REF!</definedName>
    <definedName name="data_1">#REF!</definedName>
    <definedName name="data_1_1" localSheetId="4">#REF!</definedName>
    <definedName name="data_1_1" localSheetId="2">#REF!</definedName>
    <definedName name="data_1_1" localSheetId="0">'[20]#REF!'!$A$7:$N$1218</definedName>
    <definedName name="data_1_1" localSheetId="7">#REF!</definedName>
    <definedName name="data_1_1" localSheetId="5">#REF!</definedName>
    <definedName name="data_1_1">#REF!</definedName>
    <definedName name="data_1_1_1" localSheetId="4">'[21]#REF!'!$A$7:$N$1205</definedName>
    <definedName name="data_1_1_1" localSheetId="0">#REF!</definedName>
    <definedName name="data_1_1_1">'[21]#REF!'!$A$7:$N$1205</definedName>
    <definedName name="data_1_1_1_1" localSheetId="4">'[21]#REF!'!$A$7:$N$1218</definedName>
    <definedName name="data_1_1_1_1" localSheetId="0">#REF!</definedName>
    <definedName name="data_1_1_1_1">'[21]#REF!'!$A$7:$N$1218</definedName>
    <definedName name="data_1_1_1_1_1" localSheetId="4">'[21]#REF!'!$A$7:$N$1218</definedName>
    <definedName name="data_1_1_1_1_1" localSheetId="0">#REF!</definedName>
    <definedName name="data_1_1_1_1_1">'[21]#REF!'!$A$7:$N$1218</definedName>
    <definedName name="data_1_1_1_1_1_1" localSheetId="4">#REF!</definedName>
    <definedName name="data_1_1_1_1_1_1" localSheetId="2">#REF!</definedName>
    <definedName name="data_1_1_1_1_1_1" localSheetId="0">'[20]#REF!'!$A$7:$N$1236</definedName>
    <definedName name="data_1_1_1_1_1_1" localSheetId="7">#REF!</definedName>
    <definedName name="data_1_1_1_1_1_1" localSheetId="5">#REF!</definedName>
    <definedName name="data_1_1_1_1_1_1">#REF!</definedName>
    <definedName name="data_1_1_1_1_1_1_1" localSheetId="4">#REF!</definedName>
    <definedName name="data_1_1_1_1_1_1_1" localSheetId="2">#REF!</definedName>
    <definedName name="data_1_1_1_1_1_1_1" localSheetId="0">'[20]#REF!'!$A$7:$N$1236</definedName>
    <definedName name="data_1_1_1_1_1_1_1" localSheetId="7">#REF!</definedName>
    <definedName name="data_1_1_1_1_1_1_1" localSheetId="5">#REF!</definedName>
    <definedName name="data_1_1_1_1_1_1_1">#REF!</definedName>
    <definedName name="data_1_1_1_1_1_1_1_1" localSheetId="4">#REF!</definedName>
    <definedName name="data_1_1_1_1_1_1_1_1" localSheetId="2">#REF!</definedName>
    <definedName name="data_1_1_1_1_1_1_1_1" localSheetId="0">'[20]#REF!'!$A$7:$N$1249</definedName>
    <definedName name="data_1_1_1_1_1_1_1_1" localSheetId="7">#REF!</definedName>
    <definedName name="data_1_1_1_1_1_1_1_1" localSheetId="5">#REF!</definedName>
    <definedName name="data_1_1_1_1_1_1_1_1">#REF!</definedName>
    <definedName name="data_1_1_1_1_1_1_1_1_1" localSheetId="4">'[21]#REF!'!$A$7:$N$1236</definedName>
    <definedName name="data_1_1_1_1_1_1_1_1_1" localSheetId="0">#REF!</definedName>
    <definedName name="data_1_1_1_1_1_1_1_1_1">'[21]#REF!'!$A$7:$N$1236</definedName>
    <definedName name="data_1_1_1_1_1_1_1_1_1_1" localSheetId="4">'[21]#REF!'!$A$7:$N$1249</definedName>
    <definedName name="data_1_1_1_1_1_1_1_1_1_1" localSheetId="0">#REF!</definedName>
    <definedName name="data_1_1_1_1_1_1_1_1_1_1">'[21]#REF!'!$A$7:$N$1249</definedName>
    <definedName name="data_1_1_1_1_1_1_1_1_1_1_1" localSheetId="4">'[21]#REF!'!$A$7:$N$1249</definedName>
    <definedName name="data_1_1_1_1_1_1_1_1_1_1_1" localSheetId="0">#REF!</definedName>
    <definedName name="data_1_1_1_1_1_1_1_1_1_1_1">'[21]#REF!'!$A$7:$N$1249</definedName>
    <definedName name="data_1_1_1_1_1_1_1_1_2" localSheetId="4">'[21]#REF!'!$A$7:$N$1249</definedName>
    <definedName name="data_1_1_1_1_1_1_1_1_2" localSheetId="0">#REF!</definedName>
    <definedName name="data_1_1_1_1_1_1_1_1_2">'[21]#REF!'!$A$7:$N$1249</definedName>
    <definedName name="data_1_1_1_1_1_1_1_2" localSheetId="4">'[21]#REF!'!$A$7:$N$1236</definedName>
    <definedName name="data_1_1_1_1_1_1_1_2" localSheetId="0">#REF!</definedName>
    <definedName name="data_1_1_1_1_1_1_1_2">'[21]#REF!'!$A$7:$N$1236</definedName>
    <definedName name="data_1_1_1_1_1_1_2" localSheetId="4">'[21]#REF!'!$A$7:$N$1236</definedName>
    <definedName name="data_1_1_1_1_1_1_2" localSheetId="0">#REF!</definedName>
    <definedName name="data_1_1_1_1_1_1_2">'[21]#REF!'!$A$7:$N$1236</definedName>
    <definedName name="data_1_1_1_1_2" localSheetId="4">#REF!</definedName>
    <definedName name="data_1_1_1_1_2" localSheetId="2">#REF!</definedName>
    <definedName name="data_1_1_1_1_2" localSheetId="0">'[20]#REF!'!$A$7:$N$1236</definedName>
    <definedName name="data_1_1_1_1_2" localSheetId="7">#REF!</definedName>
    <definedName name="data_1_1_1_1_2" localSheetId="5">#REF!</definedName>
    <definedName name="data_1_1_1_1_2">#REF!</definedName>
    <definedName name="data_1_1_1_1_2_1" localSheetId="4">'[21]#REF!'!$A$7:$N$1236</definedName>
    <definedName name="data_1_1_1_1_2_1" localSheetId="0">#REF!</definedName>
    <definedName name="data_1_1_1_1_2_1">'[21]#REF!'!$A$7:$N$1236</definedName>
    <definedName name="data_1_1_1_1_2_2" localSheetId="4">'[21]#REF!'!$A$7:$N$1236</definedName>
    <definedName name="data_1_1_1_1_2_2" localSheetId="0">#REF!</definedName>
    <definedName name="data_1_1_1_1_2_2">'[21]#REF!'!$A$7:$N$1236</definedName>
    <definedName name="data_1_1_1_1_3" localSheetId="4">#REF!</definedName>
    <definedName name="data_1_1_1_1_3" localSheetId="2">#REF!</definedName>
    <definedName name="data_1_1_1_1_3" localSheetId="0">'[20]#REF!'!$A$7:$N$1249</definedName>
    <definedName name="data_1_1_1_1_3" localSheetId="7">#REF!</definedName>
    <definedName name="data_1_1_1_1_3" localSheetId="5">#REF!</definedName>
    <definedName name="data_1_1_1_1_3">#REF!</definedName>
    <definedName name="data_1_1_1_1_3_1" localSheetId="4">'[21]#REF!'!$A$7:$N$1249</definedName>
    <definedName name="data_1_1_1_1_3_1" localSheetId="0">#REF!</definedName>
    <definedName name="data_1_1_1_1_3_1">'[21]#REF!'!$A$7:$N$1249</definedName>
    <definedName name="data_1_1_1_1_3_2" localSheetId="4">'[21]#REF!'!$A$7:$N$1249</definedName>
    <definedName name="data_1_1_1_1_3_2" localSheetId="0">#REF!</definedName>
    <definedName name="data_1_1_1_1_3_2">'[21]#REF!'!$A$7:$N$1249</definedName>
    <definedName name="data_1_1_2" localSheetId="4">'[21]#REF!'!$A$7:$N$1218</definedName>
    <definedName name="data_1_1_2" localSheetId="0">#REF!</definedName>
    <definedName name="data_1_1_2">'[21]#REF!'!$A$7:$N$1218</definedName>
    <definedName name="data_1_2" localSheetId="4">'[21]#REF!'!$A$7:$N$1205</definedName>
    <definedName name="data_1_2" localSheetId="0">#REF!</definedName>
    <definedName name="data_1_2">'[21]#REF!'!$A$7:$N$1205</definedName>
    <definedName name="data_10" localSheetId="4">#REF!</definedName>
    <definedName name="data_10" localSheetId="2">#REF!</definedName>
    <definedName name="data_10" localSheetId="0">'[20]#REF!'!$A$7:$N$1113</definedName>
    <definedName name="data_10" localSheetId="7">#REF!</definedName>
    <definedName name="data_10" localSheetId="5">#REF!</definedName>
    <definedName name="data_10">#REF!</definedName>
    <definedName name="data_10_1" localSheetId="4">#REF!</definedName>
    <definedName name="data_10_1" localSheetId="2">#REF!</definedName>
    <definedName name="data_10_1" localSheetId="0">'[20]#REF!'!$A$7:$N$1113</definedName>
    <definedName name="data_10_1" localSheetId="7">#REF!</definedName>
    <definedName name="data_10_1" localSheetId="5">#REF!</definedName>
    <definedName name="data_10_1">#REF!</definedName>
    <definedName name="data_10_1_1" localSheetId="4">#REF!</definedName>
    <definedName name="data_10_1_1" localSheetId="2">#REF!</definedName>
    <definedName name="data_10_1_1" localSheetId="0">'[20]#REF!'!$A$7:$N$1126</definedName>
    <definedName name="data_10_1_1" localSheetId="7">#REF!</definedName>
    <definedName name="data_10_1_1" localSheetId="5">#REF!</definedName>
    <definedName name="data_10_1_1">#REF!</definedName>
    <definedName name="data_10_1_1_1" localSheetId="4">'[21]#REF!'!$A$7:$N$1113</definedName>
    <definedName name="data_10_1_1_1" localSheetId="0">#REF!</definedName>
    <definedName name="data_10_1_1_1">'[21]#REF!'!$A$7:$N$1113</definedName>
    <definedName name="data_10_1_1_1_1" localSheetId="4">'[21]#REF!'!$A$7:$N$1126</definedName>
    <definedName name="data_10_1_1_1_1" localSheetId="0">#REF!</definedName>
    <definedName name="data_10_1_1_1_1">'[21]#REF!'!$A$7:$N$1126</definedName>
    <definedName name="data_10_1_1_1_1_1" localSheetId="4">'[21]#REF!'!$A$7:$N$1126</definedName>
    <definedName name="data_10_1_1_1_1_1" localSheetId="0">#REF!</definedName>
    <definedName name="data_10_1_1_1_1_1">'[21]#REF!'!$A$7:$N$1126</definedName>
    <definedName name="data_10_1_1_2" localSheetId="4">'[21]#REF!'!$A$7:$N$1126</definedName>
    <definedName name="data_10_1_1_2" localSheetId="0">#REF!</definedName>
    <definedName name="data_10_1_1_2">'[21]#REF!'!$A$7:$N$1126</definedName>
    <definedName name="data_10_1_2" localSheetId="4">'[21]#REF!'!$A$7:$N$1113</definedName>
    <definedName name="data_10_1_2" localSheetId="0">#REF!</definedName>
    <definedName name="data_10_1_2">'[21]#REF!'!$A$7:$N$1113</definedName>
    <definedName name="data_10_2" localSheetId="4">#REF!</definedName>
    <definedName name="data_10_2" localSheetId="2">#REF!</definedName>
    <definedName name="data_10_2" localSheetId="0">'[20]#REF!'!$A$7:$N$1113</definedName>
    <definedName name="data_10_2" localSheetId="7">#REF!</definedName>
    <definedName name="data_10_2" localSheetId="5">#REF!</definedName>
    <definedName name="data_10_2">#REF!</definedName>
    <definedName name="data_10_2_1" localSheetId="4">'[21]#REF!'!$A$7:$N$1113</definedName>
    <definedName name="data_10_2_1" localSheetId="0">#REF!</definedName>
    <definedName name="data_10_2_1">'[21]#REF!'!$A$7:$N$1113</definedName>
    <definedName name="data_10_2_1_1" localSheetId="4">'[21]#REF!'!$A$7:$N$1113</definedName>
    <definedName name="data_10_2_1_1" localSheetId="0">#REF!</definedName>
    <definedName name="data_10_2_1_1">'[21]#REF!'!$A$7:$N$1113</definedName>
    <definedName name="data_10_2_2" localSheetId="4">'[21]#REF!'!$A$7:$N$1113</definedName>
    <definedName name="data_10_2_2" localSheetId="0">#REF!</definedName>
    <definedName name="data_10_2_2">'[21]#REF!'!$A$7:$N$1113</definedName>
    <definedName name="data_10_3" localSheetId="4">#REF!</definedName>
    <definedName name="data_10_3" localSheetId="2">#REF!</definedName>
    <definedName name="data_10_3" localSheetId="0">'[20]#REF!'!$A$7:$N$1126</definedName>
    <definedName name="data_10_3" localSheetId="7">#REF!</definedName>
    <definedName name="data_10_3" localSheetId="5">#REF!</definedName>
    <definedName name="data_10_3">#REF!</definedName>
    <definedName name="data_10_3_1" localSheetId="4">'[21]#REF!'!$A$7:$N$1126</definedName>
    <definedName name="data_10_3_1" localSheetId="0">#REF!</definedName>
    <definedName name="data_10_3_1">'[21]#REF!'!$A$7:$N$1126</definedName>
    <definedName name="data_10_3_2" localSheetId="4">'[21]#REF!'!$A$7:$N$1126</definedName>
    <definedName name="data_10_3_2" localSheetId="0">#REF!</definedName>
    <definedName name="data_10_3_2">'[21]#REF!'!$A$7:$N$1126</definedName>
    <definedName name="data_11" localSheetId="4">#REF!</definedName>
    <definedName name="data_11" localSheetId="2">#REF!</definedName>
    <definedName name="data_11" localSheetId="0">'[20]#REF!'!$A$7:$N$1121</definedName>
    <definedName name="data_11" localSheetId="7">#REF!</definedName>
    <definedName name="data_11" localSheetId="5">#REF!</definedName>
    <definedName name="data_11">#REF!</definedName>
    <definedName name="data_11_1" localSheetId="4">#REF!</definedName>
    <definedName name="data_11_1" localSheetId="2">#REF!</definedName>
    <definedName name="data_11_1" localSheetId="0">'[20]#REF!'!$A$7:$N$1121</definedName>
    <definedName name="data_11_1" localSheetId="7">#REF!</definedName>
    <definedName name="data_11_1" localSheetId="5">#REF!</definedName>
    <definedName name="data_11_1">#REF!</definedName>
    <definedName name="data_11_1_1" localSheetId="4">#REF!</definedName>
    <definedName name="data_11_1_1" localSheetId="2">#REF!</definedName>
    <definedName name="data_11_1_1" localSheetId="0">'[20]#REF!'!$A$7:$N$1134</definedName>
    <definedName name="data_11_1_1" localSheetId="7">#REF!</definedName>
    <definedName name="data_11_1_1" localSheetId="5">#REF!</definedName>
    <definedName name="data_11_1_1">#REF!</definedName>
    <definedName name="data_11_1_1_1" localSheetId="4">'[21]#REF!'!$A$7:$N$1121</definedName>
    <definedName name="data_11_1_1_1" localSheetId="0">#REF!</definedName>
    <definedName name="data_11_1_1_1">'[21]#REF!'!$A$7:$N$1121</definedName>
    <definedName name="data_11_1_1_1_1" localSheetId="4">'[21]#REF!'!$A$7:$N$1134</definedName>
    <definedName name="data_11_1_1_1_1" localSheetId="0">#REF!</definedName>
    <definedName name="data_11_1_1_1_1">'[21]#REF!'!$A$7:$N$1134</definedName>
    <definedName name="data_11_1_1_1_1_1" localSheetId="4">'[21]#REF!'!$A$7:$N$1134</definedName>
    <definedName name="data_11_1_1_1_1_1" localSheetId="0">#REF!</definedName>
    <definedName name="data_11_1_1_1_1_1">'[21]#REF!'!$A$7:$N$1134</definedName>
    <definedName name="data_11_1_1_2" localSheetId="4">'[21]#REF!'!$A$7:$N$1134</definedName>
    <definedName name="data_11_1_1_2" localSheetId="0">#REF!</definedName>
    <definedName name="data_11_1_1_2">'[21]#REF!'!$A$7:$N$1134</definedName>
    <definedName name="data_11_1_2" localSheetId="4">'[21]#REF!'!$A$7:$N$1121</definedName>
    <definedName name="data_11_1_2" localSheetId="0">#REF!</definedName>
    <definedName name="data_11_1_2">'[21]#REF!'!$A$7:$N$1121</definedName>
    <definedName name="data_11_2" localSheetId="4">#REF!</definedName>
    <definedName name="data_11_2" localSheetId="2">#REF!</definedName>
    <definedName name="data_11_2" localSheetId="0">'[20]#REF!'!$A$7:$N$1121</definedName>
    <definedName name="data_11_2" localSheetId="7">#REF!</definedName>
    <definedName name="data_11_2" localSheetId="5">#REF!</definedName>
    <definedName name="data_11_2">#REF!</definedName>
    <definedName name="data_11_2_1" localSheetId="4">'[21]#REF!'!$A$7:$N$1121</definedName>
    <definedName name="data_11_2_1" localSheetId="0">#REF!</definedName>
    <definedName name="data_11_2_1">'[21]#REF!'!$A$7:$N$1121</definedName>
    <definedName name="data_11_2_1_1" localSheetId="4">'[21]#REF!'!$A$7:$N$1121</definedName>
    <definedName name="data_11_2_1_1" localSheetId="0">#REF!</definedName>
    <definedName name="data_11_2_1_1">'[21]#REF!'!$A$7:$N$1121</definedName>
    <definedName name="data_11_2_2" localSheetId="4">'[21]#REF!'!$A$7:$N$1121</definedName>
    <definedName name="data_11_2_2" localSheetId="0">#REF!</definedName>
    <definedName name="data_11_2_2">'[21]#REF!'!$A$7:$N$1121</definedName>
    <definedName name="data_11_3" localSheetId="4">#REF!</definedName>
    <definedName name="data_11_3" localSheetId="2">#REF!</definedName>
    <definedName name="data_11_3" localSheetId="0">'[20]#REF!'!$A$7:$N$1134</definedName>
    <definedName name="data_11_3" localSheetId="7">#REF!</definedName>
    <definedName name="data_11_3" localSheetId="5">#REF!</definedName>
    <definedName name="data_11_3">#REF!</definedName>
    <definedName name="data_11_3_1" localSheetId="4">'[21]#REF!'!$A$7:$N$1134</definedName>
    <definedName name="data_11_3_1" localSheetId="0">#REF!</definedName>
    <definedName name="data_11_3_1">'[21]#REF!'!$A$7:$N$1134</definedName>
    <definedName name="data_11_3_2" localSheetId="4">'[21]#REF!'!$A$7:$N$1134</definedName>
    <definedName name="data_11_3_2" localSheetId="0">#REF!</definedName>
    <definedName name="data_11_3_2">'[21]#REF!'!$A$7:$N$1134</definedName>
    <definedName name="data_12" localSheetId="4">#REF!</definedName>
    <definedName name="data_12" localSheetId="2">#REF!</definedName>
    <definedName name="data_12" localSheetId="0">'[20]#REF!'!$A$7:$N$1141</definedName>
    <definedName name="data_12" localSheetId="7">#REF!</definedName>
    <definedName name="data_12" localSheetId="5">#REF!</definedName>
    <definedName name="data_12">#REF!</definedName>
    <definedName name="data_12_1" localSheetId="4">#REF!</definedName>
    <definedName name="data_12_1" localSheetId="2">#REF!</definedName>
    <definedName name="data_12_1" localSheetId="0">'[20]#REF!'!$A$7:$N$1141</definedName>
    <definedName name="data_12_1" localSheetId="7">#REF!</definedName>
    <definedName name="data_12_1" localSheetId="5">#REF!</definedName>
    <definedName name="data_12_1">#REF!</definedName>
    <definedName name="data_12_1_1" localSheetId="4">#REF!</definedName>
    <definedName name="data_12_1_1" localSheetId="2">#REF!</definedName>
    <definedName name="data_12_1_1" localSheetId="0">'[20]#REF!'!$A$7:$N$1154</definedName>
    <definedName name="data_12_1_1" localSheetId="7">#REF!</definedName>
    <definedName name="data_12_1_1" localSheetId="5">#REF!</definedName>
    <definedName name="data_12_1_1">#REF!</definedName>
    <definedName name="data_12_1_1_1" localSheetId="4">'[21]#REF!'!$A$7:$N$1141</definedName>
    <definedName name="data_12_1_1_1" localSheetId="0">#REF!</definedName>
    <definedName name="data_12_1_1_1">'[21]#REF!'!$A$7:$N$1141</definedName>
    <definedName name="data_12_1_1_1_1" localSheetId="4">'[21]#REF!'!$A$7:$N$1154</definedName>
    <definedName name="data_12_1_1_1_1" localSheetId="0">#REF!</definedName>
    <definedName name="data_12_1_1_1_1">'[21]#REF!'!$A$7:$N$1154</definedName>
    <definedName name="data_12_1_1_1_1_1" localSheetId="4">'[21]#REF!'!$A$7:$N$1154</definedName>
    <definedName name="data_12_1_1_1_1_1" localSheetId="0">#REF!</definedName>
    <definedName name="data_12_1_1_1_1_1">'[21]#REF!'!$A$7:$N$1154</definedName>
    <definedName name="data_12_1_1_2" localSheetId="4">'[21]#REF!'!$A$7:$N$1154</definedName>
    <definedName name="data_12_1_1_2" localSheetId="0">#REF!</definedName>
    <definedName name="data_12_1_1_2">'[21]#REF!'!$A$7:$N$1154</definedName>
    <definedName name="data_12_1_2" localSheetId="4">'[21]#REF!'!$A$7:$N$1141</definedName>
    <definedName name="data_12_1_2" localSheetId="0">#REF!</definedName>
    <definedName name="data_12_1_2">'[21]#REF!'!$A$7:$N$1141</definedName>
    <definedName name="data_12_2" localSheetId="4">#REF!</definedName>
    <definedName name="data_12_2" localSheetId="2">#REF!</definedName>
    <definedName name="data_12_2" localSheetId="0">'[20]#REF!'!$A$7:$N$1141</definedName>
    <definedName name="data_12_2" localSheetId="7">#REF!</definedName>
    <definedName name="data_12_2" localSheetId="5">#REF!</definedName>
    <definedName name="data_12_2">#REF!</definedName>
    <definedName name="data_12_2_1" localSheetId="4">'[21]#REF!'!$A$7:$N$1141</definedName>
    <definedName name="data_12_2_1" localSheetId="0">#REF!</definedName>
    <definedName name="data_12_2_1">'[21]#REF!'!$A$7:$N$1141</definedName>
    <definedName name="data_12_2_1_1" localSheetId="4">'[21]#REF!'!$A$7:$N$1141</definedName>
    <definedName name="data_12_2_1_1" localSheetId="0">#REF!</definedName>
    <definedName name="data_12_2_1_1">'[21]#REF!'!$A$7:$N$1141</definedName>
    <definedName name="data_12_2_2" localSheetId="4">'[21]#REF!'!$A$7:$N$1141</definedName>
    <definedName name="data_12_2_2" localSheetId="0">#REF!</definedName>
    <definedName name="data_12_2_2">'[21]#REF!'!$A$7:$N$1141</definedName>
    <definedName name="data_12_3" localSheetId="4">#REF!</definedName>
    <definedName name="data_12_3" localSheetId="2">#REF!</definedName>
    <definedName name="data_12_3" localSheetId="0">'[20]#REF!'!$A$7:$N$1154</definedName>
    <definedName name="data_12_3" localSheetId="7">#REF!</definedName>
    <definedName name="data_12_3" localSheetId="5">#REF!</definedName>
    <definedName name="data_12_3">#REF!</definedName>
    <definedName name="data_12_3_1" localSheetId="4">'[21]#REF!'!$A$7:$N$1154</definedName>
    <definedName name="data_12_3_1" localSheetId="0">#REF!</definedName>
    <definedName name="data_12_3_1">'[21]#REF!'!$A$7:$N$1154</definedName>
    <definedName name="data_12_3_2" localSheetId="4">'[21]#REF!'!$A$7:$N$1154</definedName>
    <definedName name="data_12_3_2" localSheetId="0">#REF!</definedName>
    <definedName name="data_12_3_2">'[21]#REF!'!$A$7:$N$1154</definedName>
    <definedName name="data_13" localSheetId="4">#REF!</definedName>
    <definedName name="data_13" localSheetId="2">#REF!</definedName>
    <definedName name="data_13" localSheetId="0">'[20]#REF!'!$A$7:$N$1170</definedName>
    <definedName name="data_13" localSheetId="7">#REF!</definedName>
    <definedName name="data_13" localSheetId="5">#REF!</definedName>
    <definedName name="data_13">#REF!</definedName>
    <definedName name="data_13_1" localSheetId="4">#REF!</definedName>
    <definedName name="data_13_1" localSheetId="2">#REF!</definedName>
    <definedName name="data_13_1" localSheetId="0">'[20]#REF!'!$A$7:$N$1170</definedName>
    <definedName name="data_13_1" localSheetId="7">#REF!</definedName>
    <definedName name="data_13_1" localSheetId="5">#REF!</definedName>
    <definedName name="data_13_1">#REF!</definedName>
    <definedName name="data_13_1_1" localSheetId="4">#REF!</definedName>
    <definedName name="data_13_1_1" localSheetId="2">#REF!</definedName>
    <definedName name="data_13_1_1" localSheetId="0">'[20]#REF!'!$A$7:$N$1183</definedName>
    <definedName name="data_13_1_1" localSheetId="7">#REF!</definedName>
    <definedName name="data_13_1_1" localSheetId="5">#REF!</definedName>
    <definedName name="data_13_1_1">#REF!</definedName>
    <definedName name="data_13_1_1_1" localSheetId="4">'[21]#REF!'!$A$7:$N$1170</definedName>
    <definedName name="data_13_1_1_1" localSheetId="0">#REF!</definedName>
    <definedName name="data_13_1_1_1">'[21]#REF!'!$A$7:$N$1170</definedName>
    <definedName name="data_13_1_1_1_1" localSheetId="4">'[21]#REF!'!$A$7:$N$1183</definedName>
    <definedName name="data_13_1_1_1_1" localSheetId="0">#REF!</definedName>
    <definedName name="data_13_1_1_1_1">'[21]#REF!'!$A$7:$N$1183</definedName>
    <definedName name="data_13_1_1_1_1_1" localSheetId="4">'[21]#REF!'!$A$7:$N$1183</definedName>
    <definedName name="data_13_1_1_1_1_1" localSheetId="0">#REF!</definedName>
    <definedName name="data_13_1_1_1_1_1">'[21]#REF!'!$A$7:$N$1183</definedName>
    <definedName name="data_13_1_1_2" localSheetId="4">'[21]#REF!'!$A$7:$N$1183</definedName>
    <definedName name="data_13_1_1_2" localSheetId="0">#REF!</definedName>
    <definedName name="data_13_1_1_2">'[21]#REF!'!$A$7:$N$1183</definedName>
    <definedName name="data_13_1_2" localSheetId="4">'[21]#REF!'!$A$7:$N$1170</definedName>
    <definedName name="data_13_1_2" localSheetId="0">#REF!</definedName>
    <definedName name="data_13_1_2">'[21]#REF!'!$A$7:$N$1170</definedName>
    <definedName name="data_13_2" localSheetId="4">#REF!</definedName>
    <definedName name="data_13_2" localSheetId="2">#REF!</definedName>
    <definedName name="data_13_2" localSheetId="0">'[20]#REF!'!$A$7:$N$1170</definedName>
    <definedName name="data_13_2" localSheetId="7">#REF!</definedName>
    <definedName name="data_13_2" localSheetId="5">#REF!</definedName>
    <definedName name="data_13_2">#REF!</definedName>
    <definedName name="data_13_2_1" localSheetId="4">'[21]#REF!'!$A$7:$N$1170</definedName>
    <definedName name="data_13_2_1" localSheetId="0">#REF!</definedName>
    <definedName name="data_13_2_1">'[21]#REF!'!$A$7:$N$1170</definedName>
    <definedName name="data_13_2_1_1" localSheetId="4">'[21]#REF!'!$A$7:$N$1170</definedName>
    <definedName name="data_13_2_1_1" localSheetId="0">#REF!</definedName>
    <definedName name="data_13_2_1_1">'[21]#REF!'!$A$7:$N$1170</definedName>
    <definedName name="data_13_2_2" localSheetId="4">'[21]#REF!'!$A$7:$N$1170</definedName>
    <definedName name="data_13_2_2" localSheetId="0">#REF!</definedName>
    <definedName name="data_13_2_2">'[21]#REF!'!$A$7:$N$1170</definedName>
    <definedName name="data_13_3" localSheetId="4">#REF!</definedName>
    <definedName name="data_13_3" localSheetId="2">#REF!</definedName>
    <definedName name="data_13_3" localSheetId="0">'[20]#REF!'!$A$7:$N$1183</definedName>
    <definedName name="data_13_3" localSheetId="7">#REF!</definedName>
    <definedName name="data_13_3" localSheetId="5">#REF!</definedName>
    <definedName name="data_13_3">#REF!</definedName>
    <definedName name="data_13_3_1" localSheetId="4">'[21]#REF!'!$A$7:$N$1183</definedName>
    <definedName name="data_13_3_1" localSheetId="0">#REF!</definedName>
    <definedName name="data_13_3_1">'[21]#REF!'!$A$7:$N$1183</definedName>
    <definedName name="data_13_3_2" localSheetId="4">'[21]#REF!'!$A$7:$N$1183</definedName>
    <definedName name="data_13_3_2" localSheetId="0">#REF!</definedName>
    <definedName name="data_13_3_2">'[21]#REF!'!$A$7:$N$1183</definedName>
    <definedName name="data_14" localSheetId="4">#REF!</definedName>
    <definedName name="data_14" localSheetId="2">#REF!</definedName>
    <definedName name="data_14" localSheetId="0">'[20]#REF!'!$A$7:$N$1159</definedName>
    <definedName name="data_14" localSheetId="7">#REF!</definedName>
    <definedName name="data_14" localSheetId="5">#REF!</definedName>
    <definedName name="data_14">#REF!</definedName>
    <definedName name="data_14_1" localSheetId="4">#REF!</definedName>
    <definedName name="data_14_1" localSheetId="2">#REF!</definedName>
    <definedName name="data_14_1" localSheetId="0">'[20]#REF!'!$A$7:$N$1159</definedName>
    <definedName name="data_14_1" localSheetId="7">#REF!</definedName>
    <definedName name="data_14_1" localSheetId="5">#REF!</definedName>
    <definedName name="data_14_1">#REF!</definedName>
    <definedName name="data_14_1_1" localSheetId="4">#REF!</definedName>
    <definedName name="data_14_1_1" localSheetId="2">#REF!</definedName>
    <definedName name="data_14_1_1" localSheetId="0">'[20]#REF!'!$A$7:$N$1172</definedName>
    <definedName name="data_14_1_1" localSheetId="7">#REF!</definedName>
    <definedName name="data_14_1_1" localSheetId="5">#REF!</definedName>
    <definedName name="data_14_1_1">#REF!</definedName>
    <definedName name="data_14_1_1_1" localSheetId="4">'[21]#REF!'!$A$7:$N$1159</definedName>
    <definedName name="data_14_1_1_1" localSheetId="0">#REF!</definedName>
    <definedName name="data_14_1_1_1">'[21]#REF!'!$A$7:$N$1159</definedName>
    <definedName name="data_14_1_1_1_1" localSheetId="4">'[21]#REF!'!$A$7:$N$1172</definedName>
    <definedName name="data_14_1_1_1_1" localSheetId="0">#REF!</definedName>
    <definedName name="data_14_1_1_1_1">'[21]#REF!'!$A$7:$N$1172</definedName>
    <definedName name="data_14_1_1_1_1_1" localSheetId="4">'[21]#REF!'!$A$7:$N$1172</definedName>
    <definedName name="data_14_1_1_1_1_1" localSheetId="0">#REF!</definedName>
    <definedName name="data_14_1_1_1_1_1">'[21]#REF!'!$A$7:$N$1172</definedName>
    <definedName name="data_14_1_1_2" localSheetId="4">'[21]#REF!'!$A$7:$N$1172</definedName>
    <definedName name="data_14_1_1_2" localSheetId="0">#REF!</definedName>
    <definedName name="data_14_1_1_2">'[21]#REF!'!$A$7:$N$1172</definedName>
    <definedName name="data_14_1_2" localSheetId="4">'[21]#REF!'!$A$7:$N$1159</definedName>
    <definedName name="data_14_1_2" localSheetId="0">#REF!</definedName>
    <definedName name="data_14_1_2">'[21]#REF!'!$A$7:$N$1159</definedName>
    <definedName name="data_14_2" localSheetId="4">#REF!</definedName>
    <definedName name="data_14_2" localSheetId="2">#REF!</definedName>
    <definedName name="data_14_2" localSheetId="0">'[20]#REF!'!$A$7:$N$1159</definedName>
    <definedName name="data_14_2" localSheetId="7">#REF!</definedName>
    <definedName name="data_14_2" localSheetId="5">#REF!</definedName>
    <definedName name="data_14_2">#REF!</definedName>
    <definedName name="data_14_2_1" localSheetId="4">'[21]#REF!'!$A$7:$N$1159</definedName>
    <definedName name="data_14_2_1" localSheetId="0">#REF!</definedName>
    <definedName name="data_14_2_1">'[21]#REF!'!$A$7:$N$1159</definedName>
    <definedName name="data_14_2_1_1" localSheetId="4">'[21]#REF!'!$A$7:$N$1159</definedName>
    <definedName name="data_14_2_1_1" localSheetId="0">#REF!</definedName>
    <definedName name="data_14_2_1_1">'[21]#REF!'!$A$7:$N$1159</definedName>
    <definedName name="data_14_2_2" localSheetId="4">'[21]#REF!'!$A$7:$N$1159</definedName>
    <definedName name="data_14_2_2" localSheetId="0">#REF!</definedName>
    <definedName name="data_14_2_2">'[21]#REF!'!$A$7:$N$1159</definedName>
    <definedName name="data_14_3" localSheetId="4">#REF!</definedName>
    <definedName name="data_14_3" localSheetId="2">#REF!</definedName>
    <definedName name="data_14_3" localSheetId="0">'[20]#REF!'!$A$7:$N$1172</definedName>
    <definedName name="data_14_3" localSheetId="7">#REF!</definedName>
    <definedName name="data_14_3" localSheetId="5">#REF!</definedName>
    <definedName name="data_14_3">#REF!</definedName>
    <definedName name="data_14_3_1" localSheetId="4">'[21]#REF!'!$A$7:$N$1172</definedName>
    <definedName name="data_14_3_1" localSheetId="0">#REF!</definedName>
    <definedName name="data_14_3_1">'[21]#REF!'!$A$7:$N$1172</definedName>
    <definedName name="data_14_3_2" localSheetId="4">'[21]#REF!'!$A$7:$N$1172</definedName>
    <definedName name="data_14_3_2" localSheetId="0">#REF!</definedName>
    <definedName name="data_14_3_2">'[21]#REF!'!$A$7:$N$1172</definedName>
    <definedName name="data_15" localSheetId="4">#REF!</definedName>
    <definedName name="data_15" localSheetId="2">#REF!</definedName>
    <definedName name="data_15" localSheetId="0">'[20]#REF!'!$A$7:$N$1199</definedName>
    <definedName name="data_15" localSheetId="7">#REF!</definedName>
    <definedName name="data_15" localSheetId="5">#REF!</definedName>
    <definedName name="data_15">#REF!</definedName>
    <definedName name="data_15_1" localSheetId="4">#REF!</definedName>
    <definedName name="data_15_1" localSheetId="2">#REF!</definedName>
    <definedName name="data_15_1" localSheetId="0">'[20]#REF!'!$A$7:$N$1199</definedName>
    <definedName name="data_15_1" localSheetId="7">#REF!</definedName>
    <definedName name="data_15_1" localSheetId="5">#REF!</definedName>
    <definedName name="data_15_1">#REF!</definedName>
    <definedName name="data_15_1_1" localSheetId="4">#REF!</definedName>
    <definedName name="data_15_1_1" localSheetId="2">#REF!</definedName>
    <definedName name="data_15_1_1" localSheetId="0">'[20]#REF!'!$A$7:$N$1212</definedName>
    <definedName name="data_15_1_1" localSheetId="7">#REF!</definedName>
    <definedName name="data_15_1_1" localSheetId="5">#REF!</definedName>
    <definedName name="data_15_1_1">#REF!</definedName>
    <definedName name="data_15_1_1_1" localSheetId="4">'[21]#REF!'!$A$7:$N$1199</definedName>
    <definedName name="data_15_1_1_1" localSheetId="0">#REF!</definedName>
    <definedName name="data_15_1_1_1">'[21]#REF!'!$A$7:$N$1199</definedName>
    <definedName name="data_15_1_1_1_1" localSheetId="4">'[21]#REF!'!$A$7:$N$1212</definedName>
    <definedName name="data_15_1_1_1_1" localSheetId="0">#REF!</definedName>
    <definedName name="data_15_1_1_1_1">'[21]#REF!'!$A$7:$N$1212</definedName>
    <definedName name="data_15_1_1_1_1_1" localSheetId="4">'[21]#REF!'!$A$7:$N$1212</definedName>
    <definedName name="data_15_1_1_1_1_1" localSheetId="0">#REF!</definedName>
    <definedName name="data_15_1_1_1_1_1">'[21]#REF!'!$A$7:$N$1212</definedName>
    <definedName name="data_15_1_1_2" localSheetId="4">'[21]#REF!'!$A$7:$N$1212</definedName>
    <definedName name="data_15_1_1_2" localSheetId="0">#REF!</definedName>
    <definedName name="data_15_1_1_2">'[21]#REF!'!$A$7:$N$1212</definedName>
    <definedName name="data_15_1_2" localSheetId="4">'[21]#REF!'!$A$7:$N$1199</definedName>
    <definedName name="data_15_1_2" localSheetId="0">#REF!</definedName>
    <definedName name="data_15_1_2">'[21]#REF!'!$A$7:$N$1199</definedName>
    <definedName name="data_15_2" localSheetId="4">#REF!</definedName>
    <definedName name="data_15_2" localSheetId="2">#REF!</definedName>
    <definedName name="data_15_2" localSheetId="0">'[20]#REF!'!$A$7:$N$1199</definedName>
    <definedName name="data_15_2" localSheetId="7">#REF!</definedName>
    <definedName name="data_15_2" localSheetId="5">#REF!</definedName>
    <definedName name="data_15_2">#REF!</definedName>
    <definedName name="data_15_2_1" localSheetId="4">'[21]#REF!'!$A$7:$N$1199</definedName>
    <definedName name="data_15_2_1" localSheetId="0">#REF!</definedName>
    <definedName name="data_15_2_1">'[21]#REF!'!$A$7:$N$1199</definedName>
    <definedName name="data_15_2_1_1" localSheetId="4">'[21]#REF!'!$A$7:$N$1199</definedName>
    <definedName name="data_15_2_1_1" localSheetId="0">#REF!</definedName>
    <definedName name="data_15_2_1_1">'[21]#REF!'!$A$7:$N$1199</definedName>
    <definedName name="data_15_2_2" localSheetId="4">'[21]#REF!'!$A$7:$N$1199</definedName>
    <definedName name="data_15_2_2" localSheetId="0">#REF!</definedName>
    <definedName name="data_15_2_2">'[21]#REF!'!$A$7:$N$1199</definedName>
    <definedName name="data_15_3" localSheetId="4">#REF!</definedName>
    <definedName name="data_15_3" localSheetId="2">#REF!</definedName>
    <definedName name="data_15_3" localSheetId="0">'[20]#REF!'!$A$7:$N$1212</definedName>
    <definedName name="data_15_3" localSheetId="7">#REF!</definedName>
    <definedName name="data_15_3" localSheetId="5">#REF!</definedName>
    <definedName name="data_15_3">#REF!</definedName>
    <definedName name="data_15_3_1" localSheetId="4">'[21]#REF!'!$A$7:$N$1212</definedName>
    <definedName name="data_15_3_1" localSheetId="0">#REF!</definedName>
    <definedName name="data_15_3_1">'[21]#REF!'!$A$7:$N$1212</definedName>
    <definedName name="data_15_3_2" localSheetId="4">'[21]#REF!'!$A$7:$N$1212</definedName>
    <definedName name="data_15_3_2" localSheetId="0">#REF!</definedName>
    <definedName name="data_15_3_2">'[21]#REF!'!$A$7:$N$1212</definedName>
    <definedName name="data_16" localSheetId="4">#REF!</definedName>
    <definedName name="data_16" localSheetId="2">#REF!</definedName>
    <definedName name="data_16" localSheetId="0">'[20]#REF!'!$A$9:$N$1176</definedName>
    <definedName name="data_16" localSheetId="7">#REF!</definedName>
    <definedName name="data_16" localSheetId="5">#REF!</definedName>
    <definedName name="data_16">#REF!</definedName>
    <definedName name="data_16_1" localSheetId="4">#REF!</definedName>
    <definedName name="data_16_1" localSheetId="2">#REF!</definedName>
    <definedName name="data_16_1" localSheetId="0">'[20]#REF!'!$A$9:$N$1176</definedName>
    <definedName name="data_16_1" localSheetId="7">#REF!</definedName>
    <definedName name="data_16_1" localSheetId="5">#REF!</definedName>
    <definedName name="data_16_1">#REF!</definedName>
    <definedName name="data_16_1_1" localSheetId="4">#REF!</definedName>
    <definedName name="data_16_1_1" localSheetId="2">#REF!</definedName>
    <definedName name="data_16_1_1" localSheetId="0">'[20]#REF!'!$A$9:$N$1189</definedName>
    <definedName name="data_16_1_1" localSheetId="7">#REF!</definedName>
    <definedName name="data_16_1_1" localSheetId="5">#REF!</definedName>
    <definedName name="data_16_1_1">#REF!</definedName>
    <definedName name="data_16_1_1_1" localSheetId="4">'[21]#REF!'!$A$9:$N$1176</definedName>
    <definedName name="data_16_1_1_1" localSheetId="0">#REF!</definedName>
    <definedName name="data_16_1_1_1">'[21]#REF!'!$A$9:$N$1176</definedName>
    <definedName name="data_16_1_1_1_1" localSheetId="4">'[21]#REF!'!$A$9:$N$1189</definedName>
    <definedName name="data_16_1_1_1_1" localSheetId="0">#REF!</definedName>
    <definedName name="data_16_1_1_1_1">'[21]#REF!'!$A$9:$N$1189</definedName>
    <definedName name="data_16_1_1_1_1_1" localSheetId="4">'[21]#REF!'!$A$9:$N$1189</definedName>
    <definedName name="data_16_1_1_1_1_1" localSheetId="0">#REF!</definedName>
    <definedName name="data_16_1_1_1_1_1">'[21]#REF!'!$A$9:$N$1189</definedName>
    <definedName name="data_16_1_1_2" localSheetId="4">'[21]#REF!'!$A$9:$N$1189</definedName>
    <definedName name="data_16_1_1_2" localSheetId="0">#REF!</definedName>
    <definedName name="data_16_1_1_2">'[21]#REF!'!$A$9:$N$1189</definedName>
    <definedName name="data_16_1_2" localSheetId="4">'[21]#REF!'!$A$9:$N$1176</definedName>
    <definedName name="data_16_1_2" localSheetId="0">#REF!</definedName>
    <definedName name="data_16_1_2">'[21]#REF!'!$A$9:$N$1176</definedName>
    <definedName name="data_16_2" localSheetId="4">#REF!</definedName>
    <definedName name="data_16_2" localSheetId="2">#REF!</definedName>
    <definedName name="data_16_2" localSheetId="0">'[20]#REF!'!$A$9:$N$1176</definedName>
    <definedName name="data_16_2" localSheetId="7">#REF!</definedName>
    <definedName name="data_16_2" localSheetId="5">#REF!</definedName>
    <definedName name="data_16_2">#REF!</definedName>
    <definedName name="data_16_2_1" localSheetId="4">'[21]#REF!'!$A$9:$N$1176</definedName>
    <definedName name="data_16_2_1" localSheetId="0">#REF!</definedName>
    <definedName name="data_16_2_1">'[21]#REF!'!$A$9:$N$1176</definedName>
    <definedName name="data_16_2_1_1" localSheetId="4">'[21]#REF!'!$A$9:$N$1176</definedName>
    <definedName name="data_16_2_1_1" localSheetId="0">#REF!</definedName>
    <definedName name="data_16_2_1_1">'[21]#REF!'!$A$9:$N$1176</definedName>
    <definedName name="data_16_2_2" localSheetId="4">'[21]#REF!'!$A$9:$N$1176</definedName>
    <definedName name="data_16_2_2" localSheetId="0">#REF!</definedName>
    <definedName name="data_16_2_2">'[21]#REF!'!$A$9:$N$1176</definedName>
    <definedName name="data_16_3" localSheetId="4">#REF!</definedName>
    <definedName name="data_16_3" localSheetId="2">#REF!</definedName>
    <definedName name="data_16_3" localSheetId="0">'[20]#REF!'!$A$9:$N$1189</definedName>
    <definedName name="data_16_3" localSheetId="7">#REF!</definedName>
    <definedName name="data_16_3" localSheetId="5">#REF!</definedName>
    <definedName name="data_16_3">#REF!</definedName>
    <definedName name="data_16_3_1" localSheetId="4">'[21]#REF!'!$A$9:$N$1189</definedName>
    <definedName name="data_16_3_1" localSheetId="0">#REF!</definedName>
    <definedName name="data_16_3_1">'[21]#REF!'!$A$9:$N$1189</definedName>
    <definedName name="data_16_3_2" localSheetId="4">'[21]#REF!'!$A$9:$N$1189</definedName>
    <definedName name="data_16_3_2" localSheetId="0">#REF!</definedName>
    <definedName name="data_16_3_2">'[21]#REF!'!$A$9:$N$1189</definedName>
    <definedName name="data_17" localSheetId="4">#REF!</definedName>
    <definedName name="data_17" localSheetId="2">#REF!</definedName>
    <definedName name="data_17" localSheetId="0">'[20]#REF!'!$A$7:$N$1190</definedName>
    <definedName name="data_17" localSheetId="7">#REF!</definedName>
    <definedName name="data_17" localSheetId="5">#REF!</definedName>
    <definedName name="data_17">#REF!</definedName>
    <definedName name="data_17_1" localSheetId="4">#REF!</definedName>
    <definedName name="data_17_1" localSheetId="2">#REF!</definedName>
    <definedName name="data_17_1" localSheetId="0">'[20]#REF!'!$A$7:$N$1190</definedName>
    <definedName name="data_17_1" localSheetId="7">#REF!</definedName>
    <definedName name="data_17_1" localSheetId="5">#REF!</definedName>
    <definedName name="data_17_1">#REF!</definedName>
    <definedName name="data_17_1_1" localSheetId="4">#REF!</definedName>
    <definedName name="data_17_1_1" localSheetId="2">#REF!</definedName>
    <definedName name="data_17_1_1" localSheetId="0">'[20]#REF!'!$A$7:$N$1203</definedName>
    <definedName name="data_17_1_1" localSheetId="7">#REF!</definedName>
    <definedName name="data_17_1_1" localSheetId="5">#REF!</definedName>
    <definedName name="data_17_1_1">#REF!</definedName>
    <definedName name="data_17_1_1_1" localSheetId="4">'[21]#REF!'!$A$7:$N$1190</definedName>
    <definedName name="data_17_1_1_1" localSheetId="0">#REF!</definedName>
    <definedName name="data_17_1_1_1">'[21]#REF!'!$A$7:$N$1190</definedName>
    <definedName name="data_17_1_1_1_1" localSheetId="4">'[21]#REF!'!$A$7:$N$1203</definedName>
    <definedName name="data_17_1_1_1_1" localSheetId="0">#REF!</definedName>
    <definedName name="data_17_1_1_1_1">'[21]#REF!'!$A$7:$N$1203</definedName>
    <definedName name="data_17_1_1_1_1_1" localSheetId="4">'[21]#REF!'!$A$7:$N$1203</definedName>
    <definedName name="data_17_1_1_1_1_1" localSheetId="0">#REF!</definedName>
    <definedName name="data_17_1_1_1_1_1">'[21]#REF!'!$A$7:$N$1203</definedName>
    <definedName name="data_17_1_1_2" localSheetId="4">'[21]#REF!'!$A$7:$N$1203</definedName>
    <definedName name="data_17_1_1_2" localSheetId="0">#REF!</definedName>
    <definedName name="data_17_1_1_2">'[21]#REF!'!$A$7:$N$1203</definedName>
    <definedName name="data_17_1_2" localSheetId="4">'[21]#REF!'!$A$7:$N$1190</definedName>
    <definedName name="data_17_1_2" localSheetId="0">#REF!</definedName>
    <definedName name="data_17_1_2">'[21]#REF!'!$A$7:$N$1190</definedName>
    <definedName name="data_17_2" localSheetId="4">#REF!</definedName>
    <definedName name="data_17_2" localSheetId="2">#REF!</definedName>
    <definedName name="data_17_2" localSheetId="0">'[20]#REF!'!$A$7:$N$1190</definedName>
    <definedName name="data_17_2" localSheetId="7">#REF!</definedName>
    <definedName name="data_17_2" localSheetId="5">#REF!</definedName>
    <definedName name="data_17_2">#REF!</definedName>
    <definedName name="data_17_2_1" localSheetId="4">'[21]#REF!'!$A$7:$N$1190</definedName>
    <definedName name="data_17_2_1" localSheetId="0">#REF!</definedName>
    <definedName name="data_17_2_1">'[21]#REF!'!$A$7:$N$1190</definedName>
    <definedName name="data_17_2_1_1" localSheetId="4">'[21]#REF!'!$A$7:$N$1190</definedName>
    <definedName name="data_17_2_1_1" localSheetId="0">#REF!</definedName>
    <definedName name="data_17_2_1_1">'[21]#REF!'!$A$7:$N$1190</definedName>
    <definedName name="data_17_2_2" localSheetId="4">'[21]#REF!'!$A$7:$N$1190</definedName>
    <definedName name="data_17_2_2" localSheetId="0">#REF!</definedName>
    <definedName name="data_17_2_2">'[21]#REF!'!$A$7:$N$1190</definedName>
    <definedName name="data_17_3" localSheetId="4">#REF!</definedName>
    <definedName name="data_17_3" localSheetId="2">#REF!</definedName>
    <definedName name="data_17_3" localSheetId="0">'[20]#REF!'!$A$7:$N$1203</definedName>
    <definedName name="data_17_3" localSheetId="7">#REF!</definedName>
    <definedName name="data_17_3" localSheetId="5">#REF!</definedName>
    <definedName name="data_17_3">#REF!</definedName>
    <definedName name="data_17_3_1" localSheetId="4">'[21]#REF!'!$A$7:$N$1203</definedName>
    <definedName name="data_17_3_1" localSheetId="0">#REF!</definedName>
    <definedName name="data_17_3_1">'[21]#REF!'!$A$7:$N$1203</definedName>
    <definedName name="data_17_3_2" localSheetId="4">'[21]#REF!'!$A$7:$N$1203</definedName>
    <definedName name="data_17_3_2" localSheetId="0">#REF!</definedName>
    <definedName name="data_17_3_2">'[21]#REF!'!$A$7:$N$1203</definedName>
    <definedName name="data_18" localSheetId="4">#REF!</definedName>
    <definedName name="data_18" localSheetId="2">#REF!</definedName>
    <definedName name="data_18" localSheetId="0">'[20]#REF!'!$A$7:$N$1178</definedName>
    <definedName name="data_18" localSheetId="7">#REF!</definedName>
    <definedName name="data_18" localSheetId="5">#REF!</definedName>
    <definedName name="data_18">#REF!</definedName>
    <definedName name="data_18_1" localSheetId="4">#REF!</definedName>
    <definedName name="data_18_1" localSheetId="2">#REF!</definedName>
    <definedName name="data_18_1" localSheetId="0">'[20]#REF!'!$A$7:$N$1178</definedName>
    <definedName name="data_18_1" localSheetId="7">#REF!</definedName>
    <definedName name="data_18_1" localSheetId="5">#REF!</definedName>
    <definedName name="data_18_1">#REF!</definedName>
    <definedName name="data_18_1_1" localSheetId="4">#REF!</definedName>
    <definedName name="data_18_1_1" localSheetId="2">#REF!</definedName>
    <definedName name="data_18_1_1" localSheetId="0">'[20]#REF!'!$A$7:$N$1191</definedName>
    <definedName name="data_18_1_1" localSheetId="7">#REF!</definedName>
    <definedName name="data_18_1_1" localSheetId="5">#REF!</definedName>
    <definedName name="data_18_1_1">#REF!</definedName>
    <definedName name="data_18_1_1_1" localSheetId="4">'[21]#REF!'!$A$7:$N$1178</definedName>
    <definedName name="data_18_1_1_1" localSheetId="0">#REF!</definedName>
    <definedName name="data_18_1_1_1">'[21]#REF!'!$A$7:$N$1178</definedName>
    <definedName name="data_18_1_1_1_1" localSheetId="4">'[21]#REF!'!$A$7:$N$1191</definedName>
    <definedName name="data_18_1_1_1_1" localSheetId="0">#REF!</definedName>
    <definedName name="data_18_1_1_1_1">'[21]#REF!'!$A$7:$N$1191</definedName>
    <definedName name="data_18_1_1_1_1_1" localSheetId="4">'[21]#REF!'!$A$7:$N$1191</definedName>
    <definedName name="data_18_1_1_1_1_1" localSheetId="0">#REF!</definedName>
    <definedName name="data_18_1_1_1_1_1">'[21]#REF!'!$A$7:$N$1191</definedName>
    <definedName name="data_18_1_1_2" localSheetId="4">'[21]#REF!'!$A$7:$N$1191</definedName>
    <definedName name="data_18_1_1_2" localSheetId="0">#REF!</definedName>
    <definedName name="data_18_1_1_2">'[21]#REF!'!$A$7:$N$1191</definedName>
    <definedName name="data_18_1_2" localSheetId="4">'[21]#REF!'!$A$7:$N$1178</definedName>
    <definedName name="data_18_1_2" localSheetId="0">#REF!</definedName>
    <definedName name="data_18_1_2">'[21]#REF!'!$A$7:$N$1178</definedName>
    <definedName name="data_18_2" localSheetId="4">#REF!</definedName>
    <definedName name="data_18_2" localSheetId="2">#REF!</definedName>
    <definedName name="data_18_2" localSheetId="0">'[20]#REF!'!$A$7:$N$1178</definedName>
    <definedName name="data_18_2" localSheetId="7">#REF!</definedName>
    <definedName name="data_18_2" localSheetId="5">#REF!</definedName>
    <definedName name="data_18_2">#REF!</definedName>
    <definedName name="data_18_2_1" localSheetId="4">'[21]#REF!'!$A$7:$N$1178</definedName>
    <definedName name="data_18_2_1" localSheetId="0">#REF!</definedName>
    <definedName name="data_18_2_1">'[21]#REF!'!$A$7:$N$1178</definedName>
    <definedName name="data_18_2_1_1" localSheetId="4">'[21]#REF!'!$A$7:$N$1178</definedName>
    <definedName name="data_18_2_1_1" localSheetId="0">#REF!</definedName>
    <definedName name="data_18_2_1_1">'[21]#REF!'!$A$7:$N$1178</definedName>
    <definedName name="data_18_2_2" localSheetId="4">'[21]#REF!'!$A$7:$N$1178</definedName>
    <definedName name="data_18_2_2" localSheetId="0">#REF!</definedName>
    <definedName name="data_18_2_2">'[21]#REF!'!$A$7:$N$1178</definedName>
    <definedName name="data_18_3" localSheetId="4">#REF!</definedName>
    <definedName name="data_18_3" localSheetId="2">#REF!</definedName>
    <definedName name="data_18_3" localSheetId="0">'[20]#REF!'!$A$7:$N$1191</definedName>
    <definedName name="data_18_3" localSheetId="7">#REF!</definedName>
    <definedName name="data_18_3" localSheetId="5">#REF!</definedName>
    <definedName name="data_18_3">#REF!</definedName>
    <definedName name="data_18_3_1" localSheetId="4">'[21]#REF!'!$A$7:$N$1191</definedName>
    <definedName name="data_18_3_1" localSheetId="0">#REF!</definedName>
    <definedName name="data_18_3_1">'[21]#REF!'!$A$7:$N$1191</definedName>
    <definedName name="data_18_3_2" localSheetId="4">'[21]#REF!'!$A$7:$N$1191</definedName>
    <definedName name="data_18_3_2" localSheetId="0">#REF!</definedName>
    <definedName name="data_18_3_2">'[21]#REF!'!$A$7:$N$1191</definedName>
    <definedName name="data_19" localSheetId="4">#REF!</definedName>
    <definedName name="data_19" localSheetId="2">#REF!</definedName>
    <definedName name="data_19" localSheetId="0">'[20]#REF!'!$A$6:$N$1181</definedName>
    <definedName name="data_19" localSheetId="7">#REF!</definedName>
    <definedName name="data_19" localSheetId="5">#REF!</definedName>
    <definedName name="data_19">#REF!</definedName>
    <definedName name="data_19_1" localSheetId="4">#REF!</definedName>
    <definedName name="data_19_1" localSheetId="2">#REF!</definedName>
    <definedName name="data_19_1" localSheetId="0">'[20]#REF!'!$A$6:$N$1181</definedName>
    <definedName name="data_19_1" localSheetId="7">#REF!</definedName>
    <definedName name="data_19_1" localSheetId="5">#REF!</definedName>
    <definedName name="data_19_1">#REF!</definedName>
    <definedName name="data_19_1_1" localSheetId="4">#REF!</definedName>
    <definedName name="data_19_1_1" localSheetId="2">#REF!</definedName>
    <definedName name="data_19_1_1" localSheetId="0">'[20]#REF!'!$A$6:$N$1194</definedName>
    <definedName name="data_19_1_1" localSheetId="7">#REF!</definedName>
    <definedName name="data_19_1_1" localSheetId="5">#REF!</definedName>
    <definedName name="data_19_1_1">#REF!</definedName>
    <definedName name="data_19_1_1_1" localSheetId="4">'[21]#REF!'!$A$6:$N$1181</definedName>
    <definedName name="data_19_1_1_1" localSheetId="0">#REF!</definedName>
    <definedName name="data_19_1_1_1">'[21]#REF!'!$A$6:$N$1181</definedName>
    <definedName name="data_19_1_1_1_1" localSheetId="4">'[21]#REF!'!$A$6:$N$1194</definedName>
    <definedName name="data_19_1_1_1_1" localSheetId="0">#REF!</definedName>
    <definedName name="data_19_1_1_1_1">'[21]#REF!'!$A$6:$N$1194</definedName>
    <definedName name="data_19_1_1_1_1_1" localSheetId="4">'[21]#REF!'!$A$6:$N$1194</definedName>
    <definedName name="data_19_1_1_1_1_1" localSheetId="0">#REF!</definedName>
    <definedName name="data_19_1_1_1_1_1">'[21]#REF!'!$A$6:$N$1194</definedName>
    <definedName name="data_19_1_1_2" localSheetId="4">'[21]#REF!'!$A$6:$N$1194</definedName>
    <definedName name="data_19_1_1_2" localSheetId="0">#REF!</definedName>
    <definedName name="data_19_1_1_2">'[21]#REF!'!$A$6:$N$1194</definedName>
    <definedName name="data_19_1_2" localSheetId="4">'[21]#REF!'!$A$6:$N$1181</definedName>
    <definedName name="data_19_1_2" localSheetId="0">#REF!</definedName>
    <definedName name="data_19_1_2">'[21]#REF!'!$A$6:$N$1181</definedName>
    <definedName name="data_19_2" localSheetId="4">#REF!</definedName>
    <definedName name="data_19_2" localSheetId="2">#REF!</definedName>
    <definedName name="data_19_2" localSheetId="0">'[20]#REF!'!$A$6:$N$1181</definedName>
    <definedName name="data_19_2" localSheetId="7">#REF!</definedName>
    <definedName name="data_19_2" localSheetId="5">#REF!</definedName>
    <definedName name="data_19_2">#REF!</definedName>
    <definedName name="data_19_2_1" localSheetId="4">'[21]#REF!'!$A$6:$N$1181</definedName>
    <definedName name="data_19_2_1" localSheetId="0">#REF!</definedName>
    <definedName name="data_19_2_1">'[21]#REF!'!$A$6:$N$1181</definedName>
    <definedName name="data_19_2_1_1" localSheetId="4">'[21]#REF!'!$A$6:$N$1181</definedName>
    <definedName name="data_19_2_1_1" localSheetId="0">#REF!</definedName>
    <definedName name="data_19_2_1_1">'[21]#REF!'!$A$6:$N$1181</definedName>
    <definedName name="data_19_2_2" localSheetId="4">'[21]#REF!'!$A$6:$N$1181</definedName>
    <definedName name="data_19_2_2" localSheetId="0">#REF!</definedName>
    <definedName name="data_19_2_2">'[21]#REF!'!$A$6:$N$1181</definedName>
    <definedName name="data_19_3" localSheetId="4">#REF!</definedName>
    <definedName name="data_19_3" localSheetId="2">#REF!</definedName>
    <definedName name="data_19_3" localSheetId="0">'[20]#REF!'!$A$6:$N$1194</definedName>
    <definedName name="data_19_3" localSheetId="7">#REF!</definedName>
    <definedName name="data_19_3" localSheetId="5">#REF!</definedName>
    <definedName name="data_19_3">#REF!</definedName>
    <definedName name="data_19_3_1" localSheetId="4">'[21]#REF!'!$A$6:$N$1194</definedName>
    <definedName name="data_19_3_1" localSheetId="0">#REF!</definedName>
    <definedName name="data_19_3_1">'[21]#REF!'!$A$6:$N$1194</definedName>
    <definedName name="data_19_3_2" localSheetId="4">'[21]#REF!'!$A$6:$N$1194</definedName>
    <definedName name="data_19_3_2" localSheetId="0">#REF!</definedName>
    <definedName name="data_19_3_2">'[21]#REF!'!$A$6:$N$1194</definedName>
    <definedName name="data_2" localSheetId="4">#REF!</definedName>
    <definedName name="data_2" localSheetId="2">#REF!</definedName>
    <definedName name="data_2" localSheetId="0">'[20]#REF!'!$A$7:$N$1205</definedName>
    <definedName name="data_2" localSheetId="7">#REF!</definedName>
    <definedName name="data_2" localSheetId="5">#REF!</definedName>
    <definedName name="data_2">#REF!</definedName>
    <definedName name="data_2_1" localSheetId="4">#REF!</definedName>
    <definedName name="data_2_1" localSheetId="2">#REF!</definedName>
    <definedName name="data_2_1" localSheetId="0">'[20]#REF!'!$A$7:$N$1195</definedName>
    <definedName name="data_2_1" localSheetId="7">#REF!</definedName>
    <definedName name="data_2_1" localSheetId="5">#REF!</definedName>
    <definedName name="data_2_1">#REF!</definedName>
    <definedName name="data_2_1_1" localSheetId="4">#REF!</definedName>
    <definedName name="data_2_1_1" localSheetId="2">#REF!</definedName>
    <definedName name="data_2_1_1" localSheetId="0">'[20]#REF!'!$A$7:$N$1195</definedName>
    <definedName name="data_2_1_1" localSheetId="7">#REF!</definedName>
    <definedName name="data_2_1_1" localSheetId="5">#REF!</definedName>
    <definedName name="data_2_1_1">#REF!</definedName>
    <definedName name="data_2_1_1_1" localSheetId="4">#REF!</definedName>
    <definedName name="data_2_1_1_1" localSheetId="2">#REF!</definedName>
    <definedName name="data_2_1_1_1" localSheetId="0">'[20]#REF!'!$A$7:$N$1208</definedName>
    <definedName name="data_2_1_1_1" localSheetId="7">#REF!</definedName>
    <definedName name="data_2_1_1_1" localSheetId="5">#REF!</definedName>
    <definedName name="data_2_1_1_1">#REF!</definedName>
    <definedName name="data_2_1_1_1_1" localSheetId="4">'[21]#REF!'!$A$7:$N$1195</definedName>
    <definedName name="data_2_1_1_1_1" localSheetId="0">#REF!</definedName>
    <definedName name="data_2_1_1_1_1">'[21]#REF!'!$A$7:$N$1195</definedName>
    <definedName name="data_2_1_1_1_1_1" localSheetId="4">'[21]#REF!'!$A$7:$N$1195</definedName>
    <definedName name="data_2_1_1_1_1_1" localSheetId="0">#REF!</definedName>
    <definedName name="data_2_1_1_1_1_1">'[21]#REF!'!$A$7:$N$1195</definedName>
    <definedName name="data_2_1_1_1_1_1_1" localSheetId="4">'[21]#REF!'!$A$7:$N$1195</definedName>
    <definedName name="data_2_1_1_1_1_1_1" localSheetId="0">#REF!</definedName>
    <definedName name="data_2_1_1_1_1_1_1">'[21]#REF!'!$A$7:$N$1195</definedName>
    <definedName name="data_2_1_1_1_1_1_1_1" localSheetId="4">'[21]#REF!'!$A$7:$N$1208</definedName>
    <definedName name="data_2_1_1_1_1_1_1_1" localSheetId="0">#REF!</definedName>
    <definedName name="data_2_1_1_1_1_1_1_1">'[21]#REF!'!$A$7:$N$1208</definedName>
    <definedName name="data_2_1_1_1_1_1_1_1_1" localSheetId="4">'[21]#REF!'!$A$7:$N$1208</definedName>
    <definedName name="data_2_1_1_1_1_1_1_1_1" localSheetId="0">#REF!</definedName>
    <definedName name="data_2_1_1_1_1_1_1_1_1">'[21]#REF!'!$A$7:$N$1208</definedName>
    <definedName name="data_2_1_1_1_2" localSheetId="4">'[21]#REF!'!$A$7:$N$1208</definedName>
    <definedName name="data_2_1_1_1_2" localSheetId="0">#REF!</definedName>
    <definedName name="data_2_1_1_1_2">'[21]#REF!'!$A$7:$N$1208</definedName>
    <definedName name="data_2_1_1_2" localSheetId="4">'[21]#REF!'!$A$7:$N$1195</definedName>
    <definedName name="data_2_1_1_2" localSheetId="0">#REF!</definedName>
    <definedName name="data_2_1_1_2">'[21]#REF!'!$A$7:$N$1195</definedName>
    <definedName name="data_2_1_2" localSheetId="4">'[21]#REF!'!$A$7:$N$1195</definedName>
    <definedName name="data_2_1_2" localSheetId="0">#REF!</definedName>
    <definedName name="data_2_1_2">'[21]#REF!'!$A$7:$N$1195</definedName>
    <definedName name="data_2_2" localSheetId="4">#REF!</definedName>
    <definedName name="data_2_2" localSheetId="2">#REF!</definedName>
    <definedName name="data_2_2" localSheetId="0">'[20]#REF!'!$A$7:$N$1195</definedName>
    <definedName name="data_2_2" localSheetId="7">#REF!</definedName>
    <definedName name="data_2_2" localSheetId="5">#REF!</definedName>
    <definedName name="data_2_2">#REF!</definedName>
    <definedName name="data_2_2_1" localSheetId="4">'[21]#REF!'!$A$7:$N$1195</definedName>
    <definedName name="data_2_2_1" localSheetId="0">#REF!</definedName>
    <definedName name="data_2_2_1">'[21]#REF!'!$A$7:$N$1195</definedName>
    <definedName name="data_2_2_1_1" localSheetId="4">'[21]#REF!'!$A$7:$N$1195</definedName>
    <definedName name="data_2_2_1_1" localSheetId="0">#REF!</definedName>
    <definedName name="data_2_2_1_1">'[21]#REF!'!$A$7:$N$1195</definedName>
    <definedName name="data_2_2_2" localSheetId="4">'[21]#REF!'!$A$7:$N$1195</definedName>
    <definedName name="data_2_2_2" localSheetId="0">#REF!</definedName>
    <definedName name="data_2_2_2">'[21]#REF!'!$A$7:$N$1195</definedName>
    <definedName name="data_2_3" localSheetId="4">#REF!</definedName>
    <definedName name="data_2_3" localSheetId="2">#REF!</definedName>
    <definedName name="data_2_3" localSheetId="0">'[20]#REF!'!$A$7:$N$1208</definedName>
    <definedName name="data_2_3" localSheetId="7">#REF!</definedName>
    <definedName name="data_2_3" localSheetId="5">#REF!</definedName>
    <definedName name="data_2_3">#REF!</definedName>
    <definedName name="data_2_3_1" localSheetId="4">'[21]#REF!'!$A$7:$N$1208</definedName>
    <definedName name="data_2_3_1" localSheetId="0">#REF!</definedName>
    <definedName name="data_2_3_1">'[21]#REF!'!$A$7:$N$1208</definedName>
    <definedName name="data_2_3_2" localSheetId="4">'[21]#REF!'!$A$7:$N$1208</definedName>
    <definedName name="data_2_3_2" localSheetId="0">#REF!</definedName>
    <definedName name="data_2_3_2">'[21]#REF!'!$A$7:$N$1208</definedName>
    <definedName name="data_20" localSheetId="4">#REF!</definedName>
    <definedName name="data_20" localSheetId="2">#REF!</definedName>
    <definedName name="data_20" localSheetId="0">'[20]#REF!'!$A$7:$N$1177</definedName>
    <definedName name="data_20" localSheetId="7">#REF!</definedName>
    <definedName name="data_20" localSheetId="5">#REF!</definedName>
    <definedName name="data_20">#REF!</definedName>
    <definedName name="data_20_1" localSheetId="4">#REF!</definedName>
    <definedName name="data_20_1" localSheetId="2">#REF!</definedName>
    <definedName name="data_20_1" localSheetId="0">'[20]#REF!'!$A$7:$N$1177</definedName>
    <definedName name="data_20_1" localSheetId="7">#REF!</definedName>
    <definedName name="data_20_1" localSheetId="5">#REF!</definedName>
    <definedName name="data_20_1">#REF!</definedName>
    <definedName name="data_20_1_1" localSheetId="4">#REF!</definedName>
    <definedName name="data_20_1_1" localSheetId="2">#REF!</definedName>
    <definedName name="data_20_1_1" localSheetId="0">'[20]#REF!'!$A$7:$N$1190</definedName>
    <definedName name="data_20_1_1" localSheetId="7">#REF!</definedName>
    <definedName name="data_20_1_1" localSheetId="5">#REF!</definedName>
    <definedName name="data_20_1_1">#REF!</definedName>
    <definedName name="data_20_1_1_1" localSheetId="4">'[21]#REF!'!$A$7:$N$1177</definedName>
    <definedName name="data_20_1_1_1" localSheetId="0">#REF!</definedName>
    <definedName name="data_20_1_1_1">'[21]#REF!'!$A$7:$N$1177</definedName>
    <definedName name="data_20_1_1_1_1" localSheetId="4">'[21]#REF!'!$A$7:$N$1190</definedName>
    <definedName name="data_20_1_1_1_1" localSheetId="0">#REF!</definedName>
    <definedName name="data_20_1_1_1_1">'[21]#REF!'!$A$7:$N$1190</definedName>
    <definedName name="data_20_1_1_1_1_1" localSheetId="4">'[21]#REF!'!$A$7:$N$1190</definedName>
    <definedName name="data_20_1_1_1_1_1" localSheetId="0">#REF!</definedName>
    <definedName name="data_20_1_1_1_1_1">'[21]#REF!'!$A$7:$N$1190</definedName>
    <definedName name="data_20_1_1_2" localSheetId="4">'[21]#REF!'!$A$7:$N$1190</definedName>
    <definedName name="data_20_1_1_2" localSheetId="0">#REF!</definedName>
    <definedName name="data_20_1_1_2">'[21]#REF!'!$A$7:$N$1190</definedName>
    <definedName name="data_20_1_2" localSheetId="4">'[21]#REF!'!$A$7:$N$1177</definedName>
    <definedName name="data_20_1_2" localSheetId="0">#REF!</definedName>
    <definedName name="data_20_1_2">'[21]#REF!'!$A$7:$N$1177</definedName>
    <definedName name="data_20_2" localSheetId="4">#REF!</definedName>
    <definedName name="data_20_2" localSheetId="2">#REF!</definedName>
    <definedName name="data_20_2" localSheetId="0">'[20]#REF!'!$A$7:$N$1177</definedName>
    <definedName name="data_20_2" localSheetId="7">#REF!</definedName>
    <definedName name="data_20_2" localSheetId="5">#REF!</definedName>
    <definedName name="data_20_2">#REF!</definedName>
    <definedName name="data_20_2_1" localSheetId="4">'[21]#REF!'!$A$7:$N$1177</definedName>
    <definedName name="data_20_2_1" localSheetId="0">#REF!</definedName>
    <definedName name="data_20_2_1">'[21]#REF!'!$A$7:$N$1177</definedName>
    <definedName name="data_20_2_1_1" localSheetId="4">'[21]#REF!'!$A$7:$N$1177</definedName>
    <definedName name="data_20_2_1_1" localSheetId="0">#REF!</definedName>
    <definedName name="data_20_2_1_1">'[21]#REF!'!$A$7:$N$1177</definedName>
    <definedName name="data_20_2_2" localSheetId="4">'[21]#REF!'!$A$7:$N$1177</definedName>
    <definedName name="data_20_2_2" localSheetId="0">#REF!</definedName>
    <definedName name="data_20_2_2">'[21]#REF!'!$A$7:$N$1177</definedName>
    <definedName name="data_20_3" localSheetId="4">#REF!</definedName>
    <definedName name="data_20_3" localSheetId="2">#REF!</definedName>
    <definedName name="data_20_3" localSheetId="0">'[20]#REF!'!$A$7:$N$1190</definedName>
    <definedName name="data_20_3" localSheetId="7">#REF!</definedName>
    <definedName name="data_20_3" localSheetId="5">#REF!</definedName>
    <definedName name="data_20_3">#REF!</definedName>
    <definedName name="data_20_3_1" localSheetId="4">'[21]#REF!'!$A$7:$N$1190</definedName>
    <definedName name="data_20_3_1" localSheetId="0">#REF!</definedName>
    <definedName name="data_20_3_1">'[21]#REF!'!$A$7:$N$1190</definedName>
    <definedName name="data_20_3_2" localSheetId="4">'[21]#REF!'!$A$7:$N$1190</definedName>
    <definedName name="data_20_3_2" localSheetId="0">#REF!</definedName>
    <definedName name="data_20_3_2">'[21]#REF!'!$A$7:$N$1190</definedName>
    <definedName name="data_21" localSheetId="4">#REF!</definedName>
    <definedName name="data_21" localSheetId="2">#REF!</definedName>
    <definedName name="data_21" localSheetId="0">'[20]#REF!'!$A$7:$N$1170</definedName>
    <definedName name="data_21" localSheetId="7">#REF!</definedName>
    <definedName name="data_21" localSheetId="5">#REF!</definedName>
    <definedName name="data_21">#REF!</definedName>
    <definedName name="data_21_1" localSheetId="4">#REF!</definedName>
    <definedName name="data_21_1" localSheetId="2">#REF!</definedName>
    <definedName name="data_21_1" localSheetId="0">'[20]#REF!'!$A$7:$N$1170</definedName>
    <definedName name="data_21_1" localSheetId="7">#REF!</definedName>
    <definedName name="data_21_1" localSheetId="5">#REF!</definedName>
    <definedName name="data_21_1">#REF!</definedName>
    <definedName name="data_21_1_1" localSheetId="4">#REF!</definedName>
    <definedName name="data_21_1_1" localSheetId="2">#REF!</definedName>
    <definedName name="data_21_1_1" localSheetId="0">'[20]#REF!'!$A$7:$N$1183</definedName>
    <definedName name="data_21_1_1" localSheetId="7">#REF!</definedName>
    <definedName name="data_21_1_1" localSheetId="5">#REF!</definedName>
    <definedName name="data_21_1_1">#REF!</definedName>
    <definedName name="data_21_1_1_1" localSheetId="4">'[21]#REF!'!$A$7:$N$1170</definedName>
    <definedName name="data_21_1_1_1" localSheetId="0">#REF!</definedName>
    <definedName name="data_21_1_1_1">'[21]#REF!'!$A$7:$N$1170</definedName>
    <definedName name="data_21_1_1_1_1" localSheetId="4">'[21]#REF!'!$A$7:$N$1183</definedName>
    <definedName name="data_21_1_1_1_1" localSheetId="0">#REF!</definedName>
    <definedName name="data_21_1_1_1_1">'[21]#REF!'!$A$7:$N$1183</definedName>
    <definedName name="data_21_1_1_1_1_1" localSheetId="4">'[21]#REF!'!$A$7:$N$1183</definedName>
    <definedName name="data_21_1_1_1_1_1" localSheetId="0">#REF!</definedName>
    <definedName name="data_21_1_1_1_1_1">'[21]#REF!'!$A$7:$N$1183</definedName>
    <definedName name="data_21_1_1_2" localSheetId="4">'[21]#REF!'!$A$7:$N$1183</definedName>
    <definedName name="data_21_1_1_2" localSheetId="0">#REF!</definedName>
    <definedName name="data_21_1_1_2">'[21]#REF!'!$A$7:$N$1183</definedName>
    <definedName name="data_21_1_2" localSheetId="4">'[21]#REF!'!$A$7:$N$1170</definedName>
    <definedName name="data_21_1_2" localSheetId="0">#REF!</definedName>
    <definedName name="data_21_1_2">'[21]#REF!'!$A$7:$N$1170</definedName>
    <definedName name="data_21_2" localSheetId="4">#REF!</definedName>
    <definedName name="data_21_2" localSheetId="2">#REF!</definedName>
    <definedName name="data_21_2" localSheetId="0">'[20]#REF!'!$A$7:$N$1170</definedName>
    <definedName name="data_21_2" localSheetId="7">#REF!</definedName>
    <definedName name="data_21_2" localSheetId="5">#REF!</definedName>
    <definedName name="data_21_2">#REF!</definedName>
    <definedName name="data_21_2_1" localSheetId="4">'[21]#REF!'!$A$7:$N$1170</definedName>
    <definedName name="data_21_2_1" localSheetId="0">#REF!</definedName>
    <definedName name="data_21_2_1">'[21]#REF!'!$A$7:$N$1170</definedName>
    <definedName name="data_21_2_1_1" localSheetId="4">'[21]#REF!'!$A$7:$N$1170</definedName>
    <definedName name="data_21_2_1_1" localSheetId="0">#REF!</definedName>
    <definedName name="data_21_2_1_1">'[21]#REF!'!$A$7:$N$1170</definedName>
    <definedName name="data_21_2_2" localSheetId="4">'[21]#REF!'!$A$7:$N$1170</definedName>
    <definedName name="data_21_2_2" localSheetId="0">#REF!</definedName>
    <definedName name="data_21_2_2">'[21]#REF!'!$A$7:$N$1170</definedName>
    <definedName name="data_21_3" localSheetId="4">#REF!</definedName>
    <definedName name="data_21_3" localSheetId="2">#REF!</definedName>
    <definedName name="data_21_3" localSheetId="0">'[20]#REF!'!$A$7:$N$1183</definedName>
    <definedName name="data_21_3" localSheetId="7">#REF!</definedName>
    <definedName name="data_21_3" localSheetId="5">#REF!</definedName>
    <definedName name="data_21_3">#REF!</definedName>
    <definedName name="data_21_3_1" localSheetId="4">'[21]#REF!'!$A$7:$N$1183</definedName>
    <definedName name="data_21_3_1" localSheetId="0">#REF!</definedName>
    <definedName name="data_21_3_1">'[21]#REF!'!$A$7:$N$1183</definedName>
    <definedName name="data_21_3_2" localSheetId="4">'[21]#REF!'!$A$7:$N$1183</definedName>
    <definedName name="data_21_3_2" localSheetId="0">#REF!</definedName>
    <definedName name="data_21_3_2">'[21]#REF!'!$A$7:$N$1183</definedName>
    <definedName name="data_22" localSheetId="4">#REF!</definedName>
    <definedName name="data_22" localSheetId="2">#REF!</definedName>
    <definedName name="data_22" localSheetId="0">'[20]#REF!'!$A$26:$N$1169</definedName>
    <definedName name="data_22" localSheetId="7">#REF!</definedName>
    <definedName name="data_22" localSheetId="5">#REF!</definedName>
    <definedName name="data_22">#REF!</definedName>
    <definedName name="data_22_1" localSheetId="4">#REF!</definedName>
    <definedName name="data_22_1" localSheetId="2">#REF!</definedName>
    <definedName name="data_22_1" localSheetId="0">'[20]#REF!'!$A$26:$N$1169</definedName>
    <definedName name="data_22_1" localSheetId="7">#REF!</definedName>
    <definedName name="data_22_1" localSheetId="5">#REF!</definedName>
    <definedName name="data_22_1">#REF!</definedName>
    <definedName name="data_22_1_1" localSheetId="4">#REF!</definedName>
    <definedName name="data_22_1_1" localSheetId="2">#REF!</definedName>
    <definedName name="data_22_1_1" localSheetId="0">'[20]#REF!'!$A$26:$N$1182</definedName>
    <definedName name="data_22_1_1" localSheetId="7">#REF!</definedName>
    <definedName name="data_22_1_1" localSheetId="5">#REF!</definedName>
    <definedName name="data_22_1_1">#REF!</definedName>
    <definedName name="data_22_1_1_1" localSheetId="4">'[21]#REF!'!$A$26:$N$1169</definedName>
    <definedName name="data_22_1_1_1" localSheetId="0">#REF!</definedName>
    <definedName name="data_22_1_1_1">'[21]#REF!'!$A$26:$N$1169</definedName>
    <definedName name="data_22_1_1_1_1" localSheetId="4">'[21]#REF!'!$A$26:$N$1182</definedName>
    <definedName name="data_22_1_1_1_1" localSheetId="0">#REF!</definedName>
    <definedName name="data_22_1_1_1_1">'[21]#REF!'!$A$26:$N$1182</definedName>
    <definedName name="data_22_1_1_1_1_1" localSheetId="4">'[21]#REF!'!$A$26:$N$1182</definedName>
    <definedName name="data_22_1_1_1_1_1" localSheetId="0">#REF!</definedName>
    <definedName name="data_22_1_1_1_1_1">'[21]#REF!'!$A$26:$N$1182</definedName>
    <definedName name="data_22_1_1_2" localSheetId="4">'[21]#REF!'!$A$26:$N$1182</definedName>
    <definedName name="data_22_1_1_2" localSheetId="0">#REF!</definedName>
    <definedName name="data_22_1_1_2">'[21]#REF!'!$A$26:$N$1182</definedName>
    <definedName name="data_22_1_2" localSheetId="4">'[21]#REF!'!$A$26:$N$1169</definedName>
    <definedName name="data_22_1_2" localSheetId="0">#REF!</definedName>
    <definedName name="data_22_1_2">'[21]#REF!'!$A$26:$N$1169</definedName>
    <definedName name="data_22_2" localSheetId="4">#REF!</definedName>
    <definedName name="data_22_2" localSheetId="2">#REF!</definedName>
    <definedName name="data_22_2" localSheetId="0">'[20]#REF!'!$A$26:$N$1169</definedName>
    <definedName name="data_22_2" localSheetId="7">#REF!</definedName>
    <definedName name="data_22_2" localSheetId="5">#REF!</definedName>
    <definedName name="data_22_2">#REF!</definedName>
    <definedName name="data_22_2_1" localSheetId="4">'[21]#REF!'!$A$26:$N$1169</definedName>
    <definedName name="data_22_2_1" localSheetId="0">#REF!</definedName>
    <definedName name="data_22_2_1">'[21]#REF!'!$A$26:$N$1169</definedName>
    <definedName name="data_22_2_1_1" localSheetId="4">'[21]#REF!'!$A$26:$N$1169</definedName>
    <definedName name="data_22_2_1_1" localSheetId="0">#REF!</definedName>
    <definedName name="data_22_2_1_1">'[21]#REF!'!$A$26:$N$1169</definedName>
    <definedName name="data_22_2_2" localSheetId="4">'[21]#REF!'!$A$26:$N$1169</definedName>
    <definedName name="data_22_2_2" localSheetId="0">#REF!</definedName>
    <definedName name="data_22_2_2">'[21]#REF!'!$A$26:$N$1169</definedName>
    <definedName name="data_22_3" localSheetId="4">#REF!</definedName>
    <definedName name="data_22_3" localSheetId="2">#REF!</definedName>
    <definedName name="data_22_3" localSheetId="0">'[20]#REF!'!$A$26:$N$1182</definedName>
    <definedName name="data_22_3" localSheetId="7">#REF!</definedName>
    <definedName name="data_22_3" localSheetId="5">#REF!</definedName>
    <definedName name="data_22_3">#REF!</definedName>
    <definedName name="data_22_3_1" localSheetId="4">'[21]#REF!'!$A$26:$N$1182</definedName>
    <definedName name="data_22_3_1" localSheetId="0">#REF!</definedName>
    <definedName name="data_22_3_1">'[21]#REF!'!$A$26:$N$1182</definedName>
    <definedName name="data_22_3_2" localSheetId="4">'[21]#REF!'!$A$26:$N$1182</definedName>
    <definedName name="data_22_3_2" localSheetId="0">#REF!</definedName>
    <definedName name="data_22_3_2">'[21]#REF!'!$A$26:$N$1182</definedName>
    <definedName name="data_23" localSheetId="4">#REF!</definedName>
    <definedName name="data_23" localSheetId="2">#REF!</definedName>
    <definedName name="data_23" localSheetId="0">'[20]#REF!'!$A$26:$N$1169</definedName>
    <definedName name="data_23" localSheetId="7">#REF!</definedName>
    <definedName name="data_23" localSheetId="5">#REF!</definedName>
    <definedName name="data_23">#REF!</definedName>
    <definedName name="data_23_1" localSheetId="4">#REF!</definedName>
    <definedName name="data_23_1" localSheetId="2">#REF!</definedName>
    <definedName name="data_23_1" localSheetId="0">'[20]#REF!'!$A$26:$N$1169</definedName>
    <definedName name="data_23_1" localSheetId="7">#REF!</definedName>
    <definedName name="data_23_1" localSheetId="5">#REF!</definedName>
    <definedName name="data_23_1">#REF!</definedName>
    <definedName name="data_23_1_1" localSheetId="4">#REF!</definedName>
    <definedName name="data_23_1_1" localSheetId="2">#REF!</definedName>
    <definedName name="data_23_1_1" localSheetId="0">'[20]#REF!'!$A$26:$N$1182</definedName>
    <definedName name="data_23_1_1" localSheetId="7">#REF!</definedName>
    <definedName name="data_23_1_1" localSheetId="5">#REF!</definedName>
    <definedName name="data_23_1_1">#REF!</definedName>
    <definedName name="data_23_1_1_1" localSheetId="4">'[21]#REF!'!$A$26:$N$1169</definedName>
    <definedName name="data_23_1_1_1" localSheetId="0">#REF!</definedName>
    <definedName name="data_23_1_1_1">'[21]#REF!'!$A$26:$N$1169</definedName>
    <definedName name="data_23_1_1_1_1" localSheetId="4">'[21]#REF!'!$A$26:$N$1182</definedName>
    <definedName name="data_23_1_1_1_1" localSheetId="0">#REF!</definedName>
    <definedName name="data_23_1_1_1_1">'[21]#REF!'!$A$26:$N$1182</definedName>
    <definedName name="data_23_1_1_1_1_1" localSheetId="4">'[21]#REF!'!$A$26:$N$1182</definedName>
    <definedName name="data_23_1_1_1_1_1" localSheetId="0">#REF!</definedName>
    <definedName name="data_23_1_1_1_1_1">'[21]#REF!'!$A$26:$N$1182</definedName>
    <definedName name="data_23_1_1_2" localSheetId="4">'[21]#REF!'!$A$26:$N$1182</definedName>
    <definedName name="data_23_1_1_2" localSheetId="0">#REF!</definedName>
    <definedName name="data_23_1_1_2">'[21]#REF!'!$A$26:$N$1182</definedName>
    <definedName name="data_23_1_2" localSheetId="4">'[21]#REF!'!$A$26:$N$1169</definedName>
    <definedName name="data_23_1_2" localSheetId="0">#REF!</definedName>
    <definedName name="data_23_1_2">'[21]#REF!'!$A$26:$N$1169</definedName>
    <definedName name="data_23_2" localSheetId="4">#REF!</definedName>
    <definedName name="data_23_2" localSheetId="2">#REF!</definedName>
    <definedName name="data_23_2" localSheetId="0">'[20]#REF!'!$A$26:$N$1169</definedName>
    <definedName name="data_23_2" localSheetId="7">#REF!</definedName>
    <definedName name="data_23_2" localSheetId="5">#REF!</definedName>
    <definedName name="data_23_2">#REF!</definedName>
    <definedName name="data_23_2_1" localSheetId="4">'[21]#REF!'!$A$26:$N$1169</definedName>
    <definedName name="data_23_2_1" localSheetId="0">#REF!</definedName>
    <definedName name="data_23_2_1">'[21]#REF!'!$A$26:$N$1169</definedName>
    <definedName name="data_23_2_1_1" localSheetId="4">'[21]#REF!'!$A$26:$N$1169</definedName>
    <definedName name="data_23_2_1_1" localSheetId="0">#REF!</definedName>
    <definedName name="data_23_2_1_1">'[21]#REF!'!$A$26:$N$1169</definedName>
    <definedName name="data_23_2_2" localSheetId="4">'[21]#REF!'!$A$26:$N$1169</definedName>
    <definedName name="data_23_2_2" localSheetId="0">#REF!</definedName>
    <definedName name="data_23_2_2">'[21]#REF!'!$A$26:$N$1169</definedName>
    <definedName name="data_23_3" localSheetId="4">#REF!</definedName>
    <definedName name="data_23_3" localSheetId="2">#REF!</definedName>
    <definedName name="data_23_3" localSheetId="0">'[20]#REF!'!$A$26:$N$1182</definedName>
    <definedName name="data_23_3" localSheetId="7">#REF!</definedName>
    <definedName name="data_23_3" localSheetId="5">#REF!</definedName>
    <definedName name="data_23_3">#REF!</definedName>
    <definedName name="data_23_3_1" localSheetId="4">'[21]#REF!'!$A$26:$N$1182</definedName>
    <definedName name="data_23_3_1" localSheetId="0">#REF!</definedName>
    <definedName name="data_23_3_1">'[21]#REF!'!$A$26:$N$1182</definedName>
    <definedName name="data_23_3_2" localSheetId="4">'[21]#REF!'!$A$26:$N$1182</definedName>
    <definedName name="data_23_3_2" localSheetId="0">#REF!</definedName>
    <definedName name="data_23_3_2">'[21]#REF!'!$A$26:$N$1182</definedName>
    <definedName name="data_24" localSheetId="4">#REF!</definedName>
    <definedName name="data_24" localSheetId="2">#REF!</definedName>
    <definedName name="data_24" localSheetId="0">'[20]#REF!'!$A$8:$N$1174</definedName>
    <definedName name="data_24" localSheetId="7">#REF!</definedName>
    <definedName name="data_24" localSheetId="5">#REF!</definedName>
    <definedName name="data_24">#REF!</definedName>
    <definedName name="data_24_1" localSheetId="4">#REF!</definedName>
    <definedName name="data_24_1" localSheetId="2">#REF!</definedName>
    <definedName name="data_24_1" localSheetId="0">'[20]#REF!'!$A$8:$N$1174</definedName>
    <definedName name="data_24_1" localSheetId="7">#REF!</definedName>
    <definedName name="data_24_1" localSheetId="5">#REF!</definedName>
    <definedName name="data_24_1">#REF!</definedName>
    <definedName name="data_24_1_1" localSheetId="4">#REF!</definedName>
    <definedName name="data_24_1_1" localSheetId="2">#REF!</definedName>
    <definedName name="data_24_1_1" localSheetId="0">'[20]#REF!'!$A$8:$N$1187</definedName>
    <definedName name="data_24_1_1" localSheetId="7">#REF!</definedName>
    <definedName name="data_24_1_1" localSheetId="5">#REF!</definedName>
    <definedName name="data_24_1_1">#REF!</definedName>
    <definedName name="data_24_1_1_1" localSheetId="4">'[21]#REF!'!$A$8:$N$1174</definedName>
    <definedName name="data_24_1_1_1" localSheetId="0">#REF!</definedName>
    <definedName name="data_24_1_1_1">'[21]#REF!'!$A$8:$N$1174</definedName>
    <definedName name="data_24_1_1_1_1" localSheetId="4">'[21]#REF!'!$A$8:$N$1187</definedName>
    <definedName name="data_24_1_1_1_1" localSheetId="0">#REF!</definedName>
    <definedName name="data_24_1_1_1_1">'[21]#REF!'!$A$8:$N$1187</definedName>
    <definedName name="data_24_1_1_1_1_1" localSheetId="4">'[21]#REF!'!$A$8:$N$1187</definedName>
    <definedName name="data_24_1_1_1_1_1" localSheetId="0">#REF!</definedName>
    <definedName name="data_24_1_1_1_1_1">'[21]#REF!'!$A$8:$N$1187</definedName>
    <definedName name="data_24_1_1_2" localSheetId="4">'[21]#REF!'!$A$8:$N$1187</definedName>
    <definedName name="data_24_1_1_2" localSheetId="0">#REF!</definedName>
    <definedName name="data_24_1_1_2">'[21]#REF!'!$A$8:$N$1187</definedName>
    <definedName name="data_24_1_2" localSheetId="4">'[21]#REF!'!$A$8:$N$1174</definedName>
    <definedName name="data_24_1_2" localSheetId="0">#REF!</definedName>
    <definedName name="data_24_1_2">'[21]#REF!'!$A$8:$N$1174</definedName>
    <definedName name="data_24_2" localSheetId="4">#REF!</definedName>
    <definedName name="data_24_2" localSheetId="2">#REF!</definedName>
    <definedName name="data_24_2" localSheetId="0">'[20]#REF!'!$A$8:$N$1174</definedName>
    <definedName name="data_24_2" localSheetId="7">#REF!</definedName>
    <definedName name="data_24_2" localSheetId="5">#REF!</definedName>
    <definedName name="data_24_2">#REF!</definedName>
    <definedName name="data_24_2_1" localSheetId="4">'[21]#REF!'!$A$8:$N$1174</definedName>
    <definedName name="data_24_2_1" localSheetId="0">#REF!</definedName>
    <definedName name="data_24_2_1">'[21]#REF!'!$A$8:$N$1174</definedName>
    <definedName name="data_24_2_1_1" localSheetId="4">'[21]#REF!'!$A$8:$N$1174</definedName>
    <definedName name="data_24_2_1_1" localSheetId="0">#REF!</definedName>
    <definedName name="data_24_2_1_1">'[21]#REF!'!$A$8:$N$1174</definedName>
    <definedName name="data_24_2_2" localSheetId="4">'[21]#REF!'!$A$8:$N$1174</definedName>
    <definedName name="data_24_2_2" localSheetId="0">#REF!</definedName>
    <definedName name="data_24_2_2">'[21]#REF!'!$A$8:$N$1174</definedName>
    <definedName name="data_24_3" localSheetId="4">#REF!</definedName>
    <definedName name="data_24_3" localSheetId="2">#REF!</definedName>
    <definedName name="data_24_3" localSheetId="0">'[20]#REF!'!$A$8:$N$1187</definedName>
    <definedName name="data_24_3" localSheetId="7">#REF!</definedName>
    <definedName name="data_24_3" localSheetId="5">#REF!</definedName>
    <definedName name="data_24_3">#REF!</definedName>
    <definedName name="data_24_3_1" localSheetId="4">'[21]#REF!'!$A$8:$N$1187</definedName>
    <definedName name="data_24_3_1" localSheetId="0">#REF!</definedName>
    <definedName name="data_24_3_1">'[21]#REF!'!$A$8:$N$1187</definedName>
    <definedName name="data_24_3_2" localSheetId="4">'[21]#REF!'!$A$8:$N$1187</definedName>
    <definedName name="data_24_3_2" localSheetId="0">#REF!</definedName>
    <definedName name="data_24_3_2">'[21]#REF!'!$A$8:$N$1187</definedName>
    <definedName name="data_25" localSheetId="4">#REF!</definedName>
    <definedName name="data_25" localSheetId="2">#REF!</definedName>
    <definedName name="data_25" localSheetId="0">'[20]#REF!'!$A$22:$N$1174</definedName>
    <definedName name="data_25" localSheetId="7">#REF!</definedName>
    <definedName name="data_25" localSheetId="5">#REF!</definedName>
    <definedName name="data_25">#REF!</definedName>
    <definedName name="data_25_1" localSheetId="4">'[21]#REF!'!$A$22:$N$1174</definedName>
    <definedName name="data_25_1" localSheetId="0">#REF!</definedName>
    <definedName name="data_25_1">'[21]#REF!'!$A$22:$N$1174</definedName>
    <definedName name="data_25_2" localSheetId="4">'[21]#REF!'!$A$22:$N$1174</definedName>
    <definedName name="data_25_2" localSheetId="0">#REF!</definedName>
    <definedName name="data_25_2">'[21]#REF!'!$A$22:$N$1174</definedName>
    <definedName name="data_26" localSheetId="4">#REF!</definedName>
    <definedName name="data_26" localSheetId="2">#REF!</definedName>
    <definedName name="data_26" localSheetId="0">'[20]#REF!'!$A$21:$N$1160</definedName>
    <definedName name="data_26" localSheetId="7">#REF!</definedName>
    <definedName name="data_26" localSheetId="5">#REF!</definedName>
    <definedName name="data_26">#REF!</definedName>
    <definedName name="data_26_1" localSheetId="4">'[21]#REF!'!$A$21:$N$1160</definedName>
    <definedName name="data_26_1" localSheetId="0">#REF!</definedName>
    <definedName name="data_26_1">'[21]#REF!'!$A$21:$N$1160</definedName>
    <definedName name="data_26_2" localSheetId="4">'[21]#REF!'!$A$21:$N$1160</definedName>
    <definedName name="data_26_2" localSheetId="0">#REF!</definedName>
    <definedName name="data_26_2">'[21]#REF!'!$A$21:$N$1160</definedName>
    <definedName name="data_27" localSheetId="4">#REF!</definedName>
    <definedName name="data_27" localSheetId="2">#REF!</definedName>
    <definedName name="data_27" localSheetId="0">'[20]#REF!'!$A$8:$N$1182</definedName>
    <definedName name="data_27" localSheetId="7">#REF!</definedName>
    <definedName name="data_27" localSheetId="5">#REF!</definedName>
    <definedName name="data_27">#REF!</definedName>
    <definedName name="data_27_1" localSheetId="4">#REF!</definedName>
    <definedName name="data_27_1" localSheetId="2">#REF!</definedName>
    <definedName name="data_27_1" localSheetId="0">'[20]#REF!'!$A$8:$N$1182</definedName>
    <definedName name="data_27_1" localSheetId="7">#REF!</definedName>
    <definedName name="data_27_1" localSheetId="5">#REF!</definedName>
    <definedName name="data_27_1">#REF!</definedName>
    <definedName name="data_27_1_1" localSheetId="4">#REF!</definedName>
    <definedName name="data_27_1_1" localSheetId="2">#REF!</definedName>
    <definedName name="data_27_1_1" localSheetId="0">'[20]#REF!'!$A$8:$N$1195</definedName>
    <definedName name="data_27_1_1" localSheetId="7">#REF!</definedName>
    <definedName name="data_27_1_1" localSheetId="5">#REF!</definedName>
    <definedName name="data_27_1_1">#REF!</definedName>
    <definedName name="data_27_1_1_1" localSheetId="4">'[21]#REF!'!$A$8:$N$1182</definedName>
    <definedName name="data_27_1_1_1" localSheetId="0">#REF!</definedName>
    <definedName name="data_27_1_1_1">'[21]#REF!'!$A$8:$N$1182</definedName>
    <definedName name="data_27_1_1_1_1" localSheetId="4">'[21]#REF!'!$A$8:$N$1195</definedName>
    <definedName name="data_27_1_1_1_1" localSheetId="0">#REF!</definedName>
    <definedName name="data_27_1_1_1_1">'[21]#REF!'!$A$8:$N$1195</definedName>
    <definedName name="data_27_1_1_1_1_1" localSheetId="4">'[21]#REF!'!$A$8:$N$1195</definedName>
    <definedName name="data_27_1_1_1_1_1" localSheetId="0">#REF!</definedName>
    <definedName name="data_27_1_1_1_1_1">'[21]#REF!'!$A$8:$N$1195</definedName>
    <definedName name="data_27_1_1_2" localSheetId="4">'[21]#REF!'!$A$8:$N$1195</definedName>
    <definedName name="data_27_1_1_2" localSheetId="0">#REF!</definedName>
    <definedName name="data_27_1_1_2">'[21]#REF!'!$A$8:$N$1195</definedName>
    <definedName name="data_27_1_2" localSheetId="4">'[21]#REF!'!$A$8:$N$1182</definedName>
    <definedName name="data_27_1_2" localSheetId="0">#REF!</definedName>
    <definedName name="data_27_1_2">'[21]#REF!'!$A$8:$N$1182</definedName>
    <definedName name="data_27_2" localSheetId="4">#REF!</definedName>
    <definedName name="data_27_2" localSheetId="2">#REF!</definedName>
    <definedName name="data_27_2" localSheetId="0">'[20]#REF!'!$A$8:$N$1182</definedName>
    <definedName name="data_27_2" localSheetId="7">#REF!</definedName>
    <definedName name="data_27_2" localSheetId="5">#REF!</definedName>
    <definedName name="data_27_2">#REF!</definedName>
    <definedName name="data_27_2_1" localSheetId="4">'[21]#REF!'!$A$8:$N$1182</definedName>
    <definedName name="data_27_2_1" localSheetId="0">#REF!</definedName>
    <definedName name="data_27_2_1">'[21]#REF!'!$A$8:$N$1182</definedName>
    <definedName name="data_27_2_1_1" localSheetId="4">'[21]#REF!'!$A$8:$N$1182</definedName>
    <definedName name="data_27_2_1_1" localSheetId="0">#REF!</definedName>
    <definedName name="data_27_2_1_1">'[21]#REF!'!$A$8:$N$1182</definedName>
    <definedName name="data_27_2_2" localSheetId="4">'[21]#REF!'!$A$8:$N$1182</definedName>
    <definedName name="data_27_2_2" localSheetId="0">#REF!</definedName>
    <definedName name="data_27_2_2">'[21]#REF!'!$A$8:$N$1182</definedName>
    <definedName name="data_27_3" localSheetId="4">#REF!</definedName>
    <definedName name="data_27_3" localSheetId="2">#REF!</definedName>
    <definedName name="data_27_3" localSheetId="0">'[20]#REF!'!$A$8:$N$1195</definedName>
    <definedName name="data_27_3" localSheetId="7">#REF!</definedName>
    <definedName name="data_27_3" localSheetId="5">#REF!</definedName>
    <definedName name="data_27_3">#REF!</definedName>
    <definedName name="data_27_3_1" localSheetId="4">'[21]#REF!'!$A$8:$N$1195</definedName>
    <definedName name="data_27_3_1" localSheetId="0">#REF!</definedName>
    <definedName name="data_27_3_1">'[21]#REF!'!$A$8:$N$1195</definedName>
    <definedName name="data_27_3_2" localSheetId="4">'[21]#REF!'!$A$8:$N$1195</definedName>
    <definedName name="data_27_3_2" localSheetId="0">#REF!</definedName>
    <definedName name="data_27_3_2">'[21]#REF!'!$A$8:$N$1195</definedName>
    <definedName name="data_28" localSheetId="4">#REF!</definedName>
    <definedName name="data_28" localSheetId="2">#REF!</definedName>
    <definedName name="data_28" localSheetId="0">'[20]#REF!'!$A$8:$N$1186</definedName>
    <definedName name="data_28" localSheetId="7">#REF!</definedName>
    <definedName name="data_28" localSheetId="5">#REF!</definedName>
    <definedName name="data_28">#REF!</definedName>
    <definedName name="data_28_1" localSheetId="4">#REF!</definedName>
    <definedName name="data_28_1" localSheetId="2">#REF!</definedName>
    <definedName name="data_28_1" localSheetId="0">'[20]#REF!'!$A$8:$N$1186</definedName>
    <definedName name="data_28_1" localSheetId="7">#REF!</definedName>
    <definedName name="data_28_1" localSheetId="5">#REF!</definedName>
    <definedName name="data_28_1">#REF!</definedName>
    <definedName name="data_28_1_1" localSheetId="4">#REF!</definedName>
    <definedName name="data_28_1_1" localSheetId="2">#REF!</definedName>
    <definedName name="data_28_1_1" localSheetId="0">'[20]#REF!'!$A$8:$N$1199</definedName>
    <definedName name="data_28_1_1" localSheetId="7">#REF!</definedName>
    <definedName name="data_28_1_1" localSheetId="5">#REF!</definedName>
    <definedName name="data_28_1_1">#REF!</definedName>
    <definedName name="data_28_1_1_1" localSheetId="4">'[21]#REF!'!$A$8:$N$1186</definedName>
    <definedName name="data_28_1_1_1" localSheetId="0">#REF!</definedName>
    <definedName name="data_28_1_1_1">'[21]#REF!'!$A$8:$N$1186</definedName>
    <definedName name="data_28_1_1_1_1" localSheetId="4">'[21]#REF!'!$A$8:$N$1199</definedName>
    <definedName name="data_28_1_1_1_1" localSheetId="0">#REF!</definedName>
    <definedName name="data_28_1_1_1_1">'[21]#REF!'!$A$8:$N$1199</definedName>
    <definedName name="data_28_1_1_1_1_1" localSheetId="4">'[21]#REF!'!$A$8:$N$1199</definedName>
    <definedName name="data_28_1_1_1_1_1" localSheetId="0">#REF!</definedName>
    <definedName name="data_28_1_1_1_1_1">'[21]#REF!'!$A$8:$N$1199</definedName>
    <definedName name="data_28_1_1_2" localSheetId="4">'[21]#REF!'!$A$8:$N$1199</definedName>
    <definedName name="data_28_1_1_2" localSheetId="0">#REF!</definedName>
    <definedName name="data_28_1_1_2">'[21]#REF!'!$A$8:$N$1199</definedName>
    <definedName name="data_28_1_2" localSheetId="4">'[21]#REF!'!$A$8:$N$1186</definedName>
    <definedName name="data_28_1_2" localSheetId="0">#REF!</definedName>
    <definedName name="data_28_1_2">'[21]#REF!'!$A$8:$N$1186</definedName>
    <definedName name="data_28_2" localSheetId="4">#REF!</definedName>
    <definedName name="data_28_2" localSheetId="2">#REF!</definedName>
    <definedName name="data_28_2" localSheetId="0">'[20]#REF!'!$A$8:$N$1186</definedName>
    <definedName name="data_28_2" localSheetId="7">#REF!</definedName>
    <definedName name="data_28_2" localSheetId="5">#REF!</definedName>
    <definedName name="data_28_2">#REF!</definedName>
    <definedName name="data_28_2_1" localSheetId="4">'[21]#REF!'!$A$8:$N$1186</definedName>
    <definedName name="data_28_2_1" localSheetId="0">#REF!</definedName>
    <definedName name="data_28_2_1">'[21]#REF!'!$A$8:$N$1186</definedName>
    <definedName name="data_28_2_1_1" localSheetId="4">'[21]#REF!'!$A$8:$N$1186</definedName>
    <definedName name="data_28_2_1_1" localSheetId="0">#REF!</definedName>
    <definedName name="data_28_2_1_1">'[21]#REF!'!$A$8:$N$1186</definedName>
    <definedName name="data_28_2_2" localSheetId="4">'[21]#REF!'!$A$8:$N$1186</definedName>
    <definedName name="data_28_2_2" localSheetId="0">#REF!</definedName>
    <definedName name="data_28_2_2">'[21]#REF!'!$A$8:$N$1186</definedName>
    <definedName name="data_28_3" localSheetId="4">#REF!</definedName>
    <definedName name="data_28_3" localSheetId="2">#REF!</definedName>
    <definedName name="data_28_3" localSheetId="0">'[20]#REF!'!$A$8:$N$1199</definedName>
    <definedName name="data_28_3" localSheetId="7">#REF!</definedName>
    <definedName name="data_28_3" localSheetId="5">#REF!</definedName>
    <definedName name="data_28_3">#REF!</definedName>
    <definedName name="data_28_3_1" localSheetId="4">'[21]#REF!'!$A$8:$N$1199</definedName>
    <definedName name="data_28_3_1" localSheetId="0">#REF!</definedName>
    <definedName name="data_28_3_1">'[21]#REF!'!$A$8:$N$1199</definedName>
    <definedName name="data_28_3_2" localSheetId="4">'[21]#REF!'!$A$8:$N$1199</definedName>
    <definedName name="data_28_3_2" localSheetId="0">#REF!</definedName>
    <definedName name="data_28_3_2">'[21]#REF!'!$A$8:$N$1199</definedName>
    <definedName name="data_29" localSheetId="4">#REF!</definedName>
    <definedName name="data_29" localSheetId="2">#REF!</definedName>
    <definedName name="data_29" localSheetId="0">'[20]#REF!'!$A$9:$N$1141</definedName>
    <definedName name="data_29" localSheetId="7">#REF!</definedName>
    <definedName name="data_29" localSheetId="5">#REF!</definedName>
    <definedName name="data_29">#REF!</definedName>
    <definedName name="data_29_1" localSheetId="4">#REF!</definedName>
    <definedName name="data_29_1" localSheetId="2">#REF!</definedName>
    <definedName name="data_29_1" localSheetId="0">'[20]#REF!'!$A$9:$N$1141</definedName>
    <definedName name="data_29_1" localSheetId="7">#REF!</definedName>
    <definedName name="data_29_1" localSheetId="5">#REF!</definedName>
    <definedName name="data_29_1">#REF!</definedName>
    <definedName name="data_29_1_1" localSheetId="4">#REF!</definedName>
    <definedName name="data_29_1_1" localSheetId="2">#REF!</definedName>
    <definedName name="data_29_1_1" localSheetId="0">'[20]#REF!'!$A$9:$N$1154</definedName>
    <definedName name="data_29_1_1" localSheetId="7">#REF!</definedName>
    <definedName name="data_29_1_1" localSheetId="5">#REF!</definedName>
    <definedName name="data_29_1_1">#REF!</definedName>
    <definedName name="data_29_1_1_1" localSheetId="4">'[21]#REF!'!$A$9:$N$1141</definedName>
    <definedName name="data_29_1_1_1" localSheetId="0">#REF!</definedName>
    <definedName name="data_29_1_1_1">'[21]#REF!'!$A$9:$N$1141</definedName>
    <definedName name="data_29_1_1_1_1" localSheetId="4">'[21]#REF!'!$A$9:$N$1154</definedName>
    <definedName name="data_29_1_1_1_1" localSheetId="0">#REF!</definedName>
    <definedName name="data_29_1_1_1_1">'[21]#REF!'!$A$9:$N$1154</definedName>
    <definedName name="data_29_1_1_1_1_1" localSheetId="4">'[21]#REF!'!$A$9:$N$1154</definedName>
    <definedName name="data_29_1_1_1_1_1" localSheetId="0">#REF!</definedName>
    <definedName name="data_29_1_1_1_1_1">'[21]#REF!'!$A$9:$N$1154</definedName>
    <definedName name="data_29_1_1_2" localSheetId="4">'[21]#REF!'!$A$9:$N$1154</definedName>
    <definedName name="data_29_1_1_2" localSheetId="0">#REF!</definedName>
    <definedName name="data_29_1_1_2">'[21]#REF!'!$A$9:$N$1154</definedName>
    <definedName name="data_29_1_2" localSheetId="4">'[21]#REF!'!$A$9:$N$1141</definedName>
    <definedName name="data_29_1_2" localSheetId="0">#REF!</definedName>
    <definedName name="data_29_1_2">'[21]#REF!'!$A$9:$N$1141</definedName>
    <definedName name="data_29_2" localSheetId="4">#REF!</definedName>
    <definedName name="data_29_2" localSheetId="2">#REF!</definedName>
    <definedName name="data_29_2" localSheetId="0">'[20]#REF!'!$A$9:$N$1141</definedName>
    <definedName name="data_29_2" localSheetId="7">#REF!</definedName>
    <definedName name="data_29_2" localSheetId="5">#REF!</definedName>
    <definedName name="data_29_2">#REF!</definedName>
    <definedName name="data_29_2_1" localSheetId="4">'[21]#REF!'!$A$9:$N$1141</definedName>
    <definedName name="data_29_2_1" localSheetId="0">#REF!</definedName>
    <definedName name="data_29_2_1">'[21]#REF!'!$A$9:$N$1141</definedName>
    <definedName name="data_29_2_1_1" localSheetId="4">'[21]#REF!'!$A$9:$N$1141</definedName>
    <definedName name="data_29_2_1_1" localSheetId="0">#REF!</definedName>
    <definedName name="data_29_2_1_1">'[21]#REF!'!$A$9:$N$1141</definedName>
    <definedName name="data_29_2_2" localSheetId="4">'[21]#REF!'!$A$9:$N$1141</definedName>
    <definedName name="data_29_2_2" localSheetId="0">#REF!</definedName>
    <definedName name="data_29_2_2">'[21]#REF!'!$A$9:$N$1141</definedName>
    <definedName name="data_29_3" localSheetId="4">#REF!</definedName>
    <definedName name="data_29_3" localSheetId="2">#REF!</definedName>
    <definedName name="data_29_3" localSheetId="0">'[20]#REF!'!$A$9:$N$1154</definedName>
    <definedName name="data_29_3" localSheetId="7">#REF!</definedName>
    <definedName name="data_29_3" localSheetId="5">#REF!</definedName>
    <definedName name="data_29_3">#REF!</definedName>
    <definedName name="data_29_3_1" localSheetId="4">'[21]#REF!'!$A$9:$N$1154</definedName>
    <definedName name="data_29_3_1" localSheetId="0">#REF!</definedName>
    <definedName name="data_29_3_1">'[21]#REF!'!$A$9:$N$1154</definedName>
    <definedName name="data_29_3_2" localSheetId="4">'[21]#REF!'!$A$9:$N$1154</definedName>
    <definedName name="data_29_3_2" localSheetId="0">#REF!</definedName>
    <definedName name="data_29_3_2">'[21]#REF!'!$A$9:$N$1154</definedName>
    <definedName name="data_3" localSheetId="4">#REF!</definedName>
    <definedName name="data_3" localSheetId="2">#REF!</definedName>
    <definedName name="data_3" localSheetId="0">'[20]#REF!'!$A$7:$N$1218</definedName>
    <definedName name="data_3" localSheetId="7">#REF!</definedName>
    <definedName name="data_3" localSheetId="5">#REF!</definedName>
    <definedName name="data_3">#REF!</definedName>
    <definedName name="data_3_1" localSheetId="4">#REF!</definedName>
    <definedName name="data_3_1" localSheetId="2">#REF!</definedName>
    <definedName name="data_3_1" localSheetId="0">'[20]#REF!'!$A$5:$N$24</definedName>
    <definedName name="data_3_1" localSheetId="7">#REF!</definedName>
    <definedName name="data_3_1" localSheetId="5">#REF!</definedName>
    <definedName name="data_3_1">#REF!</definedName>
    <definedName name="data_3_1_1" localSheetId="4">'[21]#REF!'!$A$5:$N$24</definedName>
    <definedName name="data_3_1_1" localSheetId="0">#REF!</definedName>
    <definedName name="data_3_1_1">'[21]#REF!'!$A$5:$N$24</definedName>
    <definedName name="data_3_1_1_1" localSheetId="4">'[21]#REF!'!$A$5:$N$24</definedName>
    <definedName name="data_3_1_1_1" localSheetId="0">#REF!</definedName>
    <definedName name="data_3_1_1_1">'[21]#REF!'!$A$5:$N$24</definedName>
    <definedName name="data_3_1_2" localSheetId="4">'[21]#REF!'!$A$5:$N$24</definedName>
    <definedName name="data_3_1_2" localSheetId="0">#REF!</definedName>
    <definedName name="data_3_1_2">'[21]#REF!'!$A$5:$N$24</definedName>
    <definedName name="data_3_2" localSheetId="4">'[21]#REF!'!$A$7:$N$1218</definedName>
    <definedName name="data_3_2" localSheetId="0">#REF!</definedName>
    <definedName name="data_3_2">'[21]#REF!'!$A$7:$N$1218</definedName>
    <definedName name="data_30" localSheetId="4">#REF!</definedName>
    <definedName name="data_30" localSheetId="2">#REF!</definedName>
    <definedName name="data_30" localSheetId="0">'[20]#REF!'!$A$9:$N$1126</definedName>
    <definedName name="data_30" localSheetId="7">#REF!</definedName>
    <definedName name="data_30" localSheetId="5">#REF!</definedName>
    <definedName name="data_30">#REF!</definedName>
    <definedName name="data_30_1" localSheetId="4">#REF!</definedName>
    <definedName name="data_30_1" localSheetId="2">#REF!</definedName>
    <definedName name="data_30_1" localSheetId="0">'[20]#REF!'!$A$9:$N$1126</definedName>
    <definedName name="data_30_1" localSheetId="7">#REF!</definedName>
    <definedName name="data_30_1" localSheetId="5">#REF!</definedName>
    <definedName name="data_30_1">#REF!</definedName>
    <definedName name="data_30_1_1" localSheetId="4">#REF!</definedName>
    <definedName name="data_30_1_1" localSheetId="2">#REF!</definedName>
    <definedName name="data_30_1_1" localSheetId="0">'[20]#REF!'!$A$9:$N$1139</definedName>
    <definedName name="data_30_1_1" localSheetId="7">#REF!</definedName>
    <definedName name="data_30_1_1" localSheetId="5">#REF!</definedName>
    <definedName name="data_30_1_1">#REF!</definedName>
    <definedName name="data_30_1_1_1" localSheetId="4">'[21]#REF!'!$A$9:$N$1126</definedName>
    <definedName name="data_30_1_1_1" localSheetId="0">#REF!</definedName>
    <definedName name="data_30_1_1_1">'[21]#REF!'!$A$9:$N$1126</definedName>
    <definedName name="data_30_1_1_1_1" localSheetId="4">'[21]#REF!'!$A$9:$N$1139</definedName>
    <definedName name="data_30_1_1_1_1" localSheetId="0">#REF!</definedName>
    <definedName name="data_30_1_1_1_1">'[21]#REF!'!$A$9:$N$1139</definedName>
    <definedName name="data_30_1_1_1_1_1" localSheetId="4">'[21]#REF!'!$A$9:$N$1139</definedName>
    <definedName name="data_30_1_1_1_1_1" localSheetId="0">#REF!</definedName>
    <definedName name="data_30_1_1_1_1_1">'[21]#REF!'!$A$9:$N$1139</definedName>
    <definedName name="data_30_1_1_2" localSheetId="4">'[21]#REF!'!$A$9:$N$1139</definedName>
    <definedName name="data_30_1_1_2" localSheetId="0">#REF!</definedName>
    <definedName name="data_30_1_1_2">'[21]#REF!'!$A$9:$N$1139</definedName>
    <definedName name="data_30_1_2" localSheetId="4">'[21]#REF!'!$A$9:$N$1126</definedName>
    <definedName name="data_30_1_2" localSheetId="0">#REF!</definedName>
    <definedName name="data_30_1_2">'[21]#REF!'!$A$9:$N$1126</definedName>
    <definedName name="data_30_2" localSheetId="4">#REF!</definedName>
    <definedName name="data_30_2" localSheetId="2">#REF!</definedName>
    <definedName name="data_30_2" localSheetId="0">'[20]#REF!'!$A$9:$N$1126</definedName>
    <definedName name="data_30_2" localSheetId="7">#REF!</definedName>
    <definedName name="data_30_2" localSheetId="5">#REF!</definedName>
    <definedName name="data_30_2">#REF!</definedName>
    <definedName name="data_30_2_1" localSheetId="4">'[21]#REF!'!$A$9:$N$1126</definedName>
    <definedName name="data_30_2_1" localSheetId="0">#REF!</definedName>
    <definedName name="data_30_2_1">'[21]#REF!'!$A$9:$N$1126</definedName>
    <definedName name="data_30_2_1_1" localSheetId="4">'[21]#REF!'!$A$9:$N$1126</definedName>
    <definedName name="data_30_2_1_1" localSheetId="0">#REF!</definedName>
    <definedName name="data_30_2_1_1">'[21]#REF!'!$A$9:$N$1126</definedName>
    <definedName name="data_30_2_2" localSheetId="4">'[21]#REF!'!$A$9:$N$1126</definedName>
    <definedName name="data_30_2_2" localSheetId="0">#REF!</definedName>
    <definedName name="data_30_2_2">'[21]#REF!'!$A$9:$N$1126</definedName>
    <definedName name="data_30_3" localSheetId="4">#REF!</definedName>
    <definedName name="data_30_3" localSheetId="2">#REF!</definedName>
    <definedName name="data_30_3" localSheetId="0">'[20]#REF!'!$A$9:$N$1139</definedName>
    <definedName name="data_30_3" localSheetId="7">#REF!</definedName>
    <definedName name="data_30_3" localSheetId="5">#REF!</definedName>
    <definedName name="data_30_3">#REF!</definedName>
    <definedName name="data_30_3_1" localSheetId="4">'[21]#REF!'!$A$9:$N$1139</definedName>
    <definedName name="data_30_3_1" localSheetId="0">#REF!</definedName>
    <definedName name="data_30_3_1">'[21]#REF!'!$A$9:$N$1139</definedName>
    <definedName name="data_30_3_2" localSheetId="4">'[21]#REF!'!$A$9:$N$1139</definedName>
    <definedName name="data_30_3_2" localSheetId="0">#REF!</definedName>
    <definedName name="data_30_3_2">'[21]#REF!'!$A$9:$N$1139</definedName>
    <definedName name="data_4" localSheetId="4">#REF!</definedName>
    <definedName name="data_4" localSheetId="2">#REF!</definedName>
    <definedName name="data_4" localSheetId="0">'[20]#REF!'!$A$7:$N$1235</definedName>
    <definedName name="data_4" localSheetId="7">#REF!</definedName>
    <definedName name="data_4" localSheetId="5">#REF!</definedName>
    <definedName name="data_4">#REF!</definedName>
    <definedName name="data_4_1" localSheetId="4">#REF!</definedName>
    <definedName name="data_4_1" localSheetId="2">#REF!</definedName>
    <definedName name="data_4_1" localSheetId="0">'[20]#REF!'!$A$7:$N$1235</definedName>
    <definedName name="data_4_1" localSheetId="7">#REF!</definedName>
    <definedName name="data_4_1" localSheetId="5">#REF!</definedName>
    <definedName name="data_4_1">#REF!</definedName>
    <definedName name="data_4_1_1" localSheetId="4">#REF!</definedName>
    <definedName name="data_4_1_1" localSheetId="2">#REF!</definedName>
    <definedName name="data_4_1_1" localSheetId="0">'[20]#REF!'!$A$7:$N$1248</definedName>
    <definedName name="data_4_1_1" localSheetId="7">#REF!</definedName>
    <definedName name="data_4_1_1" localSheetId="5">#REF!</definedName>
    <definedName name="data_4_1_1">#REF!</definedName>
    <definedName name="data_4_1_1_1" localSheetId="4">'[21]#REF!'!$A$7:$N$1235</definedName>
    <definedName name="data_4_1_1_1" localSheetId="0">#REF!</definedName>
    <definedName name="data_4_1_1_1">'[21]#REF!'!$A$7:$N$1235</definedName>
    <definedName name="data_4_1_1_1_1" localSheetId="4">'[21]#REF!'!$A$7:$N$1248</definedName>
    <definedName name="data_4_1_1_1_1" localSheetId="0">#REF!</definedName>
    <definedName name="data_4_1_1_1_1">'[21]#REF!'!$A$7:$N$1248</definedName>
    <definedName name="data_4_1_1_1_1_1" localSheetId="4">'[21]#REF!'!$A$7:$N$1248</definedName>
    <definedName name="data_4_1_1_1_1_1" localSheetId="0">#REF!</definedName>
    <definedName name="data_4_1_1_1_1_1">'[21]#REF!'!$A$7:$N$1248</definedName>
    <definedName name="data_4_1_1_2" localSheetId="4">'[21]#REF!'!$A$7:$N$1248</definedName>
    <definedName name="data_4_1_1_2" localSheetId="0">#REF!</definedName>
    <definedName name="data_4_1_1_2">'[21]#REF!'!$A$7:$N$1248</definedName>
    <definedName name="data_4_1_2" localSheetId="4">'[21]#REF!'!$A$7:$N$1235</definedName>
    <definedName name="data_4_1_2" localSheetId="0">#REF!</definedName>
    <definedName name="data_4_1_2">'[21]#REF!'!$A$7:$N$1235</definedName>
    <definedName name="data_4_2" localSheetId="4">#REF!</definedName>
    <definedName name="data_4_2" localSheetId="2">#REF!</definedName>
    <definedName name="data_4_2" localSheetId="0">'[20]#REF!'!$A$7:$N$1235</definedName>
    <definedName name="data_4_2" localSheetId="7">#REF!</definedName>
    <definedName name="data_4_2" localSheetId="5">#REF!</definedName>
    <definedName name="data_4_2">#REF!</definedName>
    <definedName name="data_4_2_1" localSheetId="4">'[21]#REF!'!$A$7:$N$1235</definedName>
    <definedName name="data_4_2_1" localSheetId="0">#REF!</definedName>
    <definedName name="data_4_2_1">'[21]#REF!'!$A$7:$N$1235</definedName>
    <definedName name="data_4_2_1_1" localSheetId="4">'[21]#REF!'!$A$7:$N$1235</definedName>
    <definedName name="data_4_2_1_1" localSheetId="0">#REF!</definedName>
    <definedName name="data_4_2_1_1">'[21]#REF!'!$A$7:$N$1235</definedName>
    <definedName name="data_4_2_2" localSheetId="4">'[21]#REF!'!$A$7:$N$1235</definedName>
    <definedName name="data_4_2_2" localSheetId="0">#REF!</definedName>
    <definedName name="data_4_2_2">'[21]#REF!'!$A$7:$N$1235</definedName>
    <definedName name="data_4_3" localSheetId="4">#REF!</definedName>
    <definedName name="data_4_3" localSheetId="2">#REF!</definedName>
    <definedName name="data_4_3" localSheetId="0">'[20]#REF!'!$A$7:$N$1248</definedName>
    <definedName name="data_4_3" localSheetId="7">#REF!</definedName>
    <definedName name="data_4_3" localSheetId="5">#REF!</definedName>
    <definedName name="data_4_3">#REF!</definedName>
    <definedName name="data_4_3_1" localSheetId="4">'[21]#REF!'!$A$7:$N$1248</definedName>
    <definedName name="data_4_3_1" localSheetId="0">#REF!</definedName>
    <definedName name="data_4_3_1">'[21]#REF!'!$A$7:$N$1248</definedName>
    <definedName name="data_4_3_2" localSheetId="4">'[21]#REF!'!$A$7:$N$1248</definedName>
    <definedName name="data_4_3_2" localSheetId="0">#REF!</definedName>
    <definedName name="data_4_3_2">'[21]#REF!'!$A$7:$N$1248</definedName>
    <definedName name="data_5" localSheetId="4">#REF!</definedName>
    <definedName name="data_5" localSheetId="2">#REF!</definedName>
    <definedName name="data_5" localSheetId="0">'[20]#REF!'!$A$7:$N$1180</definedName>
    <definedName name="data_5" localSheetId="7">#REF!</definedName>
    <definedName name="data_5" localSheetId="5">#REF!</definedName>
    <definedName name="data_5">#REF!</definedName>
    <definedName name="data_5_1" localSheetId="4">#REF!</definedName>
    <definedName name="data_5_1" localSheetId="2">#REF!</definedName>
    <definedName name="data_5_1" localSheetId="0">'[20]#REF!'!$A$7:$N$1180</definedName>
    <definedName name="data_5_1" localSheetId="7">#REF!</definedName>
    <definedName name="data_5_1" localSheetId="5">#REF!</definedName>
    <definedName name="data_5_1">#REF!</definedName>
    <definedName name="data_5_1_1" localSheetId="4">#REF!</definedName>
    <definedName name="data_5_1_1" localSheetId="2">#REF!</definedName>
    <definedName name="data_5_1_1" localSheetId="0">'[20]#REF!'!$A$7:$N$1193</definedName>
    <definedName name="data_5_1_1" localSheetId="7">#REF!</definedName>
    <definedName name="data_5_1_1" localSheetId="5">#REF!</definedName>
    <definedName name="data_5_1_1">#REF!</definedName>
    <definedName name="data_5_1_1_1" localSheetId="4">'[21]#REF!'!$A$7:$N$1180</definedName>
    <definedName name="data_5_1_1_1" localSheetId="0">#REF!</definedName>
    <definedName name="data_5_1_1_1">'[21]#REF!'!$A$7:$N$1180</definedName>
    <definedName name="data_5_1_1_1_1" localSheetId="4">'[21]#REF!'!$A$7:$N$1193</definedName>
    <definedName name="data_5_1_1_1_1" localSheetId="0">#REF!</definedName>
    <definedName name="data_5_1_1_1_1">'[21]#REF!'!$A$7:$N$1193</definedName>
    <definedName name="data_5_1_1_1_1_1" localSheetId="4">'[21]#REF!'!$A$7:$N$1193</definedName>
    <definedName name="data_5_1_1_1_1_1" localSheetId="0">#REF!</definedName>
    <definedName name="data_5_1_1_1_1_1">'[21]#REF!'!$A$7:$N$1193</definedName>
    <definedName name="data_5_1_1_2" localSheetId="4">'[21]#REF!'!$A$7:$N$1193</definedName>
    <definedName name="data_5_1_1_2" localSheetId="0">#REF!</definedName>
    <definedName name="data_5_1_1_2">'[21]#REF!'!$A$7:$N$1193</definedName>
    <definedName name="data_5_1_2" localSheetId="4">'[21]#REF!'!$A$7:$N$1180</definedName>
    <definedName name="data_5_1_2" localSheetId="0">#REF!</definedName>
    <definedName name="data_5_1_2">'[21]#REF!'!$A$7:$N$1180</definedName>
    <definedName name="data_5_2" localSheetId="4">#REF!</definedName>
    <definedName name="data_5_2" localSheetId="2">#REF!</definedName>
    <definedName name="data_5_2" localSheetId="0">'[20]#REF!'!$A$7:$N$1180</definedName>
    <definedName name="data_5_2" localSheetId="7">#REF!</definedName>
    <definedName name="data_5_2" localSheetId="5">#REF!</definedName>
    <definedName name="data_5_2">#REF!</definedName>
    <definedName name="data_5_2_1" localSheetId="4">'[21]#REF!'!$A$7:$N$1180</definedName>
    <definedName name="data_5_2_1" localSheetId="0">#REF!</definedName>
    <definedName name="data_5_2_1">'[21]#REF!'!$A$7:$N$1180</definedName>
    <definedName name="data_5_2_1_1" localSheetId="4">'[21]#REF!'!$A$7:$N$1180</definedName>
    <definedName name="data_5_2_1_1" localSheetId="0">#REF!</definedName>
    <definedName name="data_5_2_1_1">'[21]#REF!'!$A$7:$N$1180</definedName>
    <definedName name="data_5_2_2" localSheetId="4">'[21]#REF!'!$A$7:$N$1180</definedName>
    <definedName name="data_5_2_2" localSheetId="0">#REF!</definedName>
    <definedName name="data_5_2_2">'[21]#REF!'!$A$7:$N$1180</definedName>
    <definedName name="data_5_3" localSheetId="4">#REF!</definedName>
    <definedName name="data_5_3" localSheetId="2">#REF!</definedName>
    <definedName name="data_5_3" localSheetId="0">'[20]#REF!'!$A$7:$N$1193</definedName>
    <definedName name="data_5_3" localSheetId="7">#REF!</definedName>
    <definedName name="data_5_3" localSheetId="5">#REF!</definedName>
    <definedName name="data_5_3">#REF!</definedName>
    <definedName name="data_5_3_1" localSheetId="4">'[21]#REF!'!$A$7:$N$1193</definedName>
    <definedName name="data_5_3_1" localSheetId="0">#REF!</definedName>
    <definedName name="data_5_3_1">'[21]#REF!'!$A$7:$N$1193</definedName>
    <definedName name="data_5_3_2" localSheetId="4">'[21]#REF!'!$A$7:$N$1193</definedName>
    <definedName name="data_5_3_2" localSheetId="0">#REF!</definedName>
    <definedName name="data_5_3_2">'[21]#REF!'!$A$7:$N$1193</definedName>
    <definedName name="data_6" localSheetId="4">#REF!</definedName>
    <definedName name="data_6" localSheetId="2">#REF!</definedName>
    <definedName name="data_6" localSheetId="0">'[20]#REF!'!$A$7:$N$1218</definedName>
    <definedName name="data_6" localSheetId="7">#REF!</definedName>
    <definedName name="data_6" localSheetId="5">#REF!</definedName>
    <definedName name="data_6">#REF!</definedName>
    <definedName name="data_6_1" localSheetId="4">#REF!</definedName>
    <definedName name="data_6_1" localSheetId="2">#REF!</definedName>
    <definedName name="data_6_1" localSheetId="0">'[20]#REF!'!$A$7:$N$1218</definedName>
    <definedName name="data_6_1" localSheetId="7">#REF!</definedName>
    <definedName name="data_6_1" localSheetId="5">#REF!</definedName>
    <definedName name="data_6_1">#REF!</definedName>
    <definedName name="data_6_1_1" localSheetId="4">#REF!</definedName>
    <definedName name="data_6_1_1" localSheetId="2">#REF!</definedName>
    <definedName name="data_6_1_1" localSheetId="0">'[20]#REF!'!$A$7:$N$1231</definedName>
    <definedName name="data_6_1_1" localSheetId="7">#REF!</definedName>
    <definedName name="data_6_1_1" localSheetId="5">#REF!</definedName>
    <definedName name="data_6_1_1">#REF!</definedName>
    <definedName name="data_6_1_1_1" localSheetId="4">'[21]#REF!'!$A$7:$N$1218</definedName>
    <definedName name="data_6_1_1_1" localSheetId="0">#REF!</definedName>
    <definedName name="data_6_1_1_1">'[21]#REF!'!$A$7:$N$1218</definedName>
    <definedName name="data_6_1_1_1_1" localSheetId="4">'[21]#REF!'!$A$7:$N$1231</definedName>
    <definedName name="data_6_1_1_1_1" localSheetId="0">#REF!</definedName>
    <definedName name="data_6_1_1_1_1">'[21]#REF!'!$A$7:$N$1231</definedName>
    <definedName name="data_6_1_1_1_1_1" localSheetId="4">'[21]#REF!'!$A$7:$N$1231</definedName>
    <definedName name="data_6_1_1_1_1_1" localSheetId="0">#REF!</definedName>
    <definedName name="data_6_1_1_1_1_1">'[21]#REF!'!$A$7:$N$1231</definedName>
    <definedName name="data_6_1_1_2" localSheetId="4">'[21]#REF!'!$A$7:$N$1231</definedName>
    <definedName name="data_6_1_1_2" localSheetId="0">#REF!</definedName>
    <definedName name="data_6_1_1_2">'[21]#REF!'!$A$7:$N$1231</definedName>
    <definedName name="data_6_1_2" localSheetId="4">'[21]#REF!'!$A$7:$N$1218</definedName>
    <definedName name="data_6_1_2" localSheetId="0">#REF!</definedName>
    <definedName name="data_6_1_2">'[21]#REF!'!$A$7:$N$1218</definedName>
    <definedName name="data_6_2" localSheetId="4">#REF!</definedName>
    <definedName name="data_6_2" localSheetId="2">#REF!</definedName>
    <definedName name="data_6_2" localSheetId="0">'[20]#REF!'!$A$7:$N$1218</definedName>
    <definedName name="data_6_2" localSheetId="7">#REF!</definedName>
    <definedName name="data_6_2" localSheetId="5">#REF!</definedName>
    <definedName name="data_6_2">#REF!</definedName>
    <definedName name="data_6_2_1" localSheetId="4">'[21]#REF!'!$A$7:$N$1218</definedName>
    <definedName name="data_6_2_1" localSheetId="0">#REF!</definedName>
    <definedName name="data_6_2_1">'[21]#REF!'!$A$7:$N$1218</definedName>
    <definedName name="data_6_2_1_1" localSheetId="4">'[21]#REF!'!$A$7:$N$1218</definedName>
    <definedName name="data_6_2_1_1" localSheetId="0">#REF!</definedName>
    <definedName name="data_6_2_1_1">'[21]#REF!'!$A$7:$N$1218</definedName>
    <definedName name="data_6_2_2" localSheetId="4">'[21]#REF!'!$A$7:$N$1218</definedName>
    <definedName name="data_6_2_2" localSheetId="0">#REF!</definedName>
    <definedName name="data_6_2_2">'[21]#REF!'!$A$7:$N$1218</definedName>
    <definedName name="data_6_3" localSheetId="4">#REF!</definedName>
    <definedName name="data_6_3" localSheetId="2">#REF!</definedName>
    <definedName name="data_6_3" localSheetId="0">'[20]#REF!'!$A$7:$N$1231</definedName>
    <definedName name="data_6_3" localSheetId="7">#REF!</definedName>
    <definedName name="data_6_3" localSheetId="5">#REF!</definedName>
    <definedName name="data_6_3">#REF!</definedName>
    <definedName name="data_6_3_1" localSheetId="4">'[21]#REF!'!$A$7:$N$1231</definedName>
    <definedName name="data_6_3_1" localSheetId="0">#REF!</definedName>
    <definedName name="data_6_3_1">'[21]#REF!'!$A$7:$N$1231</definedName>
    <definedName name="data_6_3_2" localSheetId="4">'[21]#REF!'!$A$7:$N$1231</definedName>
    <definedName name="data_6_3_2" localSheetId="0">#REF!</definedName>
    <definedName name="data_6_3_2">'[21]#REF!'!$A$7:$N$1231</definedName>
    <definedName name="data_7" localSheetId="4">#REF!</definedName>
    <definedName name="data_7" localSheetId="2">#REF!</definedName>
    <definedName name="data_7" localSheetId="0">'[20]#REF!'!$A$9:$N$1094</definedName>
    <definedName name="data_7" localSheetId="7">#REF!</definedName>
    <definedName name="data_7" localSheetId="5">#REF!</definedName>
    <definedName name="data_7">#REF!</definedName>
    <definedName name="data_7_1" localSheetId="4">#REF!</definedName>
    <definedName name="data_7_1" localSheetId="2">#REF!</definedName>
    <definedName name="data_7_1" localSheetId="0">'[20]#REF!'!$A$9:$N$1094</definedName>
    <definedName name="data_7_1" localSheetId="7">#REF!</definedName>
    <definedName name="data_7_1" localSheetId="5">#REF!</definedName>
    <definedName name="data_7_1">#REF!</definedName>
    <definedName name="data_7_1_1" localSheetId="4">#REF!</definedName>
    <definedName name="data_7_1_1" localSheetId="2">#REF!</definedName>
    <definedName name="data_7_1_1" localSheetId="0">'[20]#REF!'!$A$9:$N$1107</definedName>
    <definedName name="data_7_1_1" localSheetId="7">#REF!</definedName>
    <definedName name="data_7_1_1" localSheetId="5">#REF!</definedName>
    <definedName name="data_7_1_1">#REF!</definedName>
    <definedName name="data_7_1_1_1" localSheetId="4">'[21]#REF!'!$A$9:$N$1094</definedName>
    <definedName name="data_7_1_1_1" localSheetId="0">#REF!</definedName>
    <definedName name="data_7_1_1_1">'[21]#REF!'!$A$9:$N$1094</definedName>
    <definedName name="data_7_1_1_1_1" localSheetId="4">'[21]#REF!'!$A$9:$N$1107</definedName>
    <definedName name="data_7_1_1_1_1" localSheetId="0">#REF!</definedName>
    <definedName name="data_7_1_1_1_1">'[21]#REF!'!$A$9:$N$1107</definedName>
    <definedName name="data_7_1_1_1_1_1" localSheetId="4">'[21]#REF!'!$A$9:$N$1107</definedName>
    <definedName name="data_7_1_1_1_1_1" localSheetId="0">#REF!</definedName>
    <definedName name="data_7_1_1_1_1_1">'[21]#REF!'!$A$9:$N$1107</definedName>
    <definedName name="data_7_1_1_2" localSheetId="4">'[21]#REF!'!$A$9:$N$1107</definedName>
    <definedName name="data_7_1_1_2" localSheetId="0">#REF!</definedName>
    <definedName name="data_7_1_1_2">'[21]#REF!'!$A$9:$N$1107</definedName>
    <definedName name="data_7_1_2" localSheetId="4">'[21]#REF!'!$A$9:$N$1094</definedName>
    <definedName name="data_7_1_2" localSheetId="0">#REF!</definedName>
    <definedName name="data_7_1_2">'[21]#REF!'!$A$9:$N$1094</definedName>
    <definedName name="data_7_2" localSheetId="4">#REF!</definedName>
    <definedName name="data_7_2" localSheetId="2">#REF!</definedName>
    <definedName name="data_7_2" localSheetId="0">'[20]#REF!'!$A$9:$N$1094</definedName>
    <definedName name="data_7_2" localSheetId="7">#REF!</definedName>
    <definedName name="data_7_2" localSheetId="5">#REF!</definedName>
    <definedName name="data_7_2">#REF!</definedName>
    <definedName name="data_7_2_1" localSheetId="4">'[21]#REF!'!$A$9:$N$1094</definedName>
    <definedName name="data_7_2_1" localSheetId="0">#REF!</definedName>
    <definedName name="data_7_2_1">'[21]#REF!'!$A$9:$N$1094</definedName>
    <definedName name="data_7_2_1_1" localSheetId="4">'[21]#REF!'!$A$9:$N$1094</definedName>
    <definedName name="data_7_2_1_1" localSheetId="0">#REF!</definedName>
    <definedName name="data_7_2_1_1">'[21]#REF!'!$A$9:$N$1094</definedName>
    <definedName name="data_7_2_2" localSheetId="4">'[21]#REF!'!$A$9:$N$1094</definedName>
    <definedName name="data_7_2_2" localSheetId="0">#REF!</definedName>
    <definedName name="data_7_2_2">'[21]#REF!'!$A$9:$N$1094</definedName>
    <definedName name="data_7_3" localSheetId="4">#REF!</definedName>
    <definedName name="data_7_3" localSheetId="2">#REF!</definedName>
    <definedName name="data_7_3" localSheetId="0">'[20]#REF!'!$A$9:$N$1107</definedName>
    <definedName name="data_7_3" localSheetId="7">#REF!</definedName>
    <definedName name="data_7_3" localSheetId="5">#REF!</definedName>
    <definedName name="data_7_3">#REF!</definedName>
    <definedName name="data_7_3_1" localSheetId="4">'[21]#REF!'!$A$9:$N$1107</definedName>
    <definedName name="data_7_3_1" localSheetId="0">#REF!</definedName>
    <definedName name="data_7_3_1">'[21]#REF!'!$A$9:$N$1107</definedName>
    <definedName name="data_7_3_2" localSheetId="4">'[21]#REF!'!$A$9:$N$1107</definedName>
    <definedName name="data_7_3_2" localSheetId="0">#REF!</definedName>
    <definedName name="data_7_3_2">'[21]#REF!'!$A$9:$N$1107</definedName>
    <definedName name="data_8" localSheetId="4">#REF!</definedName>
    <definedName name="data_8" localSheetId="2">#REF!</definedName>
    <definedName name="data_8" localSheetId="0">'[20]#REF!'!$A$9:$N$1086</definedName>
    <definedName name="data_8" localSheetId="7">#REF!</definedName>
    <definedName name="data_8" localSheetId="5">#REF!</definedName>
    <definedName name="data_8">#REF!</definedName>
    <definedName name="data_8_1" localSheetId="4">#REF!</definedName>
    <definedName name="data_8_1" localSheetId="2">#REF!</definedName>
    <definedName name="data_8_1" localSheetId="0">'[20]#REF!'!$A$9:$N$1086</definedName>
    <definedName name="data_8_1" localSheetId="7">#REF!</definedName>
    <definedName name="data_8_1" localSheetId="5">#REF!</definedName>
    <definedName name="data_8_1">#REF!</definedName>
    <definedName name="data_8_1_1" localSheetId="4">#REF!</definedName>
    <definedName name="data_8_1_1" localSheetId="2">#REF!</definedName>
    <definedName name="data_8_1_1" localSheetId="0">'[20]#REF!'!$A$9:$N$1099</definedName>
    <definedName name="data_8_1_1" localSheetId="7">#REF!</definedName>
    <definedName name="data_8_1_1" localSheetId="5">#REF!</definedName>
    <definedName name="data_8_1_1">#REF!</definedName>
    <definedName name="data_8_1_1_1" localSheetId="4">'[21]#REF!'!$A$9:$N$1086</definedName>
    <definedName name="data_8_1_1_1" localSheetId="0">#REF!</definedName>
    <definedName name="data_8_1_1_1">'[21]#REF!'!$A$9:$N$1086</definedName>
    <definedName name="data_8_1_1_1_1" localSheetId="4">'[21]#REF!'!$A$9:$N$1099</definedName>
    <definedName name="data_8_1_1_1_1" localSheetId="0">#REF!</definedName>
    <definedName name="data_8_1_1_1_1">'[21]#REF!'!$A$9:$N$1099</definedName>
    <definedName name="data_8_1_1_1_1_1" localSheetId="4">'[21]#REF!'!$A$9:$N$1099</definedName>
    <definedName name="data_8_1_1_1_1_1" localSheetId="0">#REF!</definedName>
    <definedName name="data_8_1_1_1_1_1">'[21]#REF!'!$A$9:$N$1099</definedName>
    <definedName name="data_8_1_1_2" localSheetId="4">'[21]#REF!'!$A$9:$N$1099</definedName>
    <definedName name="data_8_1_1_2" localSheetId="0">#REF!</definedName>
    <definedName name="data_8_1_1_2">'[21]#REF!'!$A$9:$N$1099</definedName>
    <definedName name="data_8_1_2" localSheetId="4">'[21]#REF!'!$A$9:$N$1086</definedName>
    <definedName name="data_8_1_2" localSheetId="0">#REF!</definedName>
    <definedName name="data_8_1_2">'[21]#REF!'!$A$9:$N$1086</definedName>
    <definedName name="data_8_2" localSheetId="4">#REF!</definedName>
    <definedName name="data_8_2" localSheetId="2">#REF!</definedName>
    <definedName name="data_8_2" localSheetId="0">'[20]#REF!'!$A$9:$N$1086</definedName>
    <definedName name="data_8_2" localSheetId="7">#REF!</definedName>
    <definedName name="data_8_2" localSheetId="5">#REF!</definedName>
    <definedName name="data_8_2">#REF!</definedName>
    <definedName name="data_8_2_1" localSheetId="4">'[21]#REF!'!$A$9:$N$1086</definedName>
    <definedName name="data_8_2_1" localSheetId="0">#REF!</definedName>
    <definedName name="data_8_2_1">'[21]#REF!'!$A$9:$N$1086</definedName>
    <definedName name="data_8_2_1_1" localSheetId="4">'[21]#REF!'!$A$9:$N$1086</definedName>
    <definedName name="data_8_2_1_1" localSheetId="0">#REF!</definedName>
    <definedName name="data_8_2_1_1">'[21]#REF!'!$A$9:$N$1086</definedName>
    <definedName name="data_8_2_2" localSheetId="4">'[21]#REF!'!$A$9:$N$1086</definedName>
    <definedName name="data_8_2_2" localSheetId="0">#REF!</definedName>
    <definedName name="data_8_2_2">'[21]#REF!'!$A$9:$N$1086</definedName>
    <definedName name="data_8_3" localSheetId="4">#REF!</definedName>
    <definedName name="data_8_3" localSheetId="2">#REF!</definedName>
    <definedName name="data_8_3" localSheetId="0">'[20]#REF!'!$A$9:$N$1099</definedName>
    <definedName name="data_8_3" localSheetId="7">#REF!</definedName>
    <definedName name="data_8_3" localSheetId="5">#REF!</definedName>
    <definedName name="data_8_3">#REF!</definedName>
    <definedName name="data_8_3_1" localSheetId="4">'[21]#REF!'!$A$9:$N$1099</definedName>
    <definedName name="data_8_3_1" localSheetId="0">#REF!</definedName>
    <definedName name="data_8_3_1">'[21]#REF!'!$A$9:$N$1099</definedName>
    <definedName name="data_8_3_2" localSheetId="4">'[21]#REF!'!$A$9:$N$1099</definedName>
    <definedName name="data_8_3_2" localSheetId="0">#REF!</definedName>
    <definedName name="data_8_3_2">'[21]#REF!'!$A$9:$N$1099</definedName>
    <definedName name="data_9" localSheetId="4">#REF!</definedName>
    <definedName name="data_9" localSheetId="2">#REF!</definedName>
    <definedName name="data_9" localSheetId="0">'[20]#REF!'!$A$7:$N$1122</definedName>
    <definedName name="data_9" localSheetId="7">#REF!</definedName>
    <definedName name="data_9" localSheetId="5">#REF!</definedName>
    <definedName name="data_9">#REF!</definedName>
    <definedName name="data_9_1" localSheetId="4">#REF!</definedName>
    <definedName name="data_9_1" localSheetId="2">#REF!</definedName>
    <definedName name="data_9_1" localSheetId="0">'[20]#REF!'!$A$7:$N$1122</definedName>
    <definedName name="data_9_1" localSheetId="7">#REF!</definedName>
    <definedName name="data_9_1" localSheetId="5">#REF!</definedName>
    <definedName name="data_9_1">#REF!</definedName>
    <definedName name="data_9_1_1" localSheetId="4">#REF!</definedName>
    <definedName name="data_9_1_1" localSheetId="2">#REF!</definedName>
    <definedName name="data_9_1_1" localSheetId="0">'[20]#REF!'!$A$7:$N$1135</definedName>
    <definedName name="data_9_1_1" localSheetId="7">#REF!</definedName>
    <definedName name="data_9_1_1" localSheetId="5">#REF!</definedName>
    <definedName name="data_9_1_1">#REF!</definedName>
    <definedName name="data_9_1_1_1" localSheetId="4">'[21]#REF!'!$A$7:$N$1122</definedName>
    <definedName name="data_9_1_1_1" localSheetId="0">#REF!</definedName>
    <definedName name="data_9_1_1_1">'[21]#REF!'!$A$7:$N$1122</definedName>
    <definedName name="data_9_1_1_1_1" localSheetId="4">'[21]#REF!'!$A$7:$N$1135</definedName>
    <definedName name="data_9_1_1_1_1" localSheetId="0">#REF!</definedName>
    <definedName name="data_9_1_1_1_1">'[21]#REF!'!$A$7:$N$1135</definedName>
    <definedName name="data_9_1_1_1_1_1" localSheetId="4">'[21]#REF!'!$A$7:$N$1135</definedName>
    <definedName name="data_9_1_1_1_1_1" localSheetId="0">#REF!</definedName>
    <definedName name="data_9_1_1_1_1_1">'[21]#REF!'!$A$7:$N$1135</definedName>
    <definedName name="data_9_1_1_2" localSheetId="4">'[21]#REF!'!$A$7:$N$1135</definedName>
    <definedName name="data_9_1_1_2" localSheetId="0">#REF!</definedName>
    <definedName name="data_9_1_1_2">'[21]#REF!'!$A$7:$N$1135</definedName>
    <definedName name="data_9_1_2" localSheetId="4">'[21]#REF!'!$A$7:$N$1122</definedName>
    <definedName name="data_9_1_2" localSheetId="0">#REF!</definedName>
    <definedName name="data_9_1_2">'[21]#REF!'!$A$7:$N$1122</definedName>
    <definedName name="data_9_2" localSheetId="4">#REF!</definedName>
    <definedName name="data_9_2" localSheetId="2">#REF!</definedName>
    <definedName name="data_9_2" localSheetId="0">'[20]#REF!'!$A$7:$N$1122</definedName>
    <definedName name="data_9_2" localSheetId="7">#REF!</definedName>
    <definedName name="data_9_2" localSheetId="5">#REF!</definedName>
    <definedName name="data_9_2">#REF!</definedName>
    <definedName name="data_9_2_1" localSheetId="4">'[21]#REF!'!$A$7:$N$1122</definedName>
    <definedName name="data_9_2_1" localSheetId="0">#REF!</definedName>
    <definedName name="data_9_2_1">'[21]#REF!'!$A$7:$N$1122</definedName>
    <definedName name="data_9_2_1_1" localSheetId="4">'[21]#REF!'!$A$7:$N$1122</definedName>
    <definedName name="data_9_2_1_1" localSheetId="0">#REF!</definedName>
    <definedName name="data_9_2_1_1">'[21]#REF!'!$A$7:$N$1122</definedName>
    <definedName name="data_9_2_2" localSheetId="4">'[21]#REF!'!$A$7:$N$1122</definedName>
    <definedName name="data_9_2_2" localSheetId="0">#REF!</definedName>
    <definedName name="data_9_2_2">'[21]#REF!'!$A$7:$N$1122</definedName>
    <definedName name="data_9_3" localSheetId="4">#REF!</definedName>
    <definedName name="data_9_3" localSheetId="2">#REF!</definedName>
    <definedName name="data_9_3" localSheetId="0">'[20]#REF!'!$A$7:$N$1135</definedName>
    <definedName name="data_9_3" localSheetId="7">#REF!</definedName>
    <definedName name="data_9_3" localSheetId="5">#REF!</definedName>
    <definedName name="data_9_3">#REF!</definedName>
    <definedName name="data_9_3_1" localSheetId="4">'[21]#REF!'!$A$7:$N$1135</definedName>
    <definedName name="data_9_3_1" localSheetId="0">#REF!</definedName>
    <definedName name="data_9_3_1">'[21]#REF!'!$A$7:$N$1135</definedName>
    <definedName name="data_9_3_2" localSheetId="4">'[21]#REF!'!$A$7:$N$1135</definedName>
    <definedName name="data_9_3_2" localSheetId="0">#REF!</definedName>
    <definedName name="data_9_3_2">'[21]#REF!'!$A$7:$N$1135</definedName>
    <definedName name="_xlnm.Database" localSheetId="4">#REF!</definedName>
    <definedName name="_xlnm.Database" localSheetId="2">#REF!</definedName>
    <definedName name="_xlnm.Database" localSheetId="0" hidden="1">'[22]#REF!'!$B$1:$AQ$13</definedName>
    <definedName name="_xlnm.Database" localSheetId="7">#REF!</definedName>
    <definedName name="_xlnm.Database" localSheetId="5">#REF!</definedName>
    <definedName name="_xlnm.Database">#REF!</definedName>
    <definedName name="Database1">'[23]k2 '!$B$1:$AQ$13</definedName>
    <definedName name="Database1_1" localSheetId="4">'[24]k2 '!$B$1:$AQ$13</definedName>
    <definedName name="Database1_1" localSheetId="0">'[25]k2 '!$B$1:$AQ$13</definedName>
    <definedName name="Database1_1">'[24]k2 '!$B$1:$AQ$13</definedName>
    <definedName name="Database1_2" localSheetId="4">'[24]k2 '!$B$1:$AQ$13</definedName>
    <definedName name="Database1_2" localSheetId="0">'[25]k2 '!$B$1:$AQ$13</definedName>
    <definedName name="Database1_2">'[24]k2 '!$B$1:$AQ$13</definedName>
    <definedName name="Database1_3" localSheetId="4">'[26]k2 '!$B$1:$AQ$13</definedName>
    <definedName name="Database1_3" localSheetId="0">'[27]k2 '!$B$1:$AQ$13</definedName>
    <definedName name="Database1_3">'[26]k2 '!$B$1:$AQ$13</definedName>
    <definedName name="Database1_4" localSheetId="4">'[28]k2 '!$B$1:$AQ$13</definedName>
    <definedName name="Database1_4" localSheetId="0">'[29]k2 '!$B$1:$AQ$13</definedName>
    <definedName name="Database1_4">'[28]k2 '!$B$1:$AQ$13</definedName>
    <definedName name="Database1_5" localSheetId="4">'[30]k2 '!$B$1:$AQ$13</definedName>
    <definedName name="Database1_5" localSheetId="0">'[31]k2 '!$B$1:$AQ$13</definedName>
    <definedName name="Database1_5">'[30]k2 '!$B$1:$AQ$13</definedName>
    <definedName name="Detail_Page">'[32]Key 7'!$F$4:$AM$62</definedName>
    <definedName name="Detail_Page_1" localSheetId="4">'[33]Key 7'!$F$4:$AM$62</definedName>
    <definedName name="Detail_Page_1" localSheetId="0">'[34]Key 7'!$F$4:$AM$62</definedName>
    <definedName name="Detail_Page_1">'[33]Key 7'!$F$4:$AM$62</definedName>
    <definedName name="Detail_Page_2" localSheetId="4">'[33]Key 7'!$F$4:$AM$62</definedName>
    <definedName name="Detail_Page_2" localSheetId="0">'[34]Key 7'!$F$4:$AM$62</definedName>
    <definedName name="Detail_Page_2">'[33]Key 7'!$F$4:$AM$62</definedName>
    <definedName name="df" localSheetId="4">[5]DEFINITION1!#REF!</definedName>
    <definedName name="df" localSheetId="2">[5]DEFINITION1!#REF!</definedName>
    <definedName name="df" localSheetId="6">[5]DEFINITION1!#REF!</definedName>
    <definedName name="df" localSheetId="7">[5]DEFINITION1!#REF!</definedName>
    <definedName name="df" localSheetId="5">[5]DEFINITION1!#REF!</definedName>
    <definedName name="df">[5]DEFINITION1!#REF!</definedName>
    <definedName name="df_1" localSheetId="4">[5]DEFINITION1!#REF!</definedName>
    <definedName name="df_1" localSheetId="2">[5]DEFINITION1!#REF!</definedName>
    <definedName name="df_1" localSheetId="6">[5]DEFINITION1!#REF!</definedName>
    <definedName name="df_1" localSheetId="7">[5]DEFINITION1!#REF!</definedName>
    <definedName name="df_1" localSheetId="5">[5]DEFINITION1!#REF!</definedName>
    <definedName name="df_1">[5]DEFINITION1!#REF!</definedName>
    <definedName name="df_2" localSheetId="4">[5]DEFINITION1!#REF!</definedName>
    <definedName name="df_2" localSheetId="2">[5]DEFINITION1!#REF!</definedName>
    <definedName name="df_2" localSheetId="6">[5]DEFINITION1!#REF!</definedName>
    <definedName name="df_2" localSheetId="7">[5]DEFINITION1!#REF!</definedName>
    <definedName name="df_2" localSheetId="5">[5]DEFINITION1!#REF!</definedName>
    <definedName name="df_2">[5]DEFINITION1!#REF!</definedName>
    <definedName name="df_3" localSheetId="4">[5]DEFINITION1!#REF!</definedName>
    <definedName name="df_3" localSheetId="2">[5]DEFINITION1!#REF!</definedName>
    <definedName name="df_3" localSheetId="6">[5]DEFINITION1!#REF!</definedName>
    <definedName name="df_3" localSheetId="7">[5]DEFINITION1!#REF!</definedName>
    <definedName name="df_3" localSheetId="5">[5]DEFINITION1!#REF!</definedName>
    <definedName name="df_3">[5]DEFINITION1!#REF!</definedName>
    <definedName name="dfr" localSheetId="4">[8]DEFINITION1!#REF!</definedName>
    <definedName name="dfr" localSheetId="2">[8]DEFINITION1!#REF!</definedName>
    <definedName name="dfr" localSheetId="6">[8]DEFINITION1!#REF!</definedName>
    <definedName name="dfr" localSheetId="7">[8]DEFINITION1!#REF!</definedName>
    <definedName name="dfr" localSheetId="5">[8]DEFINITION1!#REF!</definedName>
    <definedName name="dfr">[8]DEFINITION1!#REF!</definedName>
    <definedName name="dfr_1" localSheetId="4">[8]DEFINITION1!#REF!</definedName>
    <definedName name="dfr_1" localSheetId="2">[8]DEFINITION1!#REF!</definedName>
    <definedName name="dfr_1" localSheetId="6">[8]DEFINITION1!#REF!</definedName>
    <definedName name="dfr_1" localSheetId="7">[8]DEFINITION1!#REF!</definedName>
    <definedName name="dfr_1" localSheetId="5">[8]DEFINITION1!#REF!</definedName>
    <definedName name="dfr_1">[8]DEFINITION1!#REF!</definedName>
    <definedName name="dfr_2" localSheetId="4">[8]DEFINITION1!#REF!</definedName>
    <definedName name="dfr_2" localSheetId="2">[8]DEFINITION1!#REF!</definedName>
    <definedName name="dfr_2" localSheetId="6">[8]DEFINITION1!#REF!</definedName>
    <definedName name="dfr_2" localSheetId="7">[8]DEFINITION1!#REF!</definedName>
    <definedName name="dfr_2" localSheetId="5">[8]DEFINITION1!#REF!</definedName>
    <definedName name="dfr_2">[8]DEFINITION1!#REF!</definedName>
    <definedName name="dfr_3" localSheetId="4">[8]DEFINITION1!#REF!</definedName>
    <definedName name="dfr_3" localSheetId="2">[8]DEFINITION1!#REF!</definedName>
    <definedName name="dfr_3" localSheetId="6">[8]DEFINITION1!#REF!</definedName>
    <definedName name="dfr_3" localSheetId="7">[8]DEFINITION1!#REF!</definedName>
    <definedName name="dfr_3" localSheetId="5">[8]DEFINITION1!#REF!</definedName>
    <definedName name="dfr_3">[8]DEFINITION1!#REF!</definedName>
    <definedName name="dgbdf" localSheetId="4">[8]DEFINITION1!#REF!</definedName>
    <definedName name="dgbdf" localSheetId="2">[8]DEFINITION1!#REF!</definedName>
    <definedName name="dgbdf" localSheetId="6">[8]DEFINITION1!#REF!</definedName>
    <definedName name="dgbdf" localSheetId="7">[8]DEFINITION1!#REF!</definedName>
    <definedName name="dgbdf" localSheetId="5">[8]DEFINITION1!#REF!</definedName>
    <definedName name="dgbdf">[8]DEFINITION1!#REF!</definedName>
    <definedName name="dgbdf_1" localSheetId="4">[8]DEFINITION1!#REF!</definedName>
    <definedName name="dgbdf_1" localSheetId="2">[8]DEFINITION1!#REF!</definedName>
    <definedName name="dgbdf_1" localSheetId="6">[8]DEFINITION1!#REF!</definedName>
    <definedName name="dgbdf_1" localSheetId="7">[8]DEFINITION1!#REF!</definedName>
    <definedName name="dgbdf_1" localSheetId="5">[8]DEFINITION1!#REF!</definedName>
    <definedName name="dgbdf_1">[8]DEFINITION1!#REF!</definedName>
    <definedName name="dgbdf_2" localSheetId="4">[8]DEFINITION1!#REF!</definedName>
    <definedName name="dgbdf_2" localSheetId="2">[8]DEFINITION1!#REF!</definedName>
    <definedName name="dgbdf_2" localSheetId="6">[8]DEFINITION1!#REF!</definedName>
    <definedName name="dgbdf_2" localSheetId="7">[8]DEFINITION1!#REF!</definedName>
    <definedName name="dgbdf_2" localSheetId="5">[8]DEFINITION1!#REF!</definedName>
    <definedName name="dgbdf_2">[8]DEFINITION1!#REF!</definedName>
    <definedName name="dgbdf_3" localSheetId="4">[8]DEFINITION1!#REF!</definedName>
    <definedName name="dgbdf_3" localSheetId="2">[8]DEFINITION1!#REF!</definedName>
    <definedName name="dgbdf_3" localSheetId="6">[8]DEFINITION1!#REF!</definedName>
    <definedName name="dgbdf_3" localSheetId="7">[8]DEFINITION1!#REF!</definedName>
    <definedName name="dgbdf_3" localSheetId="5">[8]DEFINITION1!#REF!</definedName>
    <definedName name="dgbdf_3">[8]DEFINITION1!#REF!</definedName>
    <definedName name="DGMAT" localSheetId="4">#REF!</definedName>
    <definedName name="DGMAT" localSheetId="2">#REF!</definedName>
    <definedName name="DGMAT" localSheetId="0">'[2]#REF!'!$A$2:$K$39</definedName>
    <definedName name="DGMAT" localSheetId="7">#REF!</definedName>
    <definedName name="DGMAT" localSheetId="5">#REF!</definedName>
    <definedName name="DGMAT">#REF!</definedName>
    <definedName name="Diff_PartsDwg" localSheetId="4">'[3]Diff_Data _2_'!#REF!</definedName>
    <definedName name="Diff_PartsDwg" localSheetId="2">'[3]Diff_Data _2_'!#REF!</definedName>
    <definedName name="Diff_PartsDwg" localSheetId="6">'[3]Diff_Data _2_'!#REF!</definedName>
    <definedName name="Diff_PartsDwg" localSheetId="7">'[3]Diff_Data _2_'!#REF!</definedName>
    <definedName name="Diff_PartsDwg" localSheetId="5">'[3]Diff_Data _2_'!#REF!</definedName>
    <definedName name="Diff_PartsDwg">'[3]Diff_Data _2_'!#REF!</definedName>
    <definedName name="Diff_PartsDwg_1" localSheetId="4">'[3]Diff_Data _2_'!#REF!</definedName>
    <definedName name="Diff_PartsDwg_1" localSheetId="2">'[3]Diff_Data _2_'!#REF!</definedName>
    <definedName name="Diff_PartsDwg_1" localSheetId="6">'[3]Diff_Data _2_'!#REF!</definedName>
    <definedName name="Diff_PartsDwg_1" localSheetId="7">'[3]Diff_Data _2_'!#REF!</definedName>
    <definedName name="Diff_PartsDwg_1" localSheetId="5">'[3]Diff_Data _2_'!#REF!</definedName>
    <definedName name="Diff_PartsDwg_1">'[3]Diff_Data _2_'!#REF!</definedName>
    <definedName name="Diff_PartsDwg_2" localSheetId="4">'[3]Diff_Data _2_'!#REF!</definedName>
    <definedName name="Diff_PartsDwg_2" localSheetId="2">'[3]Diff_Data _2_'!#REF!</definedName>
    <definedName name="Diff_PartsDwg_2" localSheetId="6">'[3]Diff_Data _2_'!#REF!</definedName>
    <definedName name="Diff_PartsDwg_2" localSheetId="7">'[3]Diff_Data _2_'!#REF!</definedName>
    <definedName name="Diff_PartsDwg_2" localSheetId="5">'[3]Diff_Data _2_'!#REF!</definedName>
    <definedName name="Diff_PartsDwg_2">'[3]Diff_Data _2_'!#REF!</definedName>
    <definedName name="Diff_PartsDwg_3" localSheetId="4">'[3]Diff_Data _2_'!#REF!</definedName>
    <definedName name="Diff_PartsDwg_3" localSheetId="2">'[3]Diff_Data _2_'!#REF!</definedName>
    <definedName name="Diff_PartsDwg_3" localSheetId="6">'[3]Diff_Data _2_'!#REF!</definedName>
    <definedName name="Diff_PartsDwg_3" localSheetId="7">'[3]Diff_Data _2_'!#REF!</definedName>
    <definedName name="Diff_PartsDwg_3" localSheetId="5">'[3]Diff_Data _2_'!#REF!</definedName>
    <definedName name="Diff_PartsDwg_3">'[3]Diff_Data _2_'!#REF!</definedName>
    <definedName name="Diff_PartsName" localSheetId="4">'[3]Diff_Data _2_'!#REF!</definedName>
    <definedName name="Diff_PartsName" localSheetId="2">'[3]Diff_Data _2_'!#REF!</definedName>
    <definedName name="Diff_PartsName" localSheetId="6">'[3]Diff_Data _2_'!#REF!</definedName>
    <definedName name="Diff_PartsName" localSheetId="7">'[3]Diff_Data _2_'!#REF!</definedName>
    <definedName name="Diff_PartsName" localSheetId="5">'[3]Diff_Data _2_'!#REF!</definedName>
    <definedName name="Diff_PartsName">'[3]Diff_Data _2_'!#REF!</definedName>
    <definedName name="Diff_PartsName_1" localSheetId="4">'[3]Diff_Data _2_'!#REF!</definedName>
    <definedName name="Diff_PartsName_1" localSheetId="2">'[3]Diff_Data _2_'!#REF!</definedName>
    <definedName name="Diff_PartsName_1" localSheetId="6">'[3]Diff_Data _2_'!#REF!</definedName>
    <definedName name="Diff_PartsName_1" localSheetId="7">'[3]Diff_Data _2_'!#REF!</definedName>
    <definedName name="Diff_PartsName_1" localSheetId="5">'[3]Diff_Data _2_'!#REF!</definedName>
    <definedName name="Diff_PartsName_1">'[3]Diff_Data _2_'!#REF!</definedName>
    <definedName name="Diff_PartsName_2" localSheetId="4">'[3]Diff_Data _2_'!#REF!</definedName>
    <definedName name="Diff_PartsName_2" localSheetId="2">'[3]Diff_Data _2_'!#REF!</definedName>
    <definedName name="Diff_PartsName_2" localSheetId="6">'[3]Diff_Data _2_'!#REF!</definedName>
    <definedName name="Diff_PartsName_2" localSheetId="7">'[3]Diff_Data _2_'!#REF!</definedName>
    <definedName name="Diff_PartsName_2" localSheetId="5">'[3]Diff_Data _2_'!#REF!</definedName>
    <definedName name="Diff_PartsName_2">'[3]Diff_Data _2_'!#REF!</definedName>
    <definedName name="Diff_PartsName_3" localSheetId="4">'[3]Diff_Data _2_'!#REF!</definedName>
    <definedName name="Diff_PartsName_3" localSheetId="2">'[3]Diff_Data _2_'!#REF!</definedName>
    <definedName name="Diff_PartsName_3" localSheetId="6">'[3]Diff_Data _2_'!#REF!</definedName>
    <definedName name="Diff_PartsName_3" localSheetId="7">'[3]Diff_Data _2_'!#REF!</definedName>
    <definedName name="Diff_PartsName_3" localSheetId="5">'[3]Diff_Data _2_'!#REF!</definedName>
    <definedName name="Diff_PartsName_3">'[3]Diff_Data _2_'!#REF!</definedName>
    <definedName name="ee" localSheetId="4">[12]DEFINITION1!#REF!</definedName>
    <definedName name="ee" localSheetId="2">[12]DEFINITION1!#REF!</definedName>
    <definedName name="ee" localSheetId="6">[12]DEFINITION1!#REF!</definedName>
    <definedName name="ee" localSheetId="7">[12]DEFINITION1!#REF!</definedName>
    <definedName name="ee" localSheetId="5">[12]DEFINITION1!#REF!</definedName>
    <definedName name="ee">[12]DEFINITION1!#REF!</definedName>
    <definedName name="EEE" localSheetId="4">#REF!</definedName>
    <definedName name="EEE" localSheetId="2">#REF!</definedName>
    <definedName name="EEE" localSheetId="0">'[2]#REF!'!#REF!</definedName>
    <definedName name="EEE" localSheetId="6">#REF!</definedName>
    <definedName name="EEE" localSheetId="7">#REF!</definedName>
    <definedName name="EEE" localSheetId="5">#REF!</definedName>
    <definedName name="EEE">#REF!</definedName>
    <definedName name="EEE_1" localSheetId="4">'[2]#REF!'!#REF!</definedName>
    <definedName name="EEE_1" localSheetId="2">'[2]#REF!'!#REF!</definedName>
    <definedName name="EEE_1" localSheetId="0">#REF!</definedName>
    <definedName name="EEE_1" localSheetId="6">'[2]#REF!'!#REF!</definedName>
    <definedName name="EEE_1" localSheetId="7">'[2]#REF!'!#REF!</definedName>
    <definedName name="EEE_1" localSheetId="5">'[2]#REF!'!#REF!</definedName>
    <definedName name="EEE_1">'[2]#REF!'!#REF!</definedName>
    <definedName name="EEE_2" localSheetId="4">'[2]#REF!'!#REF!</definedName>
    <definedName name="EEE_2" localSheetId="2">'[2]#REF!'!#REF!</definedName>
    <definedName name="EEE_2" localSheetId="0">#REF!</definedName>
    <definedName name="EEE_2" localSheetId="6">'[2]#REF!'!#REF!</definedName>
    <definedName name="EEE_2" localSheetId="7">'[2]#REF!'!#REF!</definedName>
    <definedName name="EEE_2" localSheetId="5">'[2]#REF!'!#REF!</definedName>
    <definedName name="EEE_2">'[2]#REF!'!#REF!</definedName>
    <definedName name="EMS" localSheetId="4">#REF!</definedName>
    <definedName name="EMS" localSheetId="2">#REF!</definedName>
    <definedName name="EMS" localSheetId="0">'[35]#REF!'!$A$1:$AO$36</definedName>
    <definedName name="EMS" localSheetId="7">#REF!</definedName>
    <definedName name="EMS" localSheetId="5">#REF!</definedName>
    <definedName name="EMS">#REF!</definedName>
    <definedName name="EMS_1" localSheetId="4">'[36]#REF!'!$A$1:$AO$36</definedName>
    <definedName name="EMS_1" localSheetId="0">#REF!</definedName>
    <definedName name="EMS_1">'[36]#REF!'!$A$1:$AO$36</definedName>
    <definedName name="EMS_2" localSheetId="4">'[36]#REF!'!$A$1:$AO$36</definedName>
    <definedName name="EMS_2" localSheetId="0">#REF!</definedName>
    <definedName name="EMS_2">'[36]#REF!'!$A$1:$AO$36</definedName>
    <definedName name="EMS1_1" localSheetId="4">'[3]Diff_Data _2_'!#REF!</definedName>
    <definedName name="EMS1_1" localSheetId="2">'[3]Diff_Data _2_'!#REF!</definedName>
    <definedName name="EMS1_1" localSheetId="6">'[3]Diff_Data _2_'!#REF!</definedName>
    <definedName name="EMS1_1" localSheetId="7">'[3]Diff_Data _2_'!#REF!</definedName>
    <definedName name="EMS1_1" localSheetId="5">'[3]Diff_Data _2_'!#REF!</definedName>
    <definedName name="EMS1_1">'[3]Diff_Data _2_'!#REF!</definedName>
    <definedName name="EMS1_2" localSheetId="4">'[3]Diff_Data _2_'!#REF!</definedName>
    <definedName name="EMS1_2" localSheetId="2">'[3]Diff_Data _2_'!#REF!</definedName>
    <definedName name="EMS1_2" localSheetId="6">'[3]Diff_Data _2_'!#REF!</definedName>
    <definedName name="EMS1_2" localSheetId="7">'[3]Diff_Data _2_'!#REF!</definedName>
    <definedName name="EMS1_2" localSheetId="5">'[3]Diff_Data _2_'!#REF!</definedName>
    <definedName name="EMS1_2">'[3]Diff_Data _2_'!#REF!</definedName>
    <definedName name="EMS1_3" localSheetId="4">'[3]Diff_Data _2_'!#REF!</definedName>
    <definedName name="EMS1_3" localSheetId="2">'[3]Diff_Data _2_'!#REF!</definedName>
    <definedName name="EMS1_3" localSheetId="6">'[3]Diff_Data _2_'!#REF!</definedName>
    <definedName name="EMS1_3" localSheetId="7">'[3]Diff_Data _2_'!#REF!</definedName>
    <definedName name="EMS1_3" localSheetId="5">'[3]Diff_Data _2_'!#REF!</definedName>
    <definedName name="EMS1_3">'[3]Diff_Data _2_'!#REF!</definedName>
    <definedName name="Excel_BuiltIn__FilterDatabase_1" localSheetId="4">#REF!</definedName>
    <definedName name="Excel_BuiltIn__FilterDatabase_1" localSheetId="2">#REF!</definedName>
    <definedName name="Excel_BuiltIn__FilterDatabase_1" localSheetId="0">'[20]#REF!'!$A$4:$AB$40</definedName>
    <definedName name="Excel_BuiltIn__FilterDatabase_1" localSheetId="7">#REF!</definedName>
    <definedName name="Excel_BuiltIn__FilterDatabase_1" localSheetId="5">#REF!</definedName>
    <definedName name="Excel_BuiltIn__FilterDatabase_1">#REF!</definedName>
    <definedName name="Excel_BuiltIn__FilterDatabase_1_1" localSheetId="4">'[21]#REF!'!$A$4:$AB$40</definedName>
    <definedName name="Excel_BuiltIn__FilterDatabase_1_1" localSheetId="0">#REF!</definedName>
    <definedName name="Excel_BuiltIn__FilterDatabase_1_1">'[21]#REF!'!$A$4:$AB$40</definedName>
    <definedName name="Excel_BuiltIn__FilterDatabase_1_2" localSheetId="4">'[21]#REF!'!$A$4:$AB$40</definedName>
    <definedName name="Excel_BuiltIn__FilterDatabase_1_2" localSheetId="0">#REF!</definedName>
    <definedName name="Excel_BuiltIn__FilterDatabase_1_2">'[21]#REF!'!$A$4:$AB$40</definedName>
    <definedName name="Excel_BuiltIn__FilterDatabase_2" localSheetId="4">#REF!</definedName>
    <definedName name="Excel_BuiltIn__FilterDatabase_2" localSheetId="2">#REF!</definedName>
    <definedName name="Excel_BuiltIn__FilterDatabase_2" localSheetId="0">'[20]#REF!'!$A$4:$AB$40</definedName>
    <definedName name="Excel_BuiltIn__FilterDatabase_2" localSheetId="7">#REF!</definedName>
    <definedName name="Excel_BuiltIn__FilterDatabase_2" localSheetId="5">#REF!</definedName>
    <definedName name="Excel_BuiltIn__FilterDatabase_2">#REF!</definedName>
    <definedName name="Excel_BuiltIn__FilterDatabase_2_1" localSheetId="4">#REF!</definedName>
    <definedName name="Excel_BuiltIn__FilterDatabase_2_1" localSheetId="2">#REF!</definedName>
    <definedName name="Excel_BuiltIn__FilterDatabase_2_1" localSheetId="0">'[20]#REF!'!$A$4:$AB$40</definedName>
    <definedName name="Excel_BuiltIn__FilterDatabase_2_1" localSheetId="7">#REF!</definedName>
    <definedName name="Excel_BuiltIn__FilterDatabase_2_1" localSheetId="5">#REF!</definedName>
    <definedName name="Excel_BuiltIn__FilterDatabase_2_1">#REF!</definedName>
    <definedName name="Excel_BuiltIn__FilterDatabase_2_1_1" localSheetId="4">'[21]#REF!'!$A$4:$AB$40</definedName>
    <definedName name="Excel_BuiltIn__FilterDatabase_2_1_1" localSheetId="0">#REF!</definedName>
    <definedName name="Excel_BuiltIn__FilterDatabase_2_1_1">'[21]#REF!'!$A$4:$AB$40</definedName>
    <definedName name="Excel_BuiltIn__FilterDatabase_2_1_1_1" localSheetId="4">'[21]#REF!'!$A$4:$AB$40</definedName>
    <definedName name="Excel_BuiltIn__FilterDatabase_2_1_1_1" localSheetId="0">#REF!</definedName>
    <definedName name="Excel_BuiltIn__FilterDatabase_2_1_1_1">'[21]#REF!'!$A$4:$AB$40</definedName>
    <definedName name="Excel_BuiltIn__FilterDatabase_2_1_2" localSheetId="4">'[21]#REF!'!$A$4:$AB$40</definedName>
    <definedName name="Excel_BuiltIn__FilterDatabase_2_1_2" localSheetId="0">#REF!</definedName>
    <definedName name="Excel_BuiltIn__FilterDatabase_2_1_2">'[21]#REF!'!$A$4:$AB$40</definedName>
    <definedName name="Excel_BuiltIn__FilterDatabase_2_2" localSheetId="4">'[21]#REF!'!$A$4:$AB$40</definedName>
    <definedName name="Excel_BuiltIn__FilterDatabase_2_2" localSheetId="0">#REF!</definedName>
    <definedName name="Excel_BuiltIn__FilterDatabase_2_2">'[21]#REF!'!$A$4:$AB$40</definedName>
    <definedName name="Excel_BuiltIn_Database" localSheetId="4">'[37]#REF!'!$B$1:$AQ$13</definedName>
    <definedName name="Excel_BuiltIn_Database" localSheetId="0">#REF!</definedName>
    <definedName name="Excel_BuiltIn_Database">'[37]#REF!'!$B$1:$AQ$13</definedName>
    <definedName name="Excel_BuiltIn_Database_1" localSheetId="4">'[37]#REF!'!$B$1:$AQ$13</definedName>
    <definedName name="Excel_BuiltIn_Database_1" localSheetId="0">#REF!</definedName>
    <definedName name="Excel_BuiltIn_Database_1">'[37]#REF!'!$B$1:$AQ$13</definedName>
    <definedName name="Excel_BuiltIn_Print_Area" localSheetId="4">#REF!</definedName>
    <definedName name="Excel_BuiltIn_Print_Area" localSheetId="2">#REF!</definedName>
    <definedName name="Excel_BuiltIn_Print_Area" localSheetId="0">#REF!</definedName>
    <definedName name="Excel_BuiltIn_Print_Area" localSheetId="7">#REF!</definedName>
    <definedName name="Excel_BuiltIn_Print_Area" localSheetId="5">#REF!</definedName>
    <definedName name="Excel_BuiltIn_Print_Area">#REF!</definedName>
    <definedName name="Excel_BuiltIn_Print_Area_1" localSheetId="4">'[38]#REF!'!$A$57:$C$82</definedName>
    <definedName name="Excel_BuiltIn_Print_Area_1" localSheetId="0">#REF!</definedName>
    <definedName name="Excel_BuiltIn_Print_Area_1">'[38]#REF!'!$A$57:$C$82</definedName>
    <definedName name="Excel_BuiltIn_Print_Area_1_1" localSheetId="4">'[38]#REF!'!$A$57:$C$82</definedName>
    <definedName name="Excel_BuiltIn_Print_Area_1_1" localSheetId="0">#REF!</definedName>
    <definedName name="Excel_BuiltIn_Print_Area_1_1">'[38]#REF!'!$A$57:$C$82</definedName>
    <definedName name="Excel_BuiltIn_Print_Area_1_1_1">'[2]#REF!'!$A$57:$C$82</definedName>
    <definedName name="Excel_BuiltIn_Print_Area_1_1_1_1">'[2]#REF!'!$A$57:$C$82</definedName>
    <definedName name="Excel_BuiltIn_Print_Area_1_2" localSheetId="4">'[39]#REF!'!$A$57:$C$82</definedName>
    <definedName name="Excel_BuiltIn_Print_Area_1_2" localSheetId="0">'[40]#REF!'!$A$57:$C$82</definedName>
    <definedName name="Excel_BuiltIn_Print_Area_1_2">'[39]#REF!'!$A$57:$C$82</definedName>
    <definedName name="Excel_BuiltIn_Print_Area_2" localSheetId="4">'[41]#REF!'!$A$59:$C$109</definedName>
    <definedName name="Excel_BuiltIn_Print_Area_2" localSheetId="0">#REF!</definedName>
    <definedName name="Excel_BuiltIn_Print_Area_2">'[41]#REF!'!$A$59:$C$109</definedName>
    <definedName name="Excel_BuiltIn_Print_Area_3" localSheetId="0">#REF!</definedName>
    <definedName name="Excel_BuiltIn_Print_Area_3">'[2]#REF!'!$A$57:$C$82</definedName>
    <definedName name="Excel_BuiltIn_Print_Area_4">#REF!</definedName>
    <definedName name="Excel_BuiltIn_Print_Area_5" localSheetId="4">'[41]#REF!'!$A$57:$C$82</definedName>
    <definedName name="Excel_BuiltIn_Print_Area_5" localSheetId="0">#REF!</definedName>
    <definedName name="Excel_BuiltIn_Print_Area_5">'[41]#REF!'!$A$57:$C$82</definedName>
    <definedName name="Excel_BuiltIn_Print_Area_8" localSheetId="0">#REF!</definedName>
    <definedName name="Excel_BuiltIn_Print_Area_8">'[2]#REF!'!$A$1:$BJ$97</definedName>
    <definedName name="Excel_BuiltIn_Print_Area_9" localSheetId="0">#REF!</definedName>
    <definedName name="Excel_BuiltIn_Print_Area_9">'[2]#REF!'!$A$57:$C$82</definedName>
    <definedName name="F" localSheetId="4" hidden="1">#REF!</definedName>
    <definedName name="F" localSheetId="2" hidden="1">#REF!</definedName>
    <definedName name="F" localSheetId="0" hidden="1">#REF!</definedName>
    <definedName name="F" localSheetId="6" hidden="1">#REF!</definedName>
    <definedName name="F" localSheetId="7" hidden="1">#REF!</definedName>
    <definedName name="F" localSheetId="5" hidden="1">#REF!</definedName>
    <definedName name="F" hidden="1">#REF!</definedName>
    <definedName name="FACTORY" localSheetId="4">'[3]Diff_Data _2_'!#REF!</definedName>
    <definedName name="FACTORY" localSheetId="2">'[3]Diff_Data _2_'!#REF!</definedName>
    <definedName name="FACTORY" localSheetId="6">'[3]Diff_Data _2_'!#REF!</definedName>
    <definedName name="FACTORY" localSheetId="7">'[3]Diff_Data _2_'!#REF!</definedName>
    <definedName name="FACTORY" localSheetId="5">'[3]Diff_Data _2_'!#REF!</definedName>
    <definedName name="FACTORY">'[3]Diff_Data _2_'!#REF!</definedName>
    <definedName name="FACTORY_1" localSheetId="4">'[3]Diff_Data _2_'!#REF!</definedName>
    <definedName name="FACTORY_1" localSheetId="2">'[3]Diff_Data _2_'!#REF!</definedName>
    <definedName name="FACTORY_1" localSheetId="6">'[3]Diff_Data _2_'!#REF!</definedName>
    <definedName name="FACTORY_1" localSheetId="7">'[3]Diff_Data _2_'!#REF!</definedName>
    <definedName name="FACTORY_1" localSheetId="5">'[3]Diff_Data _2_'!#REF!</definedName>
    <definedName name="FACTORY_1">'[3]Diff_Data _2_'!#REF!</definedName>
    <definedName name="FACTORY_2" localSheetId="4">'[3]Diff_Data _2_'!#REF!</definedName>
    <definedName name="FACTORY_2" localSheetId="2">'[3]Diff_Data _2_'!#REF!</definedName>
    <definedName name="FACTORY_2" localSheetId="6">'[3]Diff_Data _2_'!#REF!</definedName>
    <definedName name="FACTORY_2" localSheetId="7">'[3]Diff_Data _2_'!#REF!</definedName>
    <definedName name="FACTORY_2" localSheetId="5">'[3]Diff_Data _2_'!#REF!</definedName>
    <definedName name="FACTORY_2">'[3]Diff_Data _2_'!#REF!</definedName>
    <definedName name="Fcast" localSheetId="4">#REF!</definedName>
    <definedName name="Fcast" localSheetId="2">#REF!</definedName>
    <definedName name="Fcast" localSheetId="0">#REF!</definedName>
    <definedName name="Fcast" localSheetId="7">#REF!</definedName>
    <definedName name="Fcast" localSheetId="5">#REF!</definedName>
    <definedName name="Fcast">#REF!</definedName>
    <definedName name="Fcast_1" localSheetId="0">#REF!</definedName>
    <definedName name="Fcast_1">'[42]#REF!'!$I$4:$L$5</definedName>
    <definedName name="Fcast_2" localSheetId="4">'[42]#REF!'!$I$4:$L$5</definedName>
    <definedName name="Fcast_2" localSheetId="0">#REF!</definedName>
    <definedName name="Fcast_2">'[42]#REF!'!$I$4:$L$5</definedName>
    <definedName name="ffff" localSheetId="4">'[3]Diff_Data _2_'!#REF!</definedName>
    <definedName name="ffff" localSheetId="2">'[3]Diff_Data _2_'!#REF!</definedName>
    <definedName name="ffff" localSheetId="6">'[3]Diff_Data _2_'!#REF!</definedName>
    <definedName name="ffff" localSheetId="7">'[3]Diff_Data _2_'!#REF!</definedName>
    <definedName name="ffff" localSheetId="5">'[3]Diff_Data _2_'!#REF!</definedName>
    <definedName name="ffff">'[3]Diff_Data _2_'!#REF!</definedName>
    <definedName name="ffff_1" localSheetId="4">'[3]Diff_Data _2_'!#REF!</definedName>
    <definedName name="ffff_1" localSheetId="2">'[3]Diff_Data _2_'!#REF!</definedName>
    <definedName name="ffff_1" localSheetId="6">'[3]Diff_Data _2_'!#REF!</definedName>
    <definedName name="ffff_1" localSheetId="7">'[3]Diff_Data _2_'!#REF!</definedName>
    <definedName name="ffff_1" localSheetId="5">'[3]Diff_Data _2_'!#REF!</definedName>
    <definedName name="ffff_1">'[3]Diff_Data _2_'!#REF!</definedName>
    <definedName name="ffff_2" localSheetId="4">'[3]Diff_Data _2_'!#REF!</definedName>
    <definedName name="ffff_2" localSheetId="2">'[3]Diff_Data _2_'!#REF!</definedName>
    <definedName name="ffff_2" localSheetId="6">'[3]Diff_Data _2_'!#REF!</definedName>
    <definedName name="ffff_2" localSheetId="7">'[3]Diff_Data _2_'!#REF!</definedName>
    <definedName name="ffff_2" localSheetId="5">'[3]Diff_Data _2_'!#REF!</definedName>
    <definedName name="ffff_2">'[3]Diff_Data _2_'!#REF!</definedName>
    <definedName name="fhjg" localSheetId="4">[8]DEFINITION1!#REF!</definedName>
    <definedName name="fhjg" localSheetId="2">[8]DEFINITION1!#REF!</definedName>
    <definedName name="fhjg" localSheetId="6">[8]DEFINITION1!#REF!</definedName>
    <definedName name="fhjg" localSheetId="7">[8]DEFINITION1!#REF!</definedName>
    <definedName name="fhjg" localSheetId="5">[8]DEFINITION1!#REF!</definedName>
    <definedName name="fhjg">[8]DEFINITION1!#REF!</definedName>
    <definedName name="fhjg_1" localSheetId="4">[8]DEFINITION1!#REF!</definedName>
    <definedName name="fhjg_1" localSheetId="2">[8]DEFINITION1!#REF!</definedName>
    <definedName name="fhjg_1" localSheetId="6">[8]DEFINITION1!#REF!</definedName>
    <definedName name="fhjg_1" localSheetId="7">[8]DEFINITION1!#REF!</definedName>
    <definedName name="fhjg_1" localSheetId="5">[8]DEFINITION1!#REF!</definedName>
    <definedName name="fhjg_1">[8]DEFINITION1!#REF!</definedName>
    <definedName name="fhjg_2" localSheetId="4">[8]DEFINITION1!#REF!</definedName>
    <definedName name="fhjg_2" localSheetId="2">[8]DEFINITION1!#REF!</definedName>
    <definedName name="fhjg_2" localSheetId="6">[8]DEFINITION1!#REF!</definedName>
    <definedName name="fhjg_2" localSheetId="7">[8]DEFINITION1!#REF!</definedName>
    <definedName name="fhjg_2" localSheetId="5">[8]DEFINITION1!#REF!</definedName>
    <definedName name="fhjg_2">[8]DEFINITION1!#REF!</definedName>
    <definedName name="fhjg_3" localSheetId="4">[8]DEFINITION1!#REF!</definedName>
    <definedName name="fhjg_3" localSheetId="2">[8]DEFINITION1!#REF!</definedName>
    <definedName name="fhjg_3" localSheetId="6">[8]DEFINITION1!#REF!</definedName>
    <definedName name="fhjg_3" localSheetId="7">[8]DEFINITION1!#REF!</definedName>
    <definedName name="fhjg_3" localSheetId="5">[8]DEFINITION1!#REF!</definedName>
    <definedName name="fhjg_3">[8]DEFINITION1!#REF!</definedName>
    <definedName name="fhsjdf" localSheetId="4">'[6]Diff_Data _2_'!#REF!</definedName>
    <definedName name="fhsjdf" localSheetId="2">'[6]Diff_Data _2_'!#REF!</definedName>
    <definedName name="fhsjdf" localSheetId="6">'[6]Diff_Data _2_'!#REF!</definedName>
    <definedName name="fhsjdf" localSheetId="7">'[6]Diff_Data _2_'!#REF!</definedName>
    <definedName name="fhsjdf" localSheetId="5">'[6]Diff_Data _2_'!#REF!</definedName>
    <definedName name="fhsjdf">'[6]Diff_Data _2_'!#REF!</definedName>
    <definedName name="fhsjdf_1" localSheetId="4">'[6]Diff_Data _2_'!#REF!</definedName>
    <definedName name="fhsjdf_1" localSheetId="2">'[6]Diff_Data _2_'!#REF!</definedName>
    <definedName name="fhsjdf_1" localSheetId="6">'[6]Diff_Data _2_'!#REF!</definedName>
    <definedName name="fhsjdf_1" localSheetId="7">'[6]Diff_Data _2_'!#REF!</definedName>
    <definedName name="fhsjdf_1" localSheetId="5">'[6]Diff_Data _2_'!#REF!</definedName>
    <definedName name="fhsjdf_1">'[6]Diff_Data _2_'!#REF!</definedName>
    <definedName name="fhsjdf_2" localSheetId="4">'[6]Diff_Data _2_'!#REF!</definedName>
    <definedName name="fhsjdf_2" localSheetId="2">'[6]Diff_Data _2_'!#REF!</definedName>
    <definedName name="fhsjdf_2" localSheetId="6">'[6]Diff_Data _2_'!#REF!</definedName>
    <definedName name="fhsjdf_2" localSheetId="7">'[6]Diff_Data _2_'!#REF!</definedName>
    <definedName name="fhsjdf_2" localSheetId="5">'[6]Diff_Data _2_'!#REF!</definedName>
    <definedName name="fhsjdf_2">'[6]Diff_Data _2_'!#REF!</definedName>
    <definedName name="fhsjdf_3" localSheetId="4">'[6]Diff_Data _2_'!#REF!</definedName>
    <definedName name="fhsjdf_3" localSheetId="2">'[6]Diff_Data _2_'!#REF!</definedName>
    <definedName name="fhsjdf_3" localSheetId="6">'[6]Diff_Data _2_'!#REF!</definedName>
    <definedName name="fhsjdf_3" localSheetId="7">'[6]Diff_Data _2_'!#REF!</definedName>
    <definedName name="fhsjdf_3" localSheetId="5">'[6]Diff_Data _2_'!#REF!</definedName>
    <definedName name="fhsjdf_3">'[6]Diff_Data _2_'!#REF!</definedName>
    <definedName name="fill" localSheetId="4" hidden="1">'[3]Diff_Data _2_'!#REF!</definedName>
    <definedName name="fill" localSheetId="2" hidden="1">'[3]Diff_Data _2_'!#REF!</definedName>
    <definedName name="fill" localSheetId="6" hidden="1">'[3]Diff_Data _2_'!#REF!</definedName>
    <definedName name="fill" localSheetId="7" hidden="1">'[3]Diff_Data _2_'!#REF!</definedName>
    <definedName name="fill" localSheetId="5" hidden="1">'[3]Diff_Data _2_'!#REF!</definedName>
    <definedName name="fill" hidden="1">'[3]Diff_Data _2_'!#REF!</definedName>
    <definedName name="fill_1" localSheetId="4">'[3]Diff_Data _2_'!#REF!</definedName>
    <definedName name="fill_1" localSheetId="2">'[3]Diff_Data _2_'!#REF!</definedName>
    <definedName name="fill_1" localSheetId="0">'[3]Diff_Data _2_'!#REF!</definedName>
    <definedName name="fill_1" localSheetId="6">'[3]Diff_Data _2_'!#REF!</definedName>
    <definedName name="fill_1" localSheetId="7">'[3]Diff_Data _2_'!#REF!</definedName>
    <definedName name="fill_1" localSheetId="5">'[3]Diff_Data _2_'!#REF!</definedName>
    <definedName name="fill_1">'[3]Diff_Data _2_'!#REF!</definedName>
    <definedName name="fill_2" localSheetId="4">'[3]Diff_Data _2_'!#REF!</definedName>
    <definedName name="fill_2" localSheetId="2">'[3]Diff_Data _2_'!#REF!</definedName>
    <definedName name="fill_2" localSheetId="0">'[3]Diff_Data _2_'!#REF!</definedName>
    <definedName name="fill_2" localSheetId="6">'[3]Diff_Data _2_'!#REF!</definedName>
    <definedName name="fill_2" localSheetId="7">'[3]Diff_Data _2_'!#REF!</definedName>
    <definedName name="fill_2" localSheetId="5">'[3]Diff_Data _2_'!#REF!</definedName>
    <definedName name="fill_2">'[3]Diff_Data _2_'!#REF!</definedName>
    <definedName name="flex" localSheetId="4">#REF!</definedName>
    <definedName name="flex" localSheetId="2">#REF!</definedName>
    <definedName name="flex" localSheetId="0">'[2]#REF!'!#REF!</definedName>
    <definedName name="flex" localSheetId="6">#REF!</definedName>
    <definedName name="flex" localSheetId="7">#REF!</definedName>
    <definedName name="flex" localSheetId="5">#REF!</definedName>
    <definedName name="flex">#REF!</definedName>
    <definedName name="flex_1" localSheetId="4">'[2]#REF!'!#REF!</definedName>
    <definedName name="flex_1" localSheetId="2">'[2]#REF!'!#REF!</definedName>
    <definedName name="flex_1" localSheetId="0">#REF!</definedName>
    <definedName name="flex_1" localSheetId="6">'[2]#REF!'!#REF!</definedName>
    <definedName name="flex_1" localSheetId="7">'[2]#REF!'!#REF!</definedName>
    <definedName name="flex_1" localSheetId="5">'[2]#REF!'!#REF!</definedName>
    <definedName name="flex_1">'[2]#REF!'!#REF!</definedName>
    <definedName name="flex_2" localSheetId="4">'[2]#REF!'!#REF!</definedName>
    <definedName name="flex_2" localSheetId="2">'[2]#REF!'!#REF!</definedName>
    <definedName name="flex_2" localSheetId="0">#REF!</definedName>
    <definedName name="flex_2" localSheetId="6">'[2]#REF!'!#REF!</definedName>
    <definedName name="flex_2" localSheetId="7">'[2]#REF!'!#REF!</definedName>
    <definedName name="flex_2" localSheetId="5">'[2]#REF!'!#REF!</definedName>
    <definedName name="flex_2">'[2]#REF!'!#REF!</definedName>
    <definedName name="frg">[17]DEFINITION!$C$4</definedName>
    <definedName name="fscd" localSheetId="4">#REF!</definedName>
    <definedName name="fscd" localSheetId="2">#REF!</definedName>
    <definedName name="fscd" localSheetId="0">'[2]#REF!'!#REF!</definedName>
    <definedName name="fscd" localSheetId="6">#REF!</definedName>
    <definedName name="fscd" localSheetId="7">#REF!</definedName>
    <definedName name="fscd" localSheetId="5">#REF!</definedName>
    <definedName name="fscd">#REF!</definedName>
    <definedName name="fscd_1" localSheetId="4">'[2]#REF!'!#REF!</definedName>
    <definedName name="fscd_1" localSheetId="2">'[2]#REF!'!#REF!</definedName>
    <definedName name="fscd_1" localSheetId="0">#REF!</definedName>
    <definedName name="fscd_1" localSheetId="6">'[2]#REF!'!#REF!</definedName>
    <definedName name="fscd_1" localSheetId="7">'[2]#REF!'!#REF!</definedName>
    <definedName name="fscd_1" localSheetId="5">'[2]#REF!'!#REF!</definedName>
    <definedName name="fscd_1">'[2]#REF!'!#REF!</definedName>
    <definedName name="fscd_2" localSheetId="4">'[2]#REF!'!#REF!</definedName>
    <definedName name="fscd_2" localSheetId="2">'[2]#REF!'!#REF!</definedName>
    <definedName name="fscd_2" localSheetId="0">#REF!</definedName>
    <definedName name="fscd_2" localSheetId="6">'[2]#REF!'!#REF!</definedName>
    <definedName name="fscd_2" localSheetId="7">'[2]#REF!'!#REF!</definedName>
    <definedName name="fscd_2" localSheetId="5">'[2]#REF!'!#REF!</definedName>
    <definedName name="fscd_2">'[2]#REF!'!#REF!</definedName>
    <definedName name="fscd_3" localSheetId="4">'[2]#REF!'!#REF!</definedName>
    <definedName name="fscd_3" localSheetId="2">'[2]#REF!'!#REF!</definedName>
    <definedName name="fscd_3" localSheetId="0">#REF!</definedName>
    <definedName name="fscd_3" localSheetId="6">'[2]#REF!'!#REF!</definedName>
    <definedName name="fscd_3" localSheetId="7">'[2]#REF!'!#REF!</definedName>
    <definedName name="fscd_3" localSheetId="5">'[2]#REF!'!#REF!</definedName>
    <definedName name="fscd_3">'[2]#REF!'!#REF!</definedName>
    <definedName name="fsd">#REF!</definedName>
    <definedName name="ftghfg" localSheetId="4">[8]DEFINITION1!#REF!</definedName>
    <definedName name="ftghfg" localSheetId="2">[8]DEFINITION1!#REF!</definedName>
    <definedName name="ftghfg" localSheetId="6">[8]DEFINITION1!#REF!</definedName>
    <definedName name="ftghfg" localSheetId="7">[8]DEFINITION1!#REF!</definedName>
    <definedName name="ftghfg" localSheetId="5">[8]DEFINITION1!#REF!</definedName>
    <definedName name="ftghfg">[8]DEFINITION1!#REF!</definedName>
    <definedName name="ftghfg_1" localSheetId="4">[8]DEFINITION1!#REF!</definedName>
    <definedName name="ftghfg_1" localSheetId="2">[8]DEFINITION1!#REF!</definedName>
    <definedName name="ftghfg_1" localSheetId="6">[8]DEFINITION1!#REF!</definedName>
    <definedName name="ftghfg_1" localSheetId="7">[8]DEFINITION1!#REF!</definedName>
    <definedName name="ftghfg_1" localSheetId="5">[8]DEFINITION1!#REF!</definedName>
    <definedName name="ftghfg_1">[8]DEFINITION1!#REF!</definedName>
    <definedName name="ftghfg_2" localSheetId="4">[8]DEFINITION1!#REF!</definedName>
    <definedName name="ftghfg_2" localSheetId="2">[8]DEFINITION1!#REF!</definedName>
    <definedName name="ftghfg_2" localSheetId="6">[8]DEFINITION1!#REF!</definedName>
    <definedName name="ftghfg_2" localSheetId="7">[8]DEFINITION1!#REF!</definedName>
    <definedName name="ftghfg_2" localSheetId="5">[8]DEFINITION1!#REF!</definedName>
    <definedName name="ftghfg_2">[8]DEFINITION1!#REF!</definedName>
    <definedName name="ftghfg_3" localSheetId="4">[8]DEFINITION1!#REF!</definedName>
    <definedName name="ftghfg_3" localSheetId="2">[8]DEFINITION1!#REF!</definedName>
    <definedName name="ftghfg_3" localSheetId="6">[8]DEFINITION1!#REF!</definedName>
    <definedName name="ftghfg_3" localSheetId="7">[8]DEFINITION1!#REF!</definedName>
    <definedName name="ftghfg_3" localSheetId="5">[8]DEFINITION1!#REF!</definedName>
    <definedName name="ftghfg_3">[8]DEFINITION1!#REF!</definedName>
    <definedName name="FUJITSU" localSheetId="4">#REF!</definedName>
    <definedName name="FUJITSU" localSheetId="2">#REF!</definedName>
    <definedName name="FUJITSU" localSheetId="0">'[2]#REF!'!#REF!</definedName>
    <definedName name="FUJITSU" localSheetId="6">#REF!</definedName>
    <definedName name="FUJITSU" localSheetId="7">#REF!</definedName>
    <definedName name="FUJITSU" localSheetId="5">#REF!</definedName>
    <definedName name="FUJITSU">#REF!</definedName>
    <definedName name="FUJITSU_1" localSheetId="4">'[2]#REF!'!#REF!</definedName>
    <definedName name="FUJITSU_1" localSheetId="2">'[2]#REF!'!#REF!</definedName>
    <definedName name="FUJITSU_1" localSheetId="0">#REF!</definedName>
    <definedName name="FUJITSU_1" localSheetId="6">'[2]#REF!'!#REF!</definedName>
    <definedName name="FUJITSU_1" localSheetId="7">'[2]#REF!'!#REF!</definedName>
    <definedName name="FUJITSU_1" localSheetId="5">'[2]#REF!'!#REF!</definedName>
    <definedName name="FUJITSU_1">'[2]#REF!'!#REF!</definedName>
    <definedName name="FUJITSU_2" localSheetId="4">'[2]#REF!'!#REF!</definedName>
    <definedName name="FUJITSU_2" localSheetId="2">'[2]#REF!'!#REF!</definedName>
    <definedName name="FUJITSU_2" localSheetId="0">#REF!</definedName>
    <definedName name="FUJITSU_2" localSheetId="6">'[2]#REF!'!#REF!</definedName>
    <definedName name="FUJITSU_2" localSheetId="7">'[2]#REF!'!#REF!</definedName>
    <definedName name="FUJITSU_2" localSheetId="5">'[2]#REF!'!#REF!</definedName>
    <definedName name="FUJITSU_2">'[2]#REF!'!#REF!</definedName>
    <definedName name="FUJITSU_3" localSheetId="4">'[2]#REF!'!#REF!</definedName>
    <definedName name="FUJITSU_3" localSheetId="2">'[2]#REF!'!#REF!</definedName>
    <definedName name="FUJITSU_3" localSheetId="0">#REF!</definedName>
    <definedName name="FUJITSU_3" localSheetId="6">'[2]#REF!'!#REF!</definedName>
    <definedName name="FUJITSU_3" localSheetId="7">'[2]#REF!'!#REF!</definedName>
    <definedName name="FUJITSU_3" localSheetId="5">'[2]#REF!'!#REF!</definedName>
    <definedName name="FUJITSU_3">'[2]#REF!'!#REF!</definedName>
    <definedName name="Fujitsu_AMD_semiconductor" localSheetId="4">#REF!</definedName>
    <definedName name="Fujitsu_AMD_semiconductor" localSheetId="2">#REF!</definedName>
    <definedName name="Fujitsu_AMD_semiconductor" localSheetId="0">'[2]#REF!'!#REF!</definedName>
    <definedName name="Fujitsu_AMD_semiconductor" localSheetId="6">#REF!</definedName>
    <definedName name="Fujitsu_AMD_semiconductor" localSheetId="7">#REF!</definedName>
    <definedName name="Fujitsu_AMD_semiconductor" localSheetId="5">#REF!</definedName>
    <definedName name="Fujitsu_AMD_semiconductor">#REF!</definedName>
    <definedName name="Fujitsu_AMD_semiconductor_1" localSheetId="4">'[2]#REF!'!#REF!</definedName>
    <definedName name="Fujitsu_AMD_semiconductor_1" localSheetId="2">'[2]#REF!'!#REF!</definedName>
    <definedName name="Fujitsu_AMD_semiconductor_1" localSheetId="0">#REF!</definedName>
    <definedName name="Fujitsu_AMD_semiconductor_1" localSheetId="6">'[2]#REF!'!#REF!</definedName>
    <definedName name="Fujitsu_AMD_semiconductor_1" localSheetId="7">'[2]#REF!'!#REF!</definedName>
    <definedName name="Fujitsu_AMD_semiconductor_1" localSheetId="5">'[2]#REF!'!#REF!</definedName>
    <definedName name="Fujitsu_AMD_semiconductor_1">'[2]#REF!'!#REF!</definedName>
    <definedName name="Fujitsu_AMD_semiconductor_2" localSheetId="4">'[2]#REF!'!#REF!</definedName>
    <definedName name="Fujitsu_AMD_semiconductor_2" localSheetId="2">'[2]#REF!'!#REF!</definedName>
    <definedName name="Fujitsu_AMD_semiconductor_2" localSheetId="0">#REF!</definedName>
    <definedName name="Fujitsu_AMD_semiconductor_2" localSheetId="6">'[2]#REF!'!#REF!</definedName>
    <definedName name="Fujitsu_AMD_semiconductor_2" localSheetId="7">'[2]#REF!'!#REF!</definedName>
    <definedName name="Fujitsu_AMD_semiconductor_2" localSheetId="5">'[2]#REF!'!#REF!</definedName>
    <definedName name="Fujitsu_AMD_semiconductor_2">'[2]#REF!'!#REF!</definedName>
    <definedName name="Fujitsu_AMD_semiconductor_3" localSheetId="4">'[2]#REF!'!#REF!</definedName>
    <definedName name="Fujitsu_AMD_semiconductor_3" localSheetId="2">'[2]#REF!'!#REF!</definedName>
    <definedName name="Fujitsu_AMD_semiconductor_3" localSheetId="0">#REF!</definedName>
    <definedName name="Fujitsu_AMD_semiconductor_3" localSheetId="6">'[2]#REF!'!#REF!</definedName>
    <definedName name="Fujitsu_AMD_semiconductor_3" localSheetId="7">'[2]#REF!'!#REF!</definedName>
    <definedName name="Fujitsu_AMD_semiconductor_3" localSheetId="5">'[2]#REF!'!#REF!</definedName>
    <definedName name="Fujitsu_AMD_semiconductor_3">'[2]#REF!'!#REF!</definedName>
    <definedName name="Fujitsu_maicroelectronics_Malaysia" localSheetId="4">#REF!</definedName>
    <definedName name="Fujitsu_maicroelectronics_Malaysia" localSheetId="2">#REF!</definedName>
    <definedName name="Fujitsu_maicroelectronics_Malaysia" localSheetId="0">'[2]#REF!'!#REF!</definedName>
    <definedName name="Fujitsu_maicroelectronics_Malaysia" localSheetId="6">#REF!</definedName>
    <definedName name="Fujitsu_maicroelectronics_Malaysia" localSheetId="7">#REF!</definedName>
    <definedName name="Fujitsu_maicroelectronics_Malaysia" localSheetId="5">#REF!</definedName>
    <definedName name="Fujitsu_maicroelectronics_Malaysia">#REF!</definedName>
    <definedName name="Fujitsu_maicroelectronics_Malaysia_1" localSheetId="4">'[2]#REF!'!#REF!</definedName>
    <definedName name="Fujitsu_maicroelectronics_Malaysia_1" localSheetId="2">'[2]#REF!'!#REF!</definedName>
    <definedName name="Fujitsu_maicroelectronics_Malaysia_1" localSheetId="0">#REF!</definedName>
    <definedName name="Fujitsu_maicroelectronics_Malaysia_1" localSheetId="6">'[2]#REF!'!#REF!</definedName>
    <definedName name="Fujitsu_maicroelectronics_Malaysia_1" localSheetId="7">'[2]#REF!'!#REF!</definedName>
    <definedName name="Fujitsu_maicroelectronics_Malaysia_1" localSheetId="5">'[2]#REF!'!#REF!</definedName>
    <definedName name="Fujitsu_maicroelectronics_Malaysia_1">'[2]#REF!'!#REF!</definedName>
    <definedName name="Fujitsu_maicroelectronics_Malaysia_2" localSheetId="4">'[2]#REF!'!#REF!</definedName>
    <definedName name="Fujitsu_maicroelectronics_Malaysia_2" localSheetId="2">'[2]#REF!'!#REF!</definedName>
    <definedName name="Fujitsu_maicroelectronics_Malaysia_2" localSheetId="0">#REF!</definedName>
    <definedName name="Fujitsu_maicroelectronics_Malaysia_2" localSheetId="6">'[2]#REF!'!#REF!</definedName>
    <definedName name="Fujitsu_maicroelectronics_Malaysia_2" localSheetId="7">'[2]#REF!'!#REF!</definedName>
    <definedName name="Fujitsu_maicroelectronics_Malaysia_2" localSheetId="5">'[2]#REF!'!#REF!</definedName>
    <definedName name="Fujitsu_maicroelectronics_Malaysia_2">'[2]#REF!'!#REF!</definedName>
    <definedName name="Fujitsu_maicroelectronics_Malaysia_3" localSheetId="4">'[2]#REF!'!#REF!</definedName>
    <definedName name="Fujitsu_maicroelectronics_Malaysia_3" localSheetId="2">'[2]#REF!'!#REF!</definedName>
    <definedName name="Fujitsu_maicroelectronics_Malaysia_3" localSheetId="0">#REF!</definedName>
    <definedName name="Fujitsu_maicroelectronics_Malaysia_3" localSheetId="6">'[2]#REF!'!#REF!</definedName>
    <definedName name="Fujitsu_maicroelectronics_Malaysia_3" localSheetId="7">'[2]#REF!'!#REF!</definedName>
    <definedName name="Fujitsu_maicroelectronics_Malaysia_3" localSheetId="5">'[2]#REF!'!#REF!</definedName>
    <definedName name="Fujitsu_maicroelectronics_Malaysia_3">'[2]#REF!'!#REF!</definedName>
    <definedName name="g" localSheetId="4" hidden="1">#REF!</definedName>
    <definedName name="g" localSheetId="2" hidden="1">#REF!</definedName>
    <definedName name="g" localSheetId="6" hidden="1">#REF!</definedName>
    <definedName name="g" localSheetId="7" hidden="1">#REF!</definedName>
    <definedName name="g" localSheetId="5" hidden="1">#REF!</definedName>
    <definedName name="g" hidden="1">#REF!</definedName>
    <definedName name="GGGG" localSheetId="4">#REF!</definedName>
    <definedName name="GGGG" localSheetId="2">#REF!</definedName>
    <definedName name="GGGG" localSheetId="0">'[2]#REF!'!#REF!</definedName>
    <definedName name="GGGG" localSheetId="6">#REF!</definedName>
    <definedName name="GGGG" localSheetId="7">#REF!</definedName>
    <definedName name="GGGG" localSheetId="5">#REF!</definedName>
    <definedName name="GGGG">#REF!</definedName>
    <definedName name="GGGG_1" localSheetId="4">'[2]#REF!'!#REF!</definedName>
    <definedName name="GGGG_1" localSheetId="2">'[2]#REF!'!#REF!</definedName>
    <definedName name="GGGG_1" localSheetId="0">#REF!</definedName>
    <definedName name="GGGG_1" localSheetId="6">'[2]#REF!'!#REF!</definedName>
    <definedName name="GGGG_1" localSheetId="7">'[2]#REF!'!#REF!</definedName>
    <definedName name="GGGG_1" localSheetId="5">'[2]#REF!'!#REF!</definedName>
    <definedName name="GGGG_1">'[2]#REF!'!#REF!</definedName>
    <definedName name="GGGG_2" localSheetId="4">'[2]#REF!'!#REF!</definedName>
    <definedName name="GGGG_2" localSheetId="2">'[2]#REF!'!#REF!</definedName>
    <definedName name="GGGG_2" localSheetId="0">#REF!</definedName>
    <definedName name="GGGG_2" localSheetId="6">'[2]#REF!'!#REF!</definedName>
    <definedName name="GGGG_2" localSheetId="7">'[2]#REF!'!#REF!</definedName>
    <definedName name="GGGG_2" localSheetId="5">'[2]#REF!'!#REF!</definedName>
    <definedName name="GGGG_2">'[2]#REF!'!#REF!</definedName>
    <definedName name="GGGG_3" localSheetId="4">'[2]#REF!'!#REF!</definedName>
    <definedName name="GGGG_3" localSheetId="2">'[2]#REF!'!#REF!</definedName>
    <definedName name="GGGG_3" localSheetId="0">#REF!</definedName>
    <definedName name="GGGG_3" localSheetId="6">'[2]#REF!'!#REF!</definedName>
    <definedName name="GGGG_3" localSheetId="7">'[2]#REF!'!#REF!</definedName>
    <definedName name="GGGG_3" localSheetId="5">'[2]#REF!'!#REF!</definedName>
    <definedName name="GGGG_3">'[2]#REF!'!#REF!</definedName>
    <definedName name="gh">[43]Table1!$A$1:$B$427</definedName>
    <definedName name="gh_1">[43]Table1:Module1!$A$1:$B$427</definedName>
    <definedName name="ghbgh" localSheetId="4">#REF!</definedName>
    <definedName name="ghbgh" localSheetId="2">#REF!</definedName>
    <definedName name="ghbgh" localSheetId="0">'[10]#REF!'!#REF!</definedName>
    <definedName name="ghbgh" localSheetId="6">#REF!</definedName>
    <definedName name="ghbgh" localSheetId="7">#REF!</definedName>
    <definedName name="ghbgh" localSheetId="5">#REF!</definedName>
    <definedName name="ghbgh">#REF!</definedName>
    <definedName name="ghbgh_1" localSheetId="4">'[10]#REF!'!#REF!</definedName>
    <definedName name="ghbgh_1" localSheetId="2">'[10]#REF!'!#REF!</definedName>
    <definedName name="ghbgh_1" localSheetId="0">#REF!</definedName>
    <definedName name="ghbgh_1" localSheetId="6">'[10]#REF!'!#REF!</definedName>
    <definedName name="ghbgh_1" localSheetId="7">'[10]#REF!'!#REF!</definedName>
    <definedName name="ghbgh_1" localSheetId="5">'[10]#REF!'!#REF!</definedName>
    <definedName name="ghbgh_1">'[10]#REF!'!#REF!</definedName>
    <definedName name="ghbgh_2" localSheetId="4">'[10]#REF!'!#REF!</definedName>
    <definedName name="ghbgh_2" localSheetId="2">'[10]#REF!'!#REF!</definedName>
    <definedName name="ghbgh_2" localSheetId="0">#REF!</definedName>
    <definedName name="ghbgh_2" localSheetId="6">'[10]#REF!'!#REF!</definedName>
    <definedName name="ghbgh_2" localSheetId="7">'[10]#REF!'!#REF!</definedName>
    <definedName name="ghbgh_2" localSheetId="5">'[10]#REF!'!#REF!</definedName>
    <definedName name="ghbgh_2">'[10]#REF!'!#REF!</definedName>
    <definedName name="ghbgh_3" localSheetId="4">'[10]#REF!'!#REF!</definedName>
    <definedName name="ghbgh_3" localSheetId="2">'[10]#REF!'!#REF!</definedName>
    <definedName name="ghbgh_3" localSheetId="0">#REF!</definedName>
    <definedName name="ghbgh_3" localSheetId="6">'[10]#REF!'!#REF!</definedName>
    <definedName name="ghbgh_3" localSheetId="7">'[10]#REF!'!#REF!</definedName>
    <definedName name="ghbgh_3" localSheetId="5">'[10]#REF!'!#REF!</definedName>
    <definedName name="ghbgh_3">'[10]#REF!'!#REF!</definedName>
    <definedName name="ghbjg" localSheetId="4">[8]DEFINITION1!#REF!</definedName>
    <definedName name="ghbjg" localSheetId="2">[8]DEFINITION1!#REF!</definedName>
    <definedName name="ghbjg" localSheetId="6">[8]DEFINITION1!#REF!</definedName>
    <definedName name="ghbjg" localSheetId="7">[8]DEFINITION1!#REF!</definedName>
    <definedName name="ghbjg" localSheetId="5">[8]DEFINITION1!#REF!</definedName>
    <definedName name="ghbjg">[8]DEFINITION1!#REF!</definedName>
    <definedName name="ghbjg_1" localSheetId="4">[8]DEFINITION1!#REF!</definedName>
    <definedName name="ghbjg_1" localSheetId="2">[8]DEFINITION1!#REF!</definedName>
    <definedName name="ghbjg_1" localSheetId="0">[8]DEFINITION1!#REF!</definedName>
    <definedName name="ghbjg_1" localSheetId="6">[8]DEFINITION1!#REF!</definedName>
    <definedName name="ghbjg_1" localSheetId="7">[8]DEFINITION1!#REF!</definedName>
    <definedName name="ghbjg_1" localSheetId="5">[8]DEFINITION1!#REF!</definedName>
    <definedName name="ghbjg_1">[8]DEFINITION1!#REF!</definedName>
    <definedName name="ghbjg_2" localSheetId="4">[8]DEFINITION1!#REF!</definedName>
    <definedName name="ghbjg_2" localSheetId="2">[8]DEFINITION1!#REF!</definedName>
    <definedName name="ghbjg_2" localSheetId="0">[8]DEFINITION1!#REF!</definedName>
    <definedName name="ghbjg_2" localSheetId="6">[8]DEFINITION1!#REF!</definedName>
    <definedName name="ghbjg_2" localSheetId="7">[8]DEFINITION1!#REF!</definedName>
    <definedName name="ghbjg_2" localSheetId="5">[8]DEFINITION1!#REF!</definedName>
    <definedName name="ghbjg_2">[8]DEFINITION1!#REF!</definedName>
    <definedName name="ghbjg_3" localSheetId="4">[8]DEFINITION1!#REF!</definedName>
    <definedName name="ghbjg_3" localSheetId="2">[8]DEFINITION1!#REF!</definedName>
    <definedName name="ghbjg_3" localSheetId="0">[8]DEFINITION1!#REF!</definedName>
    <definedName name="ghbjg_3" localSheetId="6">[8]DEFINITION1!#REF!</definedName>
    <definedName name="ghbjg_3" localSheetId="7">[8]DEFINITION1!#REF!</definedName>
    <definedName name="ghbjg_3" localSheetId="5">[8]DEFINITION1!#REF!</definedName>
    <definedName name="ghbjg_3">[8]DEFINITION1!#REF!</definedName>
    <definedName name="GHGFHJNM">[17]DEFINITION!$B$5</definedName>
    <definedName name="GRACE" localSheetId="4">#REF!</definedName>
    <definedName name="GRACE" localSheetId="2">#REF!</definedName>
    <definedName name="GRACE" localSheetId="0">'[2]#REF!'!#REF!</definedName>
    <definedName name="GRACE" localSheetId="6">#REF!</definedName>
    <definedName name="GRACE" localSheetId="7">#REF!</definedName>
    <definedName name="GRACE" localSheetId="5">#REF!</definedName>
    <definedName name="GRACE">#REF!</definedName>
    <definedName name="GRACE_1" localSheetId="4">'[2]#REF!'!#REF!</definedName>
    <definedName name="GRACE_1" localSheetId="2">'[2]#REF!'!#REF!</definedName>
    <definedName name="GRACE_1" localSheetId="0">#REF!</definedName>
    <definedName name="GRACE_1" localSheetId="6">'[2]#REF!'!#REF!</definedName>
    <definedName name="GRACE_1" localSheetId="7">'[2]#REF!'!#REF!</definedName>
    <definedName name="GRACE_1" localSheetId="5">'[2]#REF!'!#REF!</definedName>
    <definedName name="GRACE_1">'[2]#REF!'!#REF!</definedName>
    <definedName name="GRACE_2" localSheetId="4">'[2]#REF!'!#REF!</definedName>
    <definedName name="GRACE_2" localSheetId="2">'[2]#REF!'!#REF!</definedName>
    <definedName name="GRACE_2" localSheetId="0">#REF!</definedName>
    <definedName name="GRACE_2" localSheetId="6">'[2]#REF!'!#REF!</definedName>
    <definedName name="GRACE_2" localSheetId="7">'[2]#REF!'!#REF!</definedName>
    <definedName name="GRACE_2" localSheetId="5">'[2]#REF!'!#REF!</definedName>
    <definedName name="GRACE_2">'[2]#REF!'!#REF!</definedName>
    <definedName name="GRACE_3" localSheetId="4">'[2]#REF!'!#REF!</definedName>
    <definedName name="GRACE_3" localSheetId="2">'[2]#REF!'!#REF!</definedName>
    <definedName name="GRACE_3" localSheetId="0">#REF!</definedName>
    <definedName name="GRACE_3" localSheetId="6">'[2]#REF!'!#REF!</definedName>
    <definedName name="GRACE_3" localSheetId="7">'[2]#REF!'!#REF!</definedName>
    <definedName name="GRACE_3" localSheetId="5">'[2]#REF!'!#REF!</definedName>
    <definedName name="GRACE_3">'[2]#REF!'!#REF!</definedName>
    <definedName name="gu">(#REF!,#REF!)</definedName>
    <definedName name="gv" localSheetId="4">#REF!</definedName>
    <definedName name="gv" localSheetId="2">#REF!</definedName>
    <definedName name="gv" localSheetId="0">'[2]#REF!'!#REF!</definedName>
    <definedName name="gv" localSheetId="6">#REF!</definedName>
    <definedName name="gv" localSheetId="7">#REF!</definedName>
    <definedName name="gv" localSheetId="5">#REF!</definedName>
    <definedName name="gv">#REF!</definedName>
    <definedName name="gv_1" localSheetId="4">'[2]#REF!'!#REF!</definedName>
    <definedName name="gv_1" localSheetId="2">'[2]#REF!'!#REF!</definedName>
    <definedName name="gv_1" localSheetId="0">#REF!</definedName>
    <definedName name="gv_1" localSheetId="6">'[2]#REF!'!#REF!</definedName>
    <definedName name="gv_1" localSheetId="7">'[2]#REF!'!#REF!</definedName>
    <definedName name="gv_1" localSheetId="5">'[2]#REF!'!#REF!</definedName>
    <definedName name="gv_1">'[2]#REF!'!#REF!</definedName>
    <definedName name="gv_2" localSheetId="4">'[2]#REF!'!#REF!</definedName>
    <definedName name="gv_2" localSheetId="2">'[2]#REF!'!#REF!</definedName>
    <definedName name="gv_2" localSheetId="0">#REF!</definedName>
    <definedName name="gv_2" localSheetId="6">'[2]#REF!'!#REF!</definedName>
    <definedName name="gv_2" localSheetId="7">'[2]#REF!'!#REF!</definedName>
    <definedName name="gv_2" localSheetId="5">'[2]#REF!'!#REF!</definedName>
    <definedName name="gv_2">'[2]#REF!'!#REF!</definedName>
    <definedName name="gv_3" localSheetId="4">'[2]#REF!'!#REF!</definedName>
    <definedName name="gv_3" localSheetId="2">'[2]#REF!'!#REF!</definedName>
    <definedName name="gv_3" localSheetId="0">#REF!</definedName>
    <definedName name="gv_3" localSheetId="6">'[2]#REF!'!#REF!</definedName>
    <definedName name="gv_3" localSheetId="7">'[2]#REF!'!#REF!</definedName>
    <definedName name="gv_3" localSheetId="5">'[2]#REF!'!#REF!</definedName>
    <definedName name="gv_3">'[2]#REF!'!#REF!</definedName>
    <definedName name="HD74LV1G66A" localSheetId="4">#REF!</definedName>
    <definedName name="HD74LV1G66A" localSheetId="2">#REF!</definedName>
    <definedName name="HD74LV1G66A" localSheetId="0">'[2]#REF!'!#REF!</definedName>
    <definedName name="HD74LV1G66A" localSheetId="6">#REF!</definedName>
    <definedName name="HD74LV1G66A" localSheetId="7">#REF!</definedName>
    <definedName name="HD74LV1G66A" localSheetId="5">#REF!</definedName>
    <definedName name="HD74LV1G66A">#REF!</definedName>
    <definedName name="HD74LV1G66A_1" localSheetId="4">'[2]#REF!'!#REF!</definedName>
    <definedName name="HD74LV1G66A_1" localSheetId="2">'[2]#REF!'!#REF!</definedName>
    <definedName name="HD74LV1G66A_1" localSheetId="0">#REF!</definedName>
    <definedName name="HD74LV1G66A_1" localSheetId="6">'[2]#REF!'!#REF!</definedName>
    <definedName name="HD74LV1G66A_1" localSheetId="7">'[2]#REF!'!#REF!</definedName>
    <definedName name="HD74LV1G66A_1" localSheetId="5">'[2]#REF!'!#REF!</definedName>
    <definedName name="HD74LV1G66A_1">'[2]#REF!'!#REF!</definedName>
    <definedName name="HD74LV1G66A_2" localSheetId="4">'[2]#REF!'!#REF!</definedName>
    <definedName name="HD74LV1G66A_2" localSheetId="2">'[2]#REF!'!#REF!</definedName>
    <definedName name="HD74LV1G66A_2" localSheetId="0">#REF!</definedName>
    <definedName name="HD74LV1G66A_2" localSheetId="6">'[2]#REF!'!#REF!</definedName>
    <definedName name="HD74LV1G66A_2" localSheetId="7">'[2]#REF!'!#REF!</definedName>
    <definedName name="HD74LV1G66A_2" localSheetId="5">'[2]#REF!'!#REF!</definedName>
    <definedName name="HD74LV1G66A_2">'[2]#REF!'!#REF!</definedName>
    <definedName name="HD74LV1G66A_3" localSheetId="4">'[2]#REF!'!#REF!</definedName>
    <definedName name="HD74LV1G66A_3" localSheetId="2">'[2]#REF!'!#REF!</definedName>
    <definedName name="HD74LV1G66A_3" localSheetId="0">#REF!</definedName>
    <definedName name="HD74LV1G66A_3" localSheetId="6">'[2]#REF!'!#REF!</definedName>
    <definedName name="HD74LV1G66A_3" localSheetId="7">'[2]#REF!'!#REF!</definedName>
    <definedName name="HD74LV1G66A_3" localSheetId="5">'[2]#REF!'!#REF!</definedName>
    <definedName name="HD74LV1G66A_3">'[2]#REF!'!#REF!</definedName>
    <definedName name="hhh" localSheetId="4">#REF!</definedName>
    <definedName name="hhh" localSheetId="2">#REF!</definedName>
    <definedName name="hhh" localSheetId="0">'[2]#REF!'!#REF!</definedName>
    <definedName name="hhh" localSheetId="6">#REF!</definedName>
    <definedName name="hhh" localSheetId="7">#REF!</definedName>
    <definedName name="hhh" localSheetId="5">#REF!</definedName>
    <definedName name="hhh">#REF!</definedName>
    <definedName name="hhh_1" localSheetId="4">'[2]#REF!'!#REF!</definedName>
    <definedName name="hhh_1" localSheetId="2">'[2]#REF!'!#REF!</definedName>
    <definedName name="hhh_1" localSheetId="0">#REF!</definedName>
    <definedName name="hhh_1" localSheetId="6">'[2]#REF!'!#REF!</definedName>
    <definedName name="hhh_1" localSheetId="7">'[2]#REF!'!#REF!</definedName>
    <definedName name="hhh_1" localSheetId="5">'[2]#REF!'!#REF!</definedName>
    <definedName name="hhh_1">'[2]#REF!'!#REF!</definedName>
    <definedName name="hhh_2" localSheetId="4">'[2]#REF!'!#REF!</definedName>
    <definedName name="hhh_2" localSheetId="2">'[2]#REF!'!#REF!</definedName>
    <definedName name="hhh_2" localSheetId="0">#REF!</definedName>
    <definedName name="hhh_2" localSheetId="6">'[2]#REF!'!#REF!</definedName>
    <definedName name="hhh_2" localSheetId="7">'[2]#REF!'!#REF!</definedName>
    <definedName name="hhh_2" localSheetId="5">'[2]#REF!'!#REF!</definedName>
    <definedName name="hhh_2">'[2]#REF!'!#REF!</definedName>
    <definedName name="hhh_3" localSheetId="4">'[2]#REF!'!#REF!</definedName>
    <definedName name="hhh_3" localSheetId="2">'[2]#REF!'!#REF!</definedName>
    <definedName name="hhh_3" localSheetId="0">#REF!</definedName>
    <definedName name="hhh_3" localSheetId="6">'[2]#REF!'!#REF!</definedName>
    <definedName name="hhh_3" localSheetId="7">'[2]#REF!'!#REF!</definedName>
    <definedName name="hhh_3" localSheetId="5">'[2]#REF!'!#REF!</definedName>
    <definedName name="hhh_3">'[2]#REF!'!#REF!</definedName>
    <definedName name="hhhhhh" localSheetId="4">[12]DEFINITION1!#REF!</definedName>
    <definedName name="hhhhhh" localSheetId="2">[12]DEFINITION1!#REF!</definedName>
    <definedName name="hhhhhh" localSheetId="6">[12]DEFINITION1!#REF!</definedName>
    <definedName name="hhhhhh" localSheetId="7">[12]DEFINITION1!#REF!</definedName>
    <definedName name="hhhhhh" localSheetId="5">[12]DEFINITION1!#REF!</definedName>
    <definedName name="hhhhhh">[12]DEFINITION1!#REF!</definedName>
    <definedName name="hhhhhh_1" localSheetId="4">[12]DEFINITION1!#REF!</definedName>
    <definedName name="hhhhhh_1" localSheetId="2">[12]DEFINITION1!#REF!</definedName>
    <definedName name="hhhhhh_1" localSheetId="6">[12]DEFINITION1!#REF!</definedName>
    <definedName name="hhhhhh_1" localSheetId="7">[12]DEFINITION1!#REF!</definedName>
    <definedName name="hhhhhh_1" localSheetId="5">[12]DEFINITION1!#REF!</definedName>
    <definedName name="hhhhhh_1">[12]DEFINITION1!#REF!</definedName>
    <definedName name="hhhhhh_2" localSheetId="4">[12]DEFINITION1!#REF!</definedName>
    <definedName name="hhhhhh_2" localSheetId="2">[12]DEFINITION1!#REF!</definedName>
    <definedName name="hhhhhh_2" localSheetId="6">[12]DEFINITION1!#REF!</definedName>
    <definedName name="hhhhhh_2" localSheetId="7">[12]DEFINITION1!#REF!</definedName>
    <definedName name="hhhhhh_2" localSheetId="5">[12]DEFINITION1!#REF!</definedName>
    <definedName name="hhhhhh_2">[12]DEFINITION1!#REF!</definedName>
    <definedName name="hhhhhh_3" localSheetId="4">[12]DEFINITION1!#REF!</definedName>
    <definedName name="hhhhhh_3" localSheetId="2">[12]DEFINITION1!#REF!</definedName>
    <definedName name="hhhhhh_3" localSheetId="6">[12]DEFINITION1!#REF!</definedName>
    <definedName name="hhhhhh_3" localSheetId="7">[12]DEFINITION1!#REF!</definedName>
    <definedName name="hhhhhh_3" localSheetId="5">[12]DEFINITION1!#REF!</definedName>
    <definedName name="hhhhhh_3">[12]DEFINITION1!#REF!</definedName>
    <definedName name="Hitachi_HICOMPONENTS" localSheetId="4">#REF!</definedName>
    <definedName name="Hitachi_HICOMPONENTS" localSheetId="2">#REF!</definedName>
    <definedName name="Hitachi_HICOMPONENTS" localSheetId="0">'[2]#REF!'!#REF!</definedName>
    <definedName name="Hitachi_HICOMPONENTS" localSheetId="6">#REF!</definedName>
    <definedName name="Hitachi_HICOMPONENTS" localSheetId="7">#REF!</definedName>
    <definedName name="Hitachi_HICOMPONENTS" localSheetId="5">#REF!</definedName>
    <definedName name="Hitachi_HICOMPONENTS">#REF!</definedName>
    <definedName name="Hitachi_HICOMPONENTS_1" localSheetId="4">'[2]#REF!'!#REF!</definedName>
    <definedName name="Hitachi_HICOMPONENTS_1" localSheetId="2">'[2]#REF!'!#REF!</definedName>
    <definedName name="Hitachi_HICOMPONENTS_1" localSheetId="0">#REF!</definedName>
    <definedName name="Hitachi_HICOMPONENTS_1" localSheetId="6">'[2]#REF!'!#REF!</definedName>
    <definedName name="Hitachi_HICOMPONENTS_1" localSheetId="7">'[2]#REF!'!#REF!</definedName>
    <definedName name="Hitachi_HICOMPONENTS_1" localSheetId="5">'[2]#REF!'!#REF!</definedName>
    <definedName name="Hitachi_HICOMPONENTS_1">'[2]#REF!'!#REF!</definedName>
    <definedName name="Hitachi_HICOMPONENTS_2" localSheetId="4">'[2]#REF!'!#REF!</definedName>
    <definedName name="Hitachi_HICOMPONENTS_2" localSheetId="2">'[2]#REF!'!#REF!</definedName>
    <definedName name="Hitachi_HICOMPONENTS_2" localSheetId="0">#REF!</definedName>
    <definedName name="Hitachi_HICOMPONENTS_2" localSheetId="6">'[2]#REF!'!#REF!</definedName>
    <definedName name="Hitachi_HICOMPONENTS_2" localSheetId="7">'[2]#REF!'!#REF!</definedName>
    <definedName name="Hitachi_HICOMPONENTS_2" localSheetId="5">'[2]#REF!'!#REF!</definedName>
    <definedName name="Hitachi_HICOMPONENTS_2">'[2]#REF!'!#REF!</definedName>
    <definedName name="Hitachi_HICOMPONENTS_3" localSheetId="4">'[2]#REF!'!#REF!</definedName>
    <definedName name="Hitachi_HICOMPONENTS_3" localSheetId="2">'[2]#REF!'!#REF!</definedName>
    <definedName name="Hitachi_HICOMPONENTS_3" localSheetId="0">#REF!</definedName>
    <definedName name="Hitachi_HICOMPONENTS_3" localSheetId="6">'[2]#REF!'!#REF!</definedName>
    <definedName name="Hitachi_HICOMPONENTS_3" localSheetId="7">'[2]#REF!'!#REF!</definedName>
    <definedName name="Hitachi_HICOMPONENTS_3" localSheetId="5">'[2]#REF!'!#REF!</definedName>
    <definedName name="Hitachi_HICOMPONENTS_3">'[2]#REF!'!#REF!</definedName>
    <definedName name="Hitachi_Takasaki_Japan" localSheetId="4">#REF!</definedName>
    <definedName name="Hitachi_Takasaki_Japan" localSheetId="2">#REF!</definedName>
    <definedName name="Hitachi_Takasaki_Japan" localSheetId="0">'[2]#REF!'!#REF!</definedName>
    <definedName name="Hitachi_Takasaki_Japan" localSheetId="6">#REF!</definedName>
    <definedName name="Hitachi_Takasaki_Japan" localSheetId="7">#REF!</definedName>
    <definedName name="Hitachi_Takasaki_Japan" localSheetId="5">#REF!</definedName>
    <definedName name="Hitachi_Takasaki_Japan">#REF!</definedName>
    <definedName name="Hitachi_Takasaki_Japan_1" localSheetId="4">'[2]#REF!'!#REF!</definedName>
    <definedName name="Hitachi_Takasaki_Japan_1" localSheetId="2">'[2]#REF!'!#REF!</definedName>
    <definedName name="Hitachi_Takasaki_Japan_1" localSheetId="0">#REF!</definedName>
    <definedName name="Hitachi_Takasaki_Japan_1" localSheetId="6">'[2]#REF!'!#REF!</definedName>
    <definedName name="Hitachi_Takasaki_Japan_1" localSheetId="7">'[2]#REF!'!#REF!</definedName>
    <definedName name="Hitachi_Takasaki_Japan_1" localSheetId="5">'[2]#REF!'!#REF!</definedName>
    <definedName name="Hitachi_Takasaki_Japan_1">'[2]#REF!'!#REF!</definedName>
    <definedName name="Hitachi_Takasaki_Japan_2" localSheetId="4">'[2]#REF!'!#REF!</definedName>
    <definedName name="Hitachi_Takasaki_Japan_2" localSheetId="2">'[2]#REF!'!#REF!</definedName>
    <definedName name="Hitachi_Takasaki_Japan_2" localSheetId="0">#REF!</definedName>
    <definedName name="Hitachi_Takasaki_Japan_2" localSheetId="6">'[2]#REF!'!#REF!</definedName>
    <definedName name="Hitachi_Takasaki_Japan_2" localSheetId="7">'[2]#REF!'!#REF!</definedName>
    <definedName name="Hitachi_Takasaki_Japan_2" localSheetId="5">'[2]#REF!'!#REF!</definedName>
    <definedName name="Hitachi_Takasaki_Japan_2">'[2]#REF!'!#REF!</definedName>
    <definedName name="Hitachi_Takasaki_Japan_3" localSheetId="4">'[2]#REF!'!#REF!</definedName>
    <definedName name="Hitachi_Takasaki_Japan_3" localSheetId="2">'[2]#REF!'!#REF!</definedName>
    <definedName name="Hitachi_Takasaki_Japan_3" localSheetId="0">#REF!</definedName>
    <definedName name="Hitachi_Takasaki_Japan_3" localSheetId="6">'[2]#REF!'!#REF!</definedName>
    <definedName name="Hitachi_Takasaki_Japan_3" localSheetId="7">'[2]#REF!'!#REF!</definedName>
    <definedName name="Hitachi_Takasaki_Japan_3" localSheetId="5">'[2]#REF!'!#REF!</definedName>
    <definedName name="Hitachi_Takasaki_Japan_3">'[2]#REF!'!#REF!</definedName>
    <definedName name="hjty" localSheetId="4">'[1]???????'!#REF!</definedName>
    <definedName name="hjty" localSheetId="2">'[1]???????'!#REF!</definedName>
    <definedName name="hjty" localSheetId="0">[1]_______!#REF!</definedName>
    <definedName name="hjty" localSheetId="6">'[1]???????'!#REF!</definedName>
    <definedName name="hjty" localSheetId="7">'[1]???????'!#REF!</definedName>
    <definedName name="hjty" localSheetId="5">'[1]???????'!#REF!</definedName>
    <definedName name="hjty">'[1]???????'!#REF!</definedName>
    <definedName name="hjty_1" localSheetId="4">[1]_______!#REF!</definedName>
    <definedName name="hjty_1" localSheetId="2">[1]_______!#REF!</definedName>
    <definedName name="hjty_1" localSheetId="0">[1]_______!#REF!</definedName>
    <definedName name="hjty_1" localSheetId="6">[1]_______!#REF!</definedName>
    <definedName name="hjty_1" localSheetId="7">[1]_______!#REF!</definedName>
    <definedName name="hjty_1" localSheetId="5">[1]_______!#REF!</definedName>
    <definedName name="hjty_1">[1]_______!#REF!</definedName>
    <definedName name="hjty_2" localSheetId="4">[1]_______!#REF!</definedName>
    <definedName name="hjty_2" localSheetId="2">[1]_______!#REF!</definedName>
    <definedName name="hjty_2" localSheetId="0">[1]_______!#REF!</definedName>
    <definedName name="hjty_2" localSheetId="6">[1]_______!#REF!</definedName>
    <definedName name="hjty_2" localSheetId="7">[1]_______!#REF!</definedName>
    <definedName name="hjty_2" localSheetId="5">[1]_______!#REF!</definedName>
    <definedName name="hjty_2">[1]_______!#REF!</definedName>
    <definedName name="hjty_3" localSheetId="4">[1]_______!#REF!</definedName>
    <definedName name="hjty_3" localSheetId="2">[1]_______!#REF!</definedName>
    <definedName name="hjty_3" localSheetId="0">[1]_______!#REF!</definedName>
    <definedName name="hjty_3" localSheetId="6">[1]_______!#REF!</definedName>
    <definedName name="hjty_3" localSheetId="7">[1]_______!#REF!</definedName>
    <definedName name="hjty_3" localSheetId="5">[1]_______!#REF!</definedName>
    <definedName name="hjty_3">[1]_______!#REF!</definedName>
    <definedName name="hkpkp" localSheetId="4">'[6]Diff_Data _2_'!#REF!</definedName>
    <definedName name="hkpkp" localSheetId="2">'[6]Diff_Data _2_'!#REF!</definedName>
    <definedName name="hkpkp" localSheetId="6">'[6]Diff_Data _2_'!#REF!</definedName>
    <definedName name="hkpkp" localSheetId="7">'[6]Diff_Data _2_'!#REF!</definedName>
    <definedName name="hkpkp" localSheetId="5">'[6]Diff_Data _2_'!#REF!</definedName>
    <definedName name="hkpkp">'[6]Diff_Data _2_'!#REF!</definedName>
    <definedName name="hkpkp_1" localSheetId="4">'[6]Diff_Data _2_'!#REF!</definedName>
    <definedName name="hkpkp_1" localSheetId="2">'[6]Diff_Data _2_'!#REF!</definedName>
    <definedName name="hkpkp_1" localSheetId="6">'[6]Diff_Data _2_'!#REF!</definedName>
    <definedName name="hkpkp_1" localSheetId="7">'[6]Diff_Data _2_'!#REF!</definedName>
    <definedName name="hkpkp_1" localSheetId="5">'[6]Diff_Data _2_'!#REF!</definedName>
    <definedName name="hkpkp_1">'[6]Diff_Data _2_'!#REF!</definedName>
    <definedName name="hkpkp_2" localSheetId="4">'[6]Diff_Data _2_'!#REF!</definedName>
    <definedName name="hkpkp_2" localSheetId="2">'[6]Diff_Data _2_'!#REF!</definedName>
    <definedName name="hkpkp_2" localSheetId="6">'[6]Diff_Data _2_'!#REF!</definedName>
    <definedName name="hkpkp_2" localSheetId="7">'[6]Diff_Data _2_'!#REF!</definedName>
    <definedName name="hkpkp_2" localSheetId="5">'[6]Diff_Data _2_'!#REF!</definedName>
    <definedName name="hkpkp_2">'[6]Diff_Data _2_'!#REF!</definedName>
    <definedName name="hkpkp_3" localSheetId="4">'[6]Diff_Data _2_'!#REF!</definedName>
    <definedName name="hkpkp_3" localSheetId="2">'[6]Diff_Data _2_'!#REF!</definedName>
    <definedName name="hkpkp_3" localSheetId="6">'[6]Diff_Data _2_'!#REF!</definedName>
    <definedName name="hkpkp_3" localSheetId="7">'[6]Diff_Data _2_'!#REF!</definedName>
    <definedName name="hkpkp_3" localSheetId="5">'[6]Diff_Data _2_'!#REF!</definedName>
    <definedName name="hkpkp_3">'[6]Diff_Data _2_'!#REF!</definedName>
    <definedName name="honeyko" localSheetId="4">[10]機構部品ﾘｽﾄ!#REF!</definedName>
    <definedName name="honeyko" localSheetId="2">[10]機構部品ﾘｽﾄ!#REF!</definedName>
    <definedName name="honeyko" localSheetId="6">[10]機構部品ﾘｽﾄ!#REF!</definedName>
    <definedName name="honeyko" localSheetId="7">[10]機構部品ﾘｽﾄ!#REF!</definedName>
    <definedName name="honeyko" localSheetId="5">[10]機構部品ﾘｽﾄ!#REF!</definedName>
    <definedName name="honeyko">[10]機構部品ﾘｽﾄ!#REF!</definedName>
    <definedName name="honeyko_1" localSheetId="4">'[10]#REF!'!#REF!</definedName>
    <definedName name="honeyko_1" localSheetId="2">'[10]#REF!'!#REF!</definedName>
    <definedName name="honeyko_1" localSheetId="0">#REF!</definedName>
    <definedName name="honeyko_1" localSheetId="6">'[10]#REF!'!#REF!</definedName>
    <definedName name="honeyko_1" localSheetId="7">'[10]#REF!'!#REF!</definedName>
    <definedName name="honeyko_1" localSheetId="5">'[10]#REF!'!#REF!</definedName>
    <definedName name="honeyko_1">'[10]#REF!'!#REF!</definedName>
    <definedName name="honeyko_2" localSheetId="4">'[10]#REF!'!#REF!</definedName>
    <definedName name="honeyko_2" localSheetId="2">'[10]#REF!'!#REF!</definedName>
    <definedName name="honeyko_2" localSheetId="0">#REF!</definedName>
    <definedName name="honeyko_2" localSheetId="6">'[10]#REF!'!#REF!</definedName>
    <definedName name="honeyko_2" localSheetId="7">'[10]#REF!'!#REF!</definedName>
    <definedName name="honeyko_2" localSheetId="5">'[10]#REF!'!#REF!</definedName>
    <definedName name="honeyko_2">'[10]#REF!'!#REF!</definedName>
    <definedName name="honeyko_3" localSheetId="4">'[10]#REF!'!#REF!</definedName>
    <definedName name="honeyko_3" localSheetId="2">'[10]#REF!'!#REF!</definedName>
    <definedName name="honeyko_3" localSheetId="0">#REF!</definedName>
    <definedName name="honeyko_3" localSheetId="6">'[10]#REF!'!#REF!</definedName>
    <definedName name="honeyko_3" localSheetId="7">'[10]#REF!'!#REF!</definedName>
    <definedName name="honeyko_3" localSheetId="5">'[10]#REF!'!#REF!</definedName>
    <definedName name="honeyko_3">'[10]#REF!'!#REF!</definedName>
    <definedName name="IC???_4M_FLASH" localSheetId="4">#REF!</definedName>
    <definedName name="IC???_4M_FLASH" localSheetId="2">#REF!</definedName>
    <definedName name="IC???_4M_FLASH" localSheetId="0">#REF!</definedName>
    <definedName name="IC???_4M_FLASH" localSheetId="6">#REF!</definedName>
    <definedName name="IC???_4M_FLASH" localSheetId="7">#REF!</definedName>
    <definedName name="IC???_4M_FLASH" localSheetId="5">#REF!</definedName>
    <definedName name="IC???_4M_FLASH">#REF!</definedName>
    <definedName name="IC???_4M_FLASH_1" localSheetId="4">'[2]#REF!'!#REF!</definedName>
    <definedName name="IC???_4M_FLASH_1" localSheetId="2">'[2]#REF!'!#REF!</definedName>
    <definedName name="IC???_4M_FLASH_1" localSheetId="0">#REF!</definedName>
    <definedName name="IC???_4M_FLASH_1" localSheetId="6">'[2]#REF!'!#REF!</definedName>
    <definedName name="IC???_4M_FLASH_1" localSheetId="7">'[2]#REF!'!#REF!</definedName>
    <definedName name="IC???_4M_FLASH_1" localSheetId="5">'[2]#REF!'!#REF!</definedName>
    <definedName name="IC???_4M_FLASH_1">'[2]#REF!'!#REF!</definedName>
    <definedName name="IC???_4M_FLASH_10" localSheetId="4">'[2]#REF!'!#REF!</definedName>
    <definedName name="IC???_4M_FLASH_10" localSheetId="2">'[2]#REF!'!#REF!</definedName>
    <definedName name="IC???_4M_FLASH_10" localSheetId="0">#REF!</definedName>
    <definedName name="IC???_4M_FLASH_10" localSheetId="6">'[2]#REF!'!#REF!</definedName>
    <definedName name="IC???_4M_FLASH_10" localSheetId="7">'[2]#REF!'!#REF!</definedName>
    <definedName name="IC???_4M_FLASH_10" localSheetId="5">'[2]#REF!'!#REF!</definedName>
    <definedName name="IC???_4M_FLASH_10">'[2]#REF!'!#REF!</definedName>
    <definedName name="IC???_4M_FLASH_2" localSheetId="4">'[2]#REF!'!#REF!</definedName>
    <definedName name="IC???_4M_FLASH_2" localSheetId="2">'[2]#REF!'!#REF!</definedName>
    <definedName name="IC???_4M_FLASH_2" localSheetId="0">#REF!</definedName>
    <definedName name="IC???_4M_FLASH_2" localSheetId="6">'[2]#REF!'!#REF!</definedName>
    <definedName name="IC???_4M_FLASH_2" localSheetId="7">'[2]#REF!'!#REF!</definedName>
    <definedName name="IC???_4M_FLASH_2" localSheetId="5">'[2]#REF!'!#REF!</definedName>
    <definedName name="IC???_4M_FLASH_2">'[2]#REF!'!#REF!</definedName>
    <definedName name="IC???_4M_FLASH_3" localSheetId="4">'[2]#REF!'!#REF!</definedName>
    <definedName name="IC???_4M_FLASH_3" localSheetId="2">'[2]#REF!'!#REF!</definedName>
    <definedName name="IC???_4M_FLASH_3" localSheetId="0">#REF!</definedName>
    <definedName name="IC???_4M_FLASH_3" localSheetId="6">'[2]#REF!'!#REF!</definedName>
    <definedName name="IC???_4M_FLASH_3" localSheetId="7">'[2]#REF!'!#REF!</definedName>
    <definedName name="IC???_4M_FLASH_3" localSheetId="5">'[2]#REF!'!#REF!</definedName>
    <definedName name="IC???_4M_FLASH_3">'[2]#REF!'!#REF!</definedName>
    <definedName name="IC???_4M_FLASH_4" localSheetId="4">'[2]#REF!'!#REF!</definedName>
    <definedName name="IC???_4M_FLASH_4" localSheetId="2">'[2]#REF!'!#REF!</definedName>
    <definedName name="IC???_4M_FLASH_4" localSheetId="0">#REF!</definedName>
    <definedName name="IC???_4M_FLASH_4" localSheetId="6">'[2]#REF!'!#REF!</definedName>
    <definedName name="IC???_4M_FLASH_4" localSheetId="7">'[2]#REF!'!#REF!</definedName>
    <definedName name="IC???_4M_FLASH_4" localSheetId="5">'[2]#REF!'!#REF!</definedName>
    <definedName name="IC???_4M_FLASH_4">'[2]#REF!'!#REF!</definedName>
    <definedName name="IC???_4M_FLASH_5" localSheetId="4">'[2]#REF!'!#REF!</definedName>
    <definedName name="IC???_4M_FLASH_5" localSheetId="2">'[2]#REF!'!#REF!</definedName>
    <definedName name="IC???_4M_FLASH_5" localSheetId="0">#REF!</definedName>
    <definedName name="IC???_4M_FLASH_5" localSheetId="6">'[2]#REF!'!#REF!</definedName>
    <definedName name="IC???_4M_FLASH_5" localSheetId="7">'[2]#REF!'!#REF!</definedName>
    <definedName name="IC???_4M_FLASH_5" localSheetId="5">'[2]#REF!'!#REF!</definedName>
    <definedName name="IC???_4M_FLASH_5">'[2]#REF!'!#REF!</definedName>
    <definedName name="IC???_4M_FLASH_6" localSheetId="4">'[2]#REF!'!#REF!</definedName>
    <definedName name="IC???_4M_FLASH_6" localSheetId="2">'[2]#REF!'!#REF!</definedName>
    <definedName name="IC???_4M_FLASH_6" localSheetId="0">#REF!</definedName>
    <definedName name="IC???_4M_FLASH_6" localSheetId="6">'[2]#REF!'!#REF!</definedName>
    <definedName name="IC???_4M_FLASH_6" localSheetId="7">'[2]#REF!'!#REF!</definedName>
    <definedName name="IC???_4M_FLASH_6" localSheetId="5">'[2]#REF!'!#REF!</definedName>
    <definedName name="IC???_4M_FLASH_6">'[2]#REF!'!#REF!</definedName>
    <definedName name="IC???_4M_FLASH_7" localSheetId="4">'[2]#REF!'!#REF!</definedName>
    <definedName name="IC???_4M_FLASH_7" localSheetId="2">'[2]#REF!'!#REF!</definedName>
    <definedName name="IC???_4M_FLASH_7" localSheetId="0">#REF!</definedName>
    <definedName name="IC???_4M_FLASH_7" localSheetId="6">'[2]#REF!'!#REF!</definedName>
    <definedName name="IC???_4M_FLASH_7" localSheetId="7">'[2]#REF!'!#REF!</definedName>
    <definedName name="IC???_4M_FLASH_7" localSheetId="5">'[2]#REF!'!#REF!</definedName>
    <definedName name="IC???_4M_FLASH_7">'[2]#REF!'!#REF!</definedName>
    <definedName name="IC???_4M_FLASH_8" localSheetId="4">'[2]#REF!'!#REF!</definedName>
    <definedName name="IC???_4M_FLASH_8" localSheetId="2">'[2]#REF!'!#REF!</definedName>
    <definedName name="IC???_4M_FLASH_8" localSheetId="0">#REF!</definedName>
    <definedName name="IC???_4M_FLASH_8" localSheetId="6">'[2]#REF!'!#REF!</definedName>
    <definedName name="IC???_4M_FLASH_8" localSheetId="7">'[2]#REF!'!#REF!</definedName>
    <definedName name="IC???_4M_FLASH_8" localSheetId="5">'[2]#REF!'!#REF!</definedName>
    <definedName name="IC???_4M_FLASH_8">'[2]#REF!'!#REF!</definedName>
    <definedName name="IC???_4M_FLASH_9" localSheetId="4">'[2]#REF!'!#REF!</definedName>
    <definedName name="IC???_4M_FLASH_9" localSheetId="2">'[2]#REF!'!#REF!</definedName>
    <definedName name="IC???_4M_FLASH_9" localSheetId="0">#REF!</definedName>
    <definedName name="IC???_4M_FLASH_9" localSheetId="6">'[2]#REF!'!#REF!</definedName>
    <definedName name="IC???_4M_FLASH_9" localSheetId="7">'[2]#REF!'!#REF!</definedName>
    <definedName name="IC???_4M_FLASH_9" localSheetId="5">'[2]#REF!'!#REF!</definedName>
    <definedName name="IC???_4M_FLASH_9">'[2]#REF!'!#REF!</definedName>
    <definedName name="IC_ANALOG_SW" localSheetId="4">#REF!</definedName>
    <definedName name="IC_ANALOG_SW" localSheetId="2">#REF!</definedName>
    <definedName name="IC_ANALOG_SW" localSheetId="0">'[2]#REF!'!#REF!</definedName>
    <definedName name="IC_ANALOG_SW" localSheetId="6">#REF!</definedName>
    <definedName name="IC_ANALOG_SW" localSheetId="7">#REF!</definedName>
    <definedName name="IC_ANALOG_SW" localSheetId="5">#REF!</definedName>
    <definedName name="IC_ANALOG_SW">#REF!</definedName>
    <definedName name="IC_ANALOG_SW_1" localSheetId="4">'[2]#REF!'!#REF!</definedName>
    <definedName name="IC_ANALOG_SW_1" localSheetId="2">'[2]#REF!'!#REF!</definedName>
    <definedName name="IC_ANALOG_SW_1" localSheetId="0">#REF!</definedName>
    <definedName name="IC_ANALOG_SW_1" localSheetId="6">'[2]#REF!'!#REF!</definedName>
    <definedName name="IC_ANALOG_SW_1" localSheetId="7">'[2]#REF!'!#REF!</definedName>
    <definedName name="IC_ANALOG_SW_1" localSheetId="5">'[2]#REF!'!#REF!</definedName>
    <definedName name="IC_ANALOG_SW_1">'[2]#REF!'!#REF!</definedName>
    <definedName name="IC_ANALOG_SW_2" localSheetId="4">'[2]#REF!'!#REF!</definedName>
    <definedName name="IC_ANALOG_SW_2" localSheetId="2">'[2]#REF!'!#REF!</definedName>
    <definedName name="IC_ANALOG_SW_2" localSheetId="0">#REF!</definedName>
    <definedName name="IC_ANALOG_SW_2" localSheetId="6">'[2]#REF!'!#REF!</definedName>
    <definedName name="IC_ANALOG_SW_2" localSheetId="7">'[2]#REF!'!#REF!</definedName>
    <definedName name="IC_ANALOG_SW_2" localSheetId="5">'[2]#REF!'!#REF!</definedName>
    <definedName name="IC_ANALOG_SW_2">'[2]#REF!'!#REF!</definedName>
    <definedName name="IC_ANALOG_SW_3" localSheetId="4">'[2]#REF!'!#REF!</definedName>
    <definedName name="IC_ANALOG_SW_3" localSheetId="2">'[2]#REF!'!#REF!</definedName>
    <definedName name="IC_ANALOG_SW_3" localSheetId="0">#REF!</definedName>
    <definedName name="IC_ANALOG_SW_3" localSheetId="6">'[2]#REF!'!#REF!</definedName>
    <definedName name="IC_ANALOG_SW_3" localSheetId="7">'[2]#REF!'!#REF!</definedName>
    <definedName name="IC_ANALOG_SW_3" localSheetId="5">'[2]#REF!'!#REF!</definedName>
    <definedName name="IC_ANALOG_SW_3">'[2]#REF!'!#REF!</definedName>
    <definedName name="IC_MEMORY_64_32_SDRAM" localSheetId="4">#REF!</definedName>
    <definedName name="IC_MEMORY_64_32_SDRAM" localSheetId="2">#REF!</definedName>
    <definedName name="IC_MEMORY_64_32_SDRAM" localSheetId="0">'[2]#REF!'!#REF!</definedName>
    <definedName name="IC_MEMORY_64_32_SDRAM" localSheetId="6">#REF!</definedName>
    <definedName name="IC_MEMORY_64_32_SDRAM" localSheetId="7">#REF!</definedName>
    <definedName name="IC_MEMORY_64_32_SDRAM" localSheetId="5">#REF!</definedName>
    <definedName name="IC_MEMORY_64_32_SDRAM">#REF!</definedName>
    <definedName name="IC_MEMORY_64_32_SDRAM_1" localSheetId="4">'[2]#REF!'!#REF!</definedName>
    <definedName name="IC_MEMORY_64_32_SDRAM_1" localSheetId="2">'[2]#REF!'!#REF!</definedName>
    <definedName name="IC_MEMORY_64_32_SDRAM_1" localSheetId="0">#REF!</definedName>
    <definedName name="IC_MEMORY_64_32_SDRAM_1" localSheetId="6">'[2]#REF!'!#REF!</definedName>
    <definedName name="IC_MEMORY_64_32_SDRAM_1" localSheetId="7">'[2]#REF!'!#REF!</definedName>
    <definedName name="IC_MEMORY_64_32_SDRAM_1" localSheetId="5">'[2]#REF!'!#REF!</definedName>
    <definedName name="IC_MEMORY_64_32_SDRAM_1">'[2]#REF!'!#REF!</definedName>
    <definedName name="IC_MEMORY_64_32_SDRAM_2" localSheetId="4">'[2]#REF!'!#REF!</definedName>
    <definedName name="IC_MEMORY_64_32_SDRAM_2" localSheetId="2">'[2]#REF!'!#REF!</definedName>
    <definedName name="IC_MEMORY_64_32_SDRAM_2" localSheetId="0">#REF!</definedName>
    <definedName name="IC_MEMORY_64_32_SDRAM_2" localSheetId="6">'[2]#REF!'!#REF!</definedName>
    <definedName name="IC_MEMORY_64_32_SDRAM_2" localSheetId="7">'[2]#REF!'!#REF!</definedName>
    <definedName name="IC_MEMORY_64_32_SDRAM_2" localSheetId="5">'[2]#REF!'!#REF!</definedName>
    <definedName name="IC_MEMORY_64_32_SDRAM_2">'[2]#REF!'!#REF!</definedName>
    <definedName name="IC_MEMORY_64_32_SDRAM_3" localSheetId="4">'[2]#REF!'!#REF!</definedName>
    <definedName name="IC_MEMORY_64_32_SDRAM_3" localSheetId="2">'[2]#REF!'!#REF!</definedName>
    <definedName name="IC_MEMORY_64_32_SDRAM_3" localSheetId="0">#REF!</definedName>
    <definedName name="IC_MEMORY_64_32_SDRAM_3" localSheetId="6">'[2]#REF!'!#REF!</definedName>
    <definedName name="IC_MEMORY_64_32_SDRAM_3" localSheetId="7">'[2]#REF!'!#REF!</definedName>
    <definedName name="IC_MEMORY_64_32_SDRAM_3" localSheetId="5">'[2]#REF!'!#REF!</definedName>
    <definedName name="IC_MEMORY_64_32_SDRAM_3">'[2]#REF!'!#REF!</definedName>
    <definedName name="ICﾒﾓﾘ_4M_FLASH" localSheetId="4">#REF!</definedName>
    <definedName name="ICﾒﾓﾘ_4M_FLASH" localSheetId="2">#REF!</definedName>
    <definedName name="ICﾒﾓﾘ_4M_FLASH" localSheetId="0">'[2]#REF!'!#REF!</definedName>
    <definedName name="ICﾒﾓﾘ_4M_FLASH" localSheetId="6">#REF!</definedName>
    <definedName name="ICﾒﾓﾘ_4M_FLASH" localSheetId="7">#REF!</definedName>
    <definedName name="ICﾒﾓﾘ_4M_FLASH" localSheetId="5">#REF!</definedName>
    <definedName name="ICﾒﾓﾘ_4M_FLASH">#REF!</definedName>
    <definedName name="ICﾒﾓﾘ_4M_FLASH_1" localSheetId="4">'[2]#REF!'!#REF!</definedName>
    <definedName name="ICﾒﾓﾘ_4M_FLASH_1" localSheetId="2">'[2]#REF!'!#REF!</definedName>
    <definedName name="ICﾒﾓﾘ_4M_FLASH_1" localSheetId="0">#REF!</definedName>
    <definedName name="ICﾒﾓﾘ_4M_FLASH_1" localSheetId="6">'[2]#REF!'!#REF!</definedName>
    <definedName name="ICﾒﾓﾘ_4M_FLASH_1" localSheetId="7">'[2]#REF!'!#REF!</definedName>
    <definedName name="ICﾒﾓﾘ_4M_FLASH_1" localSheetId="5">'[2]#REF!'!#REF!</definedName>
    <definedName name="ICﾒﾓﾘ_4M_FLASH_1">'[2]#REF!'!#REF!</definedName>
    <definedName name="ICﾒﾓﾘ_4M_FLASH_2" localSheetId="4">'[2]#REF!'!#REF!</definedName>
    <definedName name="ICﾒﾓﾘ_4M_FLASH_2" localSheetId="2">'[2]#REF!'!#REF!</definedName>
    <definedName name="ICﾒﾓﾘ_4M_FLASH_2" localSheetId="0">#REF!</definedName>
    <definedName name="ICﾒﾓﾘ_4M_FLASH_2" localSheetId="6">'[2]#REF!'!#REF!</definedName>
    <definedName name="ICﾒﾓﾘ_4M_FLASH_2" localSheetId="7">'[2]#REF!'!#REF!</definedName>
    <definedName name="ICﾒﾓﾘ_4M_FLASH_2" localSheetId="5">'[2]#REF!'!#REF!</definedName>
    <definedName name="ICﾒﾓﾘ_4M_FLASH_2">'[2]#REF!'!#REF!</definedName>
    <definedName name="ICﾒﾓﾘ_4M_FLASH_3" localSheetId="4">'[2]#REF!'!#REF!</definedName>
    <definedName name="ICﾒﾓﾘ_4M_FLASH_3" localSheetId="2">'[2]#REF!'!#REF!</definedName>
    <definedName name="ICﾒﾓﾘ_4M_FLASH_3" localSheetId="0">#REF!</definedName>
    <definedName name="ICﾒﾓﾘ_4M_FLASH_3" localSheetId="6">'[2]#REF!'!#REF!</definedName>
    <definedName name="ICﾒﾓﾘ_4M_FLASH_3" localSheetId="7">'[2]#REF!'!#REF!</definedName>
    <definedName name="ICﾒﾓﾘ_4M_FLASH_3" localSheetId="5">'[2]#REF!'!#REF!</definedName>
    <definedName name="ICﾒﾓﾘ_4M_FLASH_3">'[2]#REF!'!#REF!</definedName>
    <definedName name="iyay" localSheetId="4">[10]回路部品ﾘｽﾄ!#REF!</definedName>
    <definedName name="iyay" localSheetId="2">[10]回路部品ﾘｽﾄ!#REF!</definedName>
    <definedName name="iyay" localSheetId="6">[10]回路部品ﾘｽﾄ!#REF!</definedName>
    <definedName name="iyay" localSheetId="7">[10]回路部品ﾘｽﾄ!#REF!</definedName>
    <definedName name="iyay" localSheetId="5">[10]回路部品ﾘｽﾄ!#REF!</definedName>
    <definedName name="iyay">[10]回路部品ﾘｽﾄ!#REF!</definedName>
    <definedName name="iyay_1" localSheetId="4">[10]回路部品ﾘｽﾄ!#REF!</definedName>
    <definedName name="iyay_1" localSheetId="2">[10]回路部品ﾘｽﾄ!#REF!</definedName>
    <definedName name="iyay_1" localSheetId="0">[10]回路部品ﾘｽﾄ!#REF!</definedName>
    <definedName name="iyay_1" localSheetId="6">[10]回路部品ﾘｽﾄ!#REF!</definedName>
    <definedName name="iyay_1" localSheetId="7">[10]回路部品ﾘｽﾄ!#REF!</definedName>
    <definedName name="iyay_1" localSheetId="5">[10]回路部品ﾘｽﾄ!#REF!</definedName>
    <definedName name="iyay_1">[10]回路部品ﾘｽﾄ!#REF!</definedName>
    <definedName name="iyay_2" localSheetId="4">[10]回路部品ﾘｽﾄ!#REF!</definedName>
    <definedName name="iyay_2" localSheetId="2">[10]回路部品ﾘｽﾄ!#REF!</definedName>
    <definedName name="iyay_2" localSheetId="0">[10]回路部品ﾘｽﾄ!#REF!</definedName>
    <definedName name="iyay_2" localSheetId="6">[10]回路部品ﾘｽﾄ!#REF!</definedName>
    <definedName name="iyay_2" localSheetId="7">[10]回路部品ﾘｽﾄ!#REF!</definedName>
    <definedName name="iyay_2" localSheetId="5">[10]回路部品ﾘｽﾄ!#REF!</definedName>
    <definedName name="iyay_2">[10]回路部品ﾘｽﾄ!#REF!</definedName>
    <definedName name="iyay_3" localSheetId="4">[10]回路部品ﾘｽﾄ!#REF!</definedName>
    <definedName name="iyay_3" localSheetId="2">[10]回路部品ﾘｽﾄ!#REF!</definedName>
    <definedName name="iyay_3" localSheetId="0">[10]回路部品ﾘｽﾄ!#REF!</definedName>
    <definedName name="iyay_3" localSheetId="6">[10]回路部品ﾘｽﾄ!#REF!</definedName>
    <definedName name="iyay_3" localSheetId="7">[10]回路部品ﾘｽﾄ!#REF!</definedName>
    <definedName name="iyay_3" localSheetId="5">[10]回路部品ﾘｽﾄ!#REF!</definedName>
    <definedName name="iyay_3">[10]回路部品ﾘｽﾄ!#REF!</definedName>
    <definedName name="Japan" localSheetId="4">#REF!</definedName>
    <definedName name="Japan" localSheetId="2">#REF!</definedName>
    <definedName name="Japan" localSheetId="0">'[2]#REF!'!#REF!</definedName>
    <definedName name="Japan" localSheetId="6">#REF!</definedName>
    <definedName name="Japan" localSheetId="7">#REF!</definedName>
    <definedName name="Japan" localSheetId="5">#REF!</definedName>
    <definedName name="Japan">#REF!</definedName>
    <definedName name="Japan_1" localSheetId="4">'[2]#REF!'!#REF!</definedName>
    <definedName name="Japan_1" localSheetId="2">'[2]#REF!'!#REF!</definedName>
    <definedName name="Japan_1" localSheetId="0">#REF!</definedName>
    <definedName name="Japan_1" localSheetId="6">'[2]#REF!'!#REF!</definedName>
    <definedName name="Japan_1" localSheetId="7">'[2]#REF!'!#REF!</definedName>
    <definedName name="Japan_1" localSheetId="5">'[2]#REF!'!#REF!</definedName>
    <definedName name="Japan_1">'[2]#REF!'!#REF!</definedName>
    <definedName name="Japan_2" localSheetId="4">'[2]#REF!'!#REF!</definedName>
    <definedName name="Japan_2" localSheetId="2">'[2]#REF!'!#REF!</definedName>
    <definedName name="Japan_2" localSheetId="0">#REF!</definedName>
    <definedName name="Japan_2" localSheetId="6">'[2]#REF!'!#REF!</definedName>
    <definedName name="Japan_2" localSheetId="7">'[2]#REF!'!#REF!</definedName>
    <definedName name="Japan_2" localSheetId="5">'[2]#REF!'!#REF!</definedName>
    <definedName name="Japan_2">'[2]#REF!'!#REF!</definedName>
    <definedName name="Japan_3" localSheetId="4">'[2]#REF!'!#REF!</definedName>
    <definedName name="Japan_3" localSheetId="2">'[2]#REF!'!#REF!</definedName>
    <definedName name="Japan_3" localSheetId="0">#REF!</definedName>
    <definedName name="Japan_3" localSheetId="6">'[2]#REF!'!#REF!</definedName>
    <definedName name="Japan_3" localSheetId="7">'[2]#REF!'!#REF!</definedName>
    <definedName name="Japan_3" localSheetId="5">'[2]#REF!'!#REF!</definedName>
    <definedName name="Japan_3">'[2]#REF!'!#REF!</definedName>
    <definedName name="JCBEA" localSheetId="4">#REF!</definedName>
    <definedName name="JCBEA" localSheetId="2">#REF!</definedName>
    <definedName name="JCBEA" localSheetId="0">'[22]#REF!'!#REF!</definedName>
    <definedName name="JCBEA" localSheetId="6">#REF!</definedName>
    <definedName name="JCBEA" localSheetId="7">#REF!</definedName>
    <definedName name="JCBEA" localSheetId="5">#REF!</definedName>
    <definedName name="JCBEA">#REF!</definedName>
    <definedName name="JCBEA_1" localSheetId="4">'[37]#REF!'!#REF!</definedName>
    <definedName name="JCBEA_1" localSheetId="2">'[37]#REF!'!#REF!</definedName>
    <definedName name="JCBEA_1" localSheetId="0">#REF!</definedName>
    <definedName name="JCBEA_1" localSheetId="6">'[37]#REF!'!#REF!</definedName>
    <definedName name="JCBEA_1" localSheetId="7">'[37]#REF!'!#REF!</definedName>
    <definedName name="JCBEA_1" localSheetId="5">'[37]#REF!'!#REF!</definedName>
    <definedName name="JCBEA_1">'[37]#REF!'!#REF!</definedName>
    <definedName name="JCBEA_2" localSheetId="4">'[37]#REF!'!#REF!</definedName>
    <definedName name="JCBEA_2" localSheetId="2">'[37]#REF!'!#REF!</definedName>
    <definedName name="JCBEA_2" localSheetId="0">#REF!</definedName>
    <definedName name="JCBEA_2" localSheetId="6">'[37]#REF!'!#REF!</definedName>
    <definedName name="JCBEA_2" localSheetId="7">'[37]#REF!'!#REF!</definedName>
    <definedName name="JCBEA_2" localSheetId="5">'[37]#REF!'!#REF!</definedName>
    <definedName name="JCBEA_2">'[37]#REF!'!#REF!</definedName>
    <definedName name="jdghghhgf" localSheetId="4">[44]DEFINITION1!#REF!</definedName>
    <definedName name="jdghghhgf" localSheetId="2">[44]DEFINITION1!#REF!</definedName>
    <definedName name="jdghghhgf" localSheetId="0">[44]DEFINITION1!#REF!</definedName>
    <definedName name="jdghghhgf" localSheetId="6">[44]DEFINITION1!#REF!</definedName>
    <definedName name="jdghghhgf" localSheetId="7">[44]DEFINITION1!#REF!</definedName>
    <definedName name="jdghghhgf" localSheetId="5">[44]DEFINITION1!#REF!</definedName>
    <definedName name="jdghghhgf">[44]DEFINITION1!#REF!</definedName>
    <definedName name="jdghghhgf_1" localSheetId="4">[44]DEFINITION1!#REF!</definedName>
    <definedName name="jdghghhgf_1" localSheetId="2">[44]DEFINITION1!#REF!</definedName>
    <definedName name="jdghghhgf_1" localSheetId="0">[44]DEFINITION1!#REF!</definedName>
    <definedName name="jdghghhgf_1" localSheetId="6">[44]DEFINITION1!#REF!</definedName>
    <definedName name="jdghghhgf_1" localSheetId="7">[44]DEFINITION1!#REF!</definedName>
    <definedName name="jdghghhgf_1" localSheetId="5">[44]DEFINITION1!#REF!</definedName>
    <definedName name="jdghghhgf_1">[44]DEFINITION1!#REF!</definedName>
    <definedName name="jdghghhgf_2" localSheetId="4">[44]DEFINITION1!#REF!</definedName>
    <definedName name="jdghghhgf_2" localSheetId="2">[44]DEFINITION1!#REF!</definedName>
    <definedName name="jdghghhgf_2" localSheetId="0">[44]DEFINITION1!#REF!</definedName>
    <definedName name="jdghghhgf_2" localSheetId="6">[44]DEFINITION1!#REF!</definedName>
    <definedName name="jdghghhgf_2" localSheetId="7">[44]DEFINITION1!#REF!</definedName>
    <definedName name="jdghghhgf_2" localSheetId="5">[44]DEFINITION1!#REF!</definedName>
    <definedName name="jdghghhgf_2">[44]DEFINITION1!#REF!</definedName>
    <definedName name="JENG" localSheetId="4">#REF!</definedName>
    <definedName name="JENG" localSheetId="2">#REF!</definedName>
    <definedName name="JENG" localSheetId="0">'[2]#REF!'!#REF!</definedName>
    <definedName name="JENG" localSheetId="6">#REF!</definedName>
    <definedName name="JENG" localSheetId="7">#REF!</definedName>
    <definedName name="JENG" localSheetId="5">#REF!</definedName>
    <definedName name="JENG">#REF!</definedName>
    <definedName name="JENG_1" localSheetId="4">'[2]#REF!'!#REF!</definedName>
    <definedName name="JENG_1" localSheetId="2">'[2]#REF!'!#REF!</definedName>
    <definedName name="JENG_1" localSheetId="0">#REF!</definedName>
    <definedName name="JENG_1" localSheetId="6">'[2]#REF!'!#REF!</definedName>
    <definedName name="JENG_1" localSheetId="7">'[2]#REF!'!#REF!</definedName>
    <definedName name="JENG_1" localSheetId="5">'[2]#REF!'!#REF!</definedName>
    <definedName name="JENG_1">'[2]#REF!'!#REF!</definedName>
    <definedName name="JENG_2" localSheetId="4">'[2]#REF!'!#REF!</definedName>
    <definedName name="JENG_2" localSheetId="2">'[2]#REF!'!#REF!</definedName>
    <definedName name="JENG_2" localSheetId="0">#REF!</definedName>
    <definedName name="JENG_2" localSheetId="6">'[2]#REF!'!#REF!</definedName>
    <definedName name="JENG_2" localSheetId="7">'[2]#REF!'!#REF!</definedName>
    <definedName name="JENG_2" localSheetId="5">'[2]#REF!'!#REF!</definedName>
    <definedName name="JENG_2">'[2]#REF!'!#REF!</definedName>
    <definedName name="jgghjngh" localSheetId="4">[8]DEFINITION1!#REF!</definedName>
    <definedName name="jgghjngh" localSheetId="2">[8]DEFINITION1!#REF!</definedName>
    <definedName name="jgghjngh" localSheetId="6">[8]DEFINITION1!#REF!</definedName>
    <definedName name="jgghjngh" localSheetId="7">[8]DEFINITION1!#REF!</definedName>
    <definedName name="jgghjngh" localSheetId="5">[8]DEFINITION1!#REF!</definedName>
    <definedName name="jgghjngh">[8]DEFINITION1!#REF!</definedName>
    <definedName name="jgghjngh_1" localSheetId="4">[8]DEFINITION1!#REF!</definedName>
    <definedName name="jgghjngh_1" localSheetId="2">[8]DEFINITION1!#REF!</definedName>
    <definedName name="jgghjngh_1" localSheetId="6">[8]DEFINITION1!#REF!</definedName>
    <definedName name="jgghjngh_1" localSheetId="7">[8]DEFINITION1!#REF!</definedName>
    <definedName name="jgghjngh_1" localSheetId="5">[8]DEFINITION1!#REF!</definedName>
    <definedName name="jgghjngh_1">[8]DEFINITION1!#REF!</definedName>
    <definedName name="jgghjngh_2" localSheetId="4">[8]DEFINITION1!#REF!</definedName>
    <definedName name="jgghjngh_2" localSheetId="2">[8]DEFINITION1!#REF!</definedName>
    <definedName name="jgghjngh_2" localSheetId="6">[8]DEFINITION1!#REF!</definedName>
    <definedName name="jgghjngh_2" localSheetId="7">[8]DEFINITION1!#REF!</definedName>
    <definedName name="jgghjngh_2" localSheetId="5">[8]DEFINITION1!#REF!</definedName>
    <definedName name="jgghjngh_2">[8]DEFINITION1!#REF!</definedName>
    <definedName name="jgghjngh_3" localSheetId="4">[8]DEFINITION1!#REF!</definedName>
    <definedName name="jgghjngh_3" localSheetId="2">[8]DEFINITION1!#REF!</definedName>
    <definedName name="jgghjngh_3" localSheetId="6">[8]DEFINITION1!#REF!</definedName>
    <definedName name="jgghjngh_3" localSheetId="7">[8]DEFINITION1!#REF!</definedName>
    <definedName name="jgghjngh_3" localSheetId="5">[8]DEFINITION1!#REF!</definedName>
    <definedName name="jgghjngh_3">[8]DEFINITION1!#REF!</definedName>
    <definedName name="jjj" localSheetId="4">#REF!</definedName>
    <definedName name="jjj" localSheetId="2">#REF!</definedName>
    <definedName name="jjj" localSheetId="0">'[2]#REF!'!#REF!</definedName>
    <definedName name="jjj" localSheetId="6">#REF!</definedName>
    <definedName name="jjj" localSheetId="7">#REF!</definedName>
    <definedName name="jjj" localSheetId="5">#REF!</definedName>
    <definedName name="jjj">#REF!</definedName>
    <definedName name="jjj_1" localSheetId="4">'[2]#REF!'!#REF!</definedName>
    <definedName name="jjj_1" localSheetId="2">'[2]#REF!'!#REF!</definedName>
    <definedName name="jjj_1" localSheetId="0">#REF!</definedName>
    <definedName name="jjj_1" localSheetId="6">'[2]#REF!'!#REF!</definedName>
    <definedName name="jjj_1" localSheetId="7">'[2]#REF!'!#REF!</definedName>
    <definedName name="jjj_1" localSheetId="5">'[2]#REF!'!#REF!</definedName>
    <definedName name="jjj_1">'[2]#REF!'!#REF!</definedName>
    <definedName name="jjj_2" localSheetId="4">'[2]#REF!'!#REF!</definedName>
    <definedName name="jjj_2" localSheetId="2">'[2]#REF!'!#REF!</definedName>
    <definedName name="jjj_2" localSheetId="0">#REF!</definedName>
    <definedName name="jjj_2" localSheetId="6">'[2]#REF!'!#REF!</definedName>
    <definedName name="jjj_2" localSheetId="7">'[2]#REF!'!#REF!</definedName>
    <definedName name="jjj_2" localSheetId="5">'[2]#REF!'!#REF!</definedName>
    <definedName name="jjj_2">'[2]#REF!'!#REF!</definedName>
    <definedName name="jjj_3" localSheetId="4">'[2]#REF!'!#REF!</definedName>
    <definedName name="jjj_3" localSheetId="2">'[2]#REF!'!#REF!</definedName>
    <definedName name="jjj_3" localSheetId="0">#REF!</definedName>
    <definedName name="jjj_3" localSheetId="6">'[2]#REF!'!#REF!</definedName>
    <definedName name="jjj_3" localSheetId="7">'[2]#REF!'!#REF!</definedName>
    <definedName name="jjj_3" localSheetId="5">'[2]#REF!'!#REF!</definedName>
    <definedName name="jjj_3">'[2]#REF!'!#REF!</definedName>
    <definedName name="jngjing" localSheetId="4">'[6]Diff_Data _2_'!#REF!</definedName>
    <definedName name="jngjing" localSheetId="2">'[6]Diff_Data _2_'!#REF!</definedName>
    <definedName name="jngjing" localSheetId="6">'[6]Diff_Data _2_'!#REF!</definedName>
    <definedName name="jngjing" localSheetId="7">'[6]Diff_Data _2_'!#REF!</definedName>
    <definedName name="jngjing" localSheetId="5">'[6]Diff_Data _2_'!#REF!</definedName>
    <definedName name="jngjing">'[6]Diff_Data _2_'!#REF!</definedName>
    <definedName name="jngjing_1" localSheetId="4">'[6]Diff_Data _2_'!#REF!</definedName>
    <definedName name="jngjing_1" localSheetId="2">'[6]Diff_Data _2_'!#REF!</definedName>
    <definedName name="jngjing_1" localSheetId="6">'[6]Diff_Data _2_'!#REF!</definedName>
    <definedName name="jngjing_1" localSheetId="7">'[6]Diff_Data _2_'!#REF!</definedName>
    <definedName name="jngjing_1" localSheetId="5">'[6]Diff_Data _2_'!#REF!</definedName>
    <definedName name="jngjing_1">'[6]Diff_Data _2_'!#REF!</definedName>
    <definedName name="jngjing_2" localSheetId="4">'[6]Diff_Data _2_'!#REF!</definedName>
    <definedName name="jngjing_2" localSheetId="2">'[6]Diff_Data _2_'!#REF!</definedName>
    <definedName name="jngjing_2" localSheetId="6">'[6]Diff_Data _2_'!#REF!</definedName>
    <definedName name="jngjing_2" localSheetId="7">'[6]Diff_Data _2_'!#REF!</definedName>
    <definedName name="jngjing_2" localSheetId="5">'[6]Diff_Data _2_'!#REF!</definedName>
    <definedName name="jngjing_2">'[6]Diff_Data _2_'!#REF!</definedName>
    <definedName name="jngjing_3" localSheetId="4">'[6]Diff_Data _2_'!#REF!</definedName>
    <definedName name="jngjing_3" localSheetId="2">'[6]Diff_Data _2_'!#REF!</definedName>
    <definedName name="jngjing_3" localSheetId="6">'[6]Diff_Data _2_'!#REF!</definedName>
    <definedName name="jngjing_3" localSheetId="7">'[6]Diff_Data _2_'!#REF!</definedName>
    <definedName name="jngjing_3" localSheetId="5">'[6]Diff_Data _2_'!#REF!</definedName>
    <definedName name="jngjing_3">'[6]Diff_Data _2_'!#REF!</definedName>
    <definedName name="k11_1" localSheetId="4">'[3]Diff_Data _2_'!#REF!</definedName>
    <definedName name="k11_1" localSheetId="2">'[3]Diff_Data _2_'!#REF!</definedName>
    <definedName name="k11_1" localSheetId="6">'[3]Diff_Data _2_'!#REF!</definedName>
    <definedName name="k11_1" localSheetId="7">'[3]Diff_Data _2_'!#REF!</definedName>
    <definedName name="k11_1" localSheetId="5">'[3]Diff_Data _2_'!#REF!</definedName>
    <definedName name="k11_1">'[3]Diff_Data _2_'!#REF!</definedName>
    <definedName name="k11_2" localSheetId="4">'[3]Diff_Data _2_'!#REF!</definedName>
    <definedName name="k11_2" localSheetId="2">'[3]Diff_Data _2_'!#REF!</definedName>
    <definedName name="k11_2" localSheetId="6">'[3]Diff_Data _2_'!#REF!</definedName>
    <definedName name="k11_2" localSheetId="7">'[3]Diff_Data _2_'!#REF!</definedName>
    <definedName name="k11_2" localSheetId="5">'[3]Diff_Data _2_'!#REF!</definedName>
    <definedName name="k11_2">'[3]Diff_Data _2_'!#REF!</definedName>
    <definedName name="k11_3" localSheetId="4">'[3]Diff_Data _2_'!#REF!</definedName>
    <definedName name="k11_3" localSheetId="2">'[3]Diff_Data _2_'!#REF!</definedName>
    <definedName name="k11_3" localSheetId="6">'[3]Diff_Data _2_'!#REF!</definedName>
    <definedName name="k11_3" localSheetId="7">'[3]Diff_Data _2_'!#REF!</definedName>
    <definedName name="k11_3" localSheetId="5">'[3]Diff_Data _2_'!#REF!</definedName>
    <definedName name="k11_3">'[3]Diff_Data _2_'!#REF!</definedName>
    <definedName name="K4S643232F_TC50" localSheetId="4">#REF!</definedName>
    <definedName name="K4S643232F_TC50" localSheetId="2">#REF!</definedName>
    <definedName name="K4S643232F_TC50" localSheetId="0">'[2]#REF!'!#REF!</definedName>
    <definedName name="K4S643232F_TC50" localSheetId="6">#REF!</definedName>
    <definedName name="K4S643232F_TC50" localSheetId="7">#REF!</definedName>
    <definedName name="K4S643232F_TC50" localSheetId="5">#REF!</definedName>
    <definedName name="K4S643232F_TC50">#REF!</definedName>
    <definedName name="K4S643232F_TC50_1" localSheetId="4">'[2]#REF!'!#REF!</definedName>
    <definedName name="K4S643232F_TC50_1" localSheetId="2">'[2]#REF!'!#REF!</definedName>
    <definedName name="K4S643232F_TC50_1" localSheetId="0">#REF!</definedName>
    <definedName name="K4S643232F_TC50_1" localSheetId="6">'[2]#REF!'!#REF!</definedName>
    <definedName name="K4S643232F_TC50_1" localSheetId="7">'[2]#REF!'!#REF!</definedName>
    <definedName name="K4S643232F_TC50_1" localSheetId="5">'[2]#REF!'!#REF!</definedName>
    <definedName name="K4S643232F_TC50_1">'[2]#REF!'!#REF!</definedName>
    <definedName name="K4S643232F_TC50_2" localSheetId="4">'[2]#REF!'!#REF!</definedName>
    <definedName name="K4S643232F_TC50_2" localSheetId="2">'[2]#REF!'!#REF!</definedName>
    <definedName name="K4S643232F_TC50_2" localSheetId="0">#REF!</definedName>
    <definedName name="K4S643232F_TC50_2" localSheetId="6">'[2]#REF!'!#REF!</definedName>
    <definedName name="K4S643232F_TC50_2" localSheetId="7">'[2]#REF!'!#REF!</definedName>
    <definedName name="K4S643232F_TC50_2" localSheetId="5">'[2]#REF!'!#REF!</definedName>
    <definedName name="K4S643232F_TC50_2">'[2]#REF!'!#REF!</definedName>
    <definedName name="K4S643232F_TC50_3" localSheetId="4">'[2]#REF!'!#REF!</definedName>
    <definedName name="K4S643232F_TC50_3" localSheetId="2">'[2]#REF!'!#REF!</definedName>
    <definedName name="K4S643232F_TC50_3" localSheetId="0">#REF!</definedName>
    <definedName name="K4S643232F_TC50_3" localSheetId="6">'[2]#REF!'!#REF!</definedName>
    <definedName name="K4S643232F_TC50_3" localSheetId="7">'[2]#REF!'!#REF!</definedName>
    <definedName name="K4S643232F_TC50_3" localSheetId="5">'[2]#REF!'!#REF!</definedName>
    <definedName name="K4S643232F_TC50_3">'[2]#REF!'!#REF!</definedName>
    <definedName name="KBYTFO" localSheetId="4">[8]DEFINITION1!#REF!</definedName>
    <definedName name="KBYTFO" localSheetId="2">[8]DEFINITION1!#REF!</definedName>
    <definedName name="KBYTFO" localSheetId="6">[8]DEFINITION1!#REF!</definedName>
    <definedName name="KBYTFO" localSheetId="7">[8]DEFINITION1!#REF!</definedName>
    <definedName name="KBYTFO" localSheetId="5">[8]DEFINITION1!#REF!</definedName>
    <definedName name="KBYTFO">[8]DEFINITION1!#REF!</definedName>
    <definedName name="KBYTFO_1" localSheetId="4">[8]DEFINITION1!#REF!</definedName>
    <definedName name="KBYTFO_1" localSheetId="2">[8]DEFINITION1!#REF!</definedName>
    <definedName name="KBYTFO_1" localSheetId="6">[8]DEFINITION1!#REF!</definedName>
    <definedName name="KBYTFO_1" localSheetId="7">[8]DEFINITION1!#REF!</definedName>
    <definedName name="KBYTFO_1" localSheetId="5">[8]DEFINITION1!#REF!</definedName>
    <definedName name="KBYTFO_1">[8]DEFINITION1!#REF!</definedName>
    <definedName name="KBYTFO_2" localSheetId="4">[8]DEFINITION1!#REF!</definedName>
    <definedName name="KBYTFO_2" localSheetId="2">[8]DEFINITION1!#REF!</definedName>
    <definedName name="KBYTFO_2" localSheetId="6">[8]DEFINITION1!#REF!</definedName>
    <definedName name="KBYTFO_2" localSheetId="7">[8]DEFINITION1!#REF!</definedName>
    <definedName name="KBYTFO_2" localSheetId="5">[8]DEFINITION1!#REF!</definedName>
    <definedName name="KBYTFO_2">[8]DEFINITION1!#REF!</definedName>
    <definedName name="KBYTFO_3" localSheetId="4">[8]DEFINITION1!#REF!</definedName>
    <definedName name="KBYTFO_3" localSheetId="2">[8]DEFINITION1!#REF!</definedName>
    <definedName name="KBYTFO_3" localSheetId="6">[8]DEFINITION1!#REF!</definedName>
    <definedName name="KBYTFO_3" localSheetId="7">[8]DEFINITION1!#REF!</definedName>
    <definedName name="KBYTFO_3" localSheetId="5">[8]DEFINITION1!#REF!</definedName>
    <definedName name="KBYTFO_3">[8]DEFINITION1!#REF!</definedName>
    <definedName name="key" localSheetId="4">#REF!</definedName>
    <definedName name="key" localSheetId="2">#REF!</definedName>
    <definedName name="key" localSheetId="0">'[2]#REF!'!#REF!</definedName>
    <definedName name="key" localSheetId="6">#REF!</definedName>
    <definedName name="key" localSheetId="7">#REF!</definedName>
    <definedName name="key" localSheetId="5">#REF!</definedName>
    <definedName name="key">#REF!</definedName>
    <definedName name="key_1" localSheetId="4">'[2]#REF!'!#REF!</definedName>
    <definedName name="key_1" localSheetId="2">'[2]#REF!'!#REF!</definedName>
    <definedName name="key_1" localSheetId="0">#REF!</definedName>
    <definedName name="key_1" localSheetId="6">'[2]#REF!'!#REF!</definedName>
    <definedName name="key_1" localSheetId="7">'[2]#REF!'!#REF!</definedName>
    <definedName name="key_1" localSheetId="5">'[2]#REF!'!#REF!</definedName>
    <definedName name="key_1">'[2]#REF!'!#REF!</definedName>
    <definedName name="key_2" localSheetId="4">'[2]#REF!'!#REF!</definedName>
    <definedName name="key_2" localSheetId="2">'[2]#REF!'!#REF!</definedName>
    <definedName name="key_2" localSheetId="0">#REF!</definedName>
    <definedName name="key_2" localSheetId="6">'[2]#REF!'!#REF!</definedName>
    <definedName name="key_2" localSheetId="7">'[2]#REF!'!#REF!</definedName>
    <definedName name="key_2" localSheetId="5">'[2]#REF!'!#REF!</definedName>
    <definedName name="key_2">'[2]#REF!'!#REF!</definedName>
    <definedName name="key_3" localSheetId="4">'[2]#REF!'!#REF!</definedName>
    <definedName name="key_3" localSheetId="2">'[2]#REF!'!#REF!</definedName>
    <definedName name="key_3" localSheetId="0">#REF!</definedName>
    <definedName name="key_3" localSheetId="6">'[2]#REF!'!#REF!</definedName>
    <definedName name="key_3" localSheetId="7">'[2]#REF!'!#REF!</definedName>
    <definedName name="key_3" localSheetId="5">'[2]#REF!'!#REF!</definedName>
    <definedName name="key_3">'[2]#REF!'!#REF!</definedName>
    <definedName name="kj" localSheetId="4">[5]DEFINITION1!#REF!</definedName>
    <definedName name="kj" localSheetId="2">[5]DEFINITION1!#REF!</definedName>
    <definedName name="kj" localSheetId="6">[5]DEFINITION1!#REF!</definedName>
    <definedName name="kj" localSheetId="7">[5]DEFINITION1!#REF!</definedName>
    <definedName name="kj" localSheetId="5">[5]DEFINITION1!#REF!</definedName>
    <definedName name="kj">[5]DEFINITION1!#REF!</definedName>
    <definedName name="kj_1" localSheetId="4">[5]DEFINITION1!#REF!</definedName>
    <definedName name="kj_1" localSheetId="2">[5]DEFINITION1!#REF!</definedName>
    <definedName name="kj_1" localSheetId="6">[5]DEFINITION1!#REF!</definedName>
    <definedName name="kj_1" localSheetId="7">[5]DEFINITION1!#REF!</definedName>
    <definedName name="kj_1" localSheetId="5">[5]DEFINITION1!#REF!</definedName>
    <definedName name="kj_1">[5]DEFINITION1!#REF!</definedName>
    <definedName name="kj_2" localSheetId="4">[5]DEFINITION1!#REF!</definedName>
    <definedName name="kj_2" localSheetId="2">[5]DEFINITION1!#REF!</definedName>
    <definedName name="kj_2" localSheetId="6">[5]DEFINITION1!#REF!</definedName>
    <definedName name="kj_2" localSheetId="7">[5]DEFINITION1!#REF!</definedName>
    <definedName name="kj_2" localSheetId="5">[5]DEFINITION1!#REF!</definedName>
    <definedName name="kj_2">[5]DEFINITION1!#REF!</definedName>
    <definedName name="kj_3" localSheetId="4">[5]DEFINITION1!#REF!</definedName>
    <definedName name="kj_3" localSheetId="2">[5]DEFINITION1!#REF!</definedName>
    <definedName name="kj_3" localSheetId="6">[5]DEFINITION1!#REF!</definedName>
    <definedName name="kj_3" localSheetId="7">[5]DEFINITION1!#REF!</definedName>
    <definedName name="kj_3" localSheetId="5">[5]DEFINITION1!#REF!</definedName>
    <definedName name="kj_3">[5]DEFINITION1!#REF!</definedName>
    <definedName name="KKK" localSheetId="4" hidden="1">#REF!</definedName>
    <definedName name="KKK" localSheetId="2" hidden="1">#REF!</definedName>
    <definedName name="KKK" localSheetId="0" hidden="1">'[45]#REF!'!$B$10:$B$18</definedName>
    <definedName name="KKK" localSheetId="7" hidden="1">#REF!</definedName>
    <definedName name="KKK" localSheetId="5" hidden="1">#REF!</definedName>
    <definedName name="KKK" hidden="1">#REF!</definedName>
    <definedName name="KKK_1" localSheetId="4">'[14]#REF!'!$B$10:$B$18</definedName>
    <definedName name="KKK_1" localSheetId="0">#REF!</definedName>
    <definedName name="KKK_1">'[14]#REF!'!$B$10:$B$18</definedName>
    <definedName name="KKK_2" localSheetId="4">'[14]#REF!'!$B$10:$B$18</definedName>
    <definedName name="KKK_2" localSheetId="0">#REF!</definedName>
    <definedName name="KKK_2">'[14]#REF!'!$B$10:$B$18</definedName>
    <definedName name="KKK_3" localSheetId="0">#REF!</definedName>
    <definedName name="KKK_3">'[46]#REF!'!$B$10:$B$18</definedName>
    <definedName name="kkkk" localSheetId="4" hidden="1">#REF!</definedName>
    <definedName name="kkkk" localSheetId="2" hidden="1">#REF!</definedName>
    <definedName name="kkkk" localSheetId="0" hidden="1">'[45]#REF!'!#REF!</definedName>
    <definedName name="kkkk" localSheetId="6" hidden="1">#REF!</definedName>
    <definedName name="kkkk" localSheetId="7" hidden="1">#REF!</definedName>
    <definedName name="kkkk" localSheetId="5" hidden="1">#REF!</definedName>
    <definedName name="kkkk" hidden="1">#REF!</definedName>
    <definedName name="kkkk_1" localSheetId="4">'[14]#REF!'!#REF!</definedName>
    <definedName name="kkkk_1" localSheetId="2">'[14]#REF!'!#REF!</definedName>
    <definedName name="kkkk_1" localSheetId="0">#REF!</definedName>
    <definedName name="kkkk_1" localSheetId="6">'[14]#REF!'!#REF!</definedName>
    <definedName name="kkkk_1" localSheetId="7">'[14]#REF!'!#REF!</definedName>
    <definedName name="kkkk_1" localSheetId="5">'[14]#REF!'!#REF!</definedName>
    <definedName name="kkkk_1">'[14]#REF!'!#REF!</definedName>
    <definedName name="kkkk_2" localSheetId="4">'[14]#REF!'!#REF!</definedName>
    <definedName name="kkkk_2" localSheetId="2">'[14]#REF!'!#REF!</definedName>
    <definedName name="kkkk_2" localSheetId="0">#REF!</definedName>
    <definedName name="kkkk_2" localSheetId="6">'[14]#REF!'!#REF!</definedName>
    <definedName name="kkkk_2" localSheetId="7">'[14]#REF!'!#REF!</definedName>
    <definedName name="kkkk_2" localSheetId="5">'[14]#REF!'!#REF!</definedName>
    <definedName name="kkkk_2">'[14]#REF!'!#REF!</definedName>
    <definedName name="kkkk_3" localSheetId="4">'[14]#REF!'!#REF!</definedName>
    <definedName name="kkkk_3" localSheetId="2">'[14]#REF!'!#REF!</definedName>
    <definedName name="kkkk_3" localSheetId="0">#REF!</definedName>
    <definedName name="kkkk_3" localSheetId="6">'[14]#REF!'!#REF!</definedName>
    <definedName name="kkkk_3" localSheetId="7">'[14]#REF!'!#REF!</definedName>
    <definedName name="kkkk_3" localSheetId="5">'[14]#REF!'!#REF!</definedName>
    <definedName name="kkkk_3">'[14]#REF!'!#REF!</definedName>
    <definedName name="kkkkk" localSheetId="4">#REF!</definedName>
    <definedName name="kkkkk" localSheetId="2">#REF!</definedName>
    <definedName name="kkkkk" localSheetId="0">'[2]#REF!'!#REF!</definedName>
    <definedName name="kkkkk" localSheetId="6">#REF!</definedName>
    <definedName name="kkkkk" localSheetId="7">#REF!</definedName>
    <definedName name="kkkkk" localSheetId="5">#REF!</definedName>
    <definedName name="kkkkk">#REF!</definedName>
    <definedName name="kkkkk_1" localSheetId="4">'[2]#REF!'!#REF!</definedName>
    <definedName name="kkkkk_1" localSheetId="2">'[2]#REF!'!#REF!</definedName>
    <definedName name="kkkkk_1" localSheetId="0">#REF!</definedName>
    <definedName name="kkkkk_1" localSheetId="6">'[2]#REF!'!#REF!</definedName>
    <definedName name="kkkkk_1" localSheetId="7">'[2]#REF!'!#REF!</definedName>
    <definedName name="kkkkk_1" localSheetId="5">'[2]#REF!'!#REF!</definedName>
    <definedName name="kkkkk_1">'[2]#REF!'!#REF!</definedName>
    <definedName name="kkkkk_2" localSheetId="4">'[2]#REF!'!#REF!</definedName>
    <definedName name="kkkkk_2" localSheetId="2">'[2]#REF!'!#REF!</definedName>
    <definedName name="kkkkk_2" localSheetId="0">#REF!</definedName>
    <definedName name="kkkkk_2" localSheetId="6">'[2]#REF!'!#REF!</definedName>
    <definedName name="kkkkk_2" localSheetId="7">'[2]#REF!'!#REF!</definedName>
    <definedName name="kkkkk_2" localSheetId="5">'[2]#REF!'!#REF!</definedName>
    <definedName name="kkkkk_2">'[2]#REF!'!#REF!</definedName>
    <definedName name="kkkkk_3" localSheetId="4">'[2]#REF!'!#REF!</definedName>
    <definedName name="kkkkk_3" localSheetId="2">'[2]#REF!'!#REF!</definedName>
    <definedName name="kkkkk_3" localSheetId="0">#REF!</definedName>
    <definedName name="kkkkk_3" localSheetId="6">'[2]#REF!'!#REF!</definedName>
    <definedName name="kkkkk_3" localSheetId="7">'[2]#REF!'!#REF!</definedName>
    <definedName name="kkkkk_3" localSheetId="5">'[2]#REF!'!#REF!</definedName>
    <definedName name="kkkkk_3">'[2]#REF!'!#REF!</definedName>
    <definedName name="kkl" hidden="1">[47]Key7!$B$10:$B$18</definedName>
    <definedName name="kkl_1" localSheetId="4">[48]Key7!$B$10:$B$18</definedName>
    <definedName name="kkl_1" localSheetId="0">[49]Key7!$B$10:$B$18</definedName>
    <definedName name="kkl_1">[48]Key7!$B$10:$B$18</definedName>
    <definedName name="kkl_2" localSheetId="4">[48]Key7!$B$10:$B$18</definedName>
    <definedName name="kkl_2" localSheetId="0">[49]Key7!$B$10:$B$18</definedName>
    <definedName name="kkl_2">[48]Key7!$B$10:$B$18</definedName>
    <definedName name="KNJIH" localSheetId="4">[8]DEFINITION1!#REF!</definedName>
    <definedName name="KNJIH" localSheetId="2">[8]DEFINITION1!#REF!</definedName>
    <definedName name="KNJIH" localSheetId="6">[8]DEFINITION1!#REF!</definedName>
    <definedName name="KNJIH" localSheetId="7">[8]DEFINITION1!#REF!</definedName>
    <definedName name="KNJIH" localSheetId="5">[8]DEFINITION1!#REF!</definedName>
    <definedName name="KNJIH">[8]DEFINITION1!#REF!</definedName>
    <definedName name="KNJIH_1" localSheetId="4">[8]DEFINITION1!#REF!</definedName>
    <definedName name="KNJIH_1" localSheetId="2">[8]DEFINITION1!#REF!</definedName>
    <definedName name="KNJIH_1" localSheetId="6">[8]DEFINITION1!#REF!</definedName>
    <definedName name="KNJIH_1" localSheetId="7">[8]DEFINITION1!#REF!</definedName>
    <definedName name="KNJIH_1" localSheetId="5">[8]DEFINITION1!#REF!</definedName>
    <definedName name="KNJIH_1">[8]DEFINITION1!#REF!</definedName>
    <definedName name="KNJIH_2" localSheetId="4">[8]DEFINITION1!#REF!</definedName>
    <definedName name="KNJIH_2" localSheetId="2">[8]DEFINITION1!#REF!</definedName>
    <definedName name="KNJIH_2" localSheetId="6">[8]DEFINITION1!#REF!</definedName>
    <definedName name="KNJIH_2" localSheetId="7">[8]DEFINITION1!#REF!</definedName>
    <definedName name="KNJIH_2" localSheetId="5">[8]DEFINITION1!#REF!</definedName>
    <definedName name="KNJIH_2">[8]DEFINITION1!#REF!</definedName>
    <definedName name="KNJIH_3" localSheetId="4">[8]DEFINITION1!#REF!</definedName>
    <definedName name="KNJIH_3" localSheetId="2">[8]DEFINITION1!#REF!</definedName>
    <definedName name="KNJIH_3" localSheetId="6">[8]DEFINITION1!#REF!</definedName>
    <definedName name="KNJIH_3" localSheetId="7">[8]DEFINITION1!#REF!</definedName>
    <definedName name="KNJIH_3" localSheetId="5">[8]DEFINITION1!#REF!</definedName>
    <definedName name="KNJIH_3">[8]DEFINITION1!#REF!</definedName>
    <definedName name="Korea" localSheetId="4">#REF!</definedName>
    <definedName name="Korea" localSheetId="2">#REF!</definedName>
    <definedName name="Korea" localSheetId="0">'[2]#REF!'!#REF!</definedName>
    <definedName name="Korea" localSheetId="6">#REF!</definedName>
    <definedName name="Korea" localSheetId="7">#REF!</definedName>
    <definedName name="Korea" localSheetId="5">#REF!</definedName>
    <definedName name="Korea">#REF!</definedName>
    <definedName name="Korea_1" localSheetId="4">'[2]#REF!'!#REF!</definedName>
    <definedName name="Korea_1" localSheetId="2">'[2]#REF!'!#REF!</definedName>
    <definedName name="Korea_1" localSheetId="0">#REF!</definedName>
    <definedName name="Korea_1" localSheetId="6">'[2]#REF!'!#REF!</definedName>
    <definedName name="Korea_1" localSheetId="7">'[2]#REF!'!#REF!</definedName>
    <definedName name="Korea_1" localSheetId="5">'[2]#REF!'!#REF!</definedName>
    <definedName name="Korea_1">'[2]#REF!'!#REF!</definedName>
    <definedName name="Korea_2" localSheetId="4">'[2]#REF!'!#REF!</definedName>
    <definedName name="Korea_2" localSheetId="2">'[2]#REF!'!#REF!</definedName>
    <definedName name="Korea_2" localSheetId="0">#REF!</definedName>
    <definedName name="Korea_2" localSheetId="6">'[2]#REF!'!#REF!</definedName>
    <definedName name="Korea_2" localSheetId="7">'[2]#REF!'!#REF!</definedName>
    <definedName name="Korea_2" localSheetId="5">'[2]#REF!'!#REF!</definedName>
    <definedName name="Korea_2">'[2]#REF!'!#REF!</definedName>
    <definedName name="Korea_3" localSheetId="4">'[2]#REF!'!#REF!</definedName>
    <definedName name="Korea_3" localSheetId="2">'[2]#REF!'!#REF!</definedName>
    <definedName name="Korea_3" localSheetId="0">#REF!</definedName>
    <definedName name="Korea_3" localSheetId="6">'[2]#REF!'!#REF!</definedName>
    <definedName name="Korea_3" localSheetId="7">'[2]#REF!'!#REF!</definedName>
    <definedName name="Korea_3" localSheetId="5">'[2]#REF!'!#REF!</definedName>
    <definedName name="Korea_3">'[2]#REF!'!#REF!</definedName>
    <definedName name="Korea_kiheung" localSheetId="4">#REF!</definedName>
    <definedName name="Korea_kiheung" localSheetId="2">#REF!</definedName>
    <definedName name="Korea_kiheung" localSheetId="0">'[2]#REF!'!#REF!</definedName>
    <definedName name="Korea_kiheung" localSheetId="6">#REF!</definedName>
    <definedName name="Korea_kiheung" localSheetId="7">#REF!</definedName>
    <definedName name="Korea_kiheung" localSheetId="5">#REF!</definedName>
    <definedName name="Korea_kiheung">#REF!</definedName>
    <definedName name="Korea_kiheung_1" localSheetId="4">'[2]#REF!'!#REF!</definedName>
    <definedName name="Korea_kiheung_1" localSheetId="2">'[2]#REF!'!#REF!</definedName>
    <definedName name="Korea_kiheung_1" localSheetId="0">#REF!</definedName>
    <definedName name="Korea_kiheung_1" localSheetId="6">'[2]#REF!'!#REF!</definedName>
    <definedName name="Korea_kiheung_1" localSheetId="7">'[2]#REF!'!#REF!</definedName>
    <definedName name="Korea_kiheung_1" localSheetId="5">'[2]#REF!'!#REF!</definedName>
    <definedName name="Korea_kiheung_1">'[2]#REF!'!#REF!</definedName>
    <definedName name="Korea_kiheung_2" localSheetId="4">'[2]#REF!'!#REF!</definedName>
    <definedName name="Korea_kiheung_2" localSheetId="2">'[2]#REF!'!#REF!</definedName>
    <definedName name="Korea_kiheung_2" localSheetId="0">#REF!</definedName>
    <definedName name="Korea_kiheung_2" localSheetId="6">'[2]#REF!'!#REF!</definedName>
    <definedName name="Korea_kiheung_2" localSheetId="7">'[2]#REF!'!#REF!</definedName>
    <definedName name="Korea_kiheung_2" localSheetId="5">'[2]#REF!'!#REF!</definedName>
    <definedName name="Korea_kiheung_2">'[2]#REF!'!#REF!</definedName>
    <definedName name="Korea_kiheung_3" localSheetId="4">'[2]#REF!'!#REF!</definedName>
    <definedName name="Korea_kiheung_3" localSheetId="2">'[2]#REF!'!#REF!</definedName>
    <definedName name="Korea_kiheung_3" localSheetId="0">#REF!</definedName>
    <definedName name="Korea_kiheung_3" localSheetId="6">'[2]#REF!'!#REF!</definedName>
    <definedName name="Korea_kiheung_3" localSheetId="7">'[2]#REF!'!#REF!</definedName>
    <definedName name="Korea_kiheung_3" localSheetId="5">'[2]#REF!'!#REF!</definedName>
    <definedName name="Korea_kiheung_3">'[2]#REF!'!#REF!</definedName>
    <definedName name="Korea_onyan" localSheetId="4">#REF!</definedName>
    <definedName name="Korea_onyan" localSheetId="2">#REF!</definedName>
    <definedName name="Korea_onyan" localSheetId="0">'[2]#REF!'!#REF!</definedName>
    <definedName name="Korea_onyan" localSheetId="6">#REF!</definedName>
    <definedName name="Korea_onyan" localSheetId="7">#REF!</definedName>
    <definedName name="Korea_onyan" localSheetId="5">#REF!</definedName>
    <definedName name="Korea_onyan">#REF!</definedName>
    <definedName name="Korea_onyan_1" localSheetId="4">'[2]#REF!'!#REF!</definedName>
    <definedName name="Korea_onyan_1" localSheetId="2">'[2]#REF!'!#REF!</definedName>
    <definedName name="Korea_onyan_1" localSheetId="0">#REF!</definedName>
    <definedName name="Korea_onyan_1" localSheetId="6">'[2]#REF!'!#REF!</definedName>
    <definedName name="Korea_onyan_1" localSheetId="7">'[2]#REF!'!#REF!</definedName>
    <definedName name="Korea_onyan_1" localSheetId="5">'[2]#REF!'!#REF!</definedName>
    <definedName name="Korea_onyan_1">'[2]#REF!'!#REF!</definedName>
    <definedName name="Korea_onyan_2" localSheetId="4">'[2]#REF!'!#REF!</definedName>
    <definedName name="Korea_onyan_2" localSheetId="2">'[2]#REF!'!#REF!</definedName>
    <definedName name="Korea_onyan_2" localSheetId="0">#REF!</definedName>
    <definedName name="Korea_onyan_2" localSheetId="6">'[2]#REF!'!#REF!</definedName>
    <definedName name="Korea_onyan_2" localSheetId="7">'[2]#REF!'!#REF!</definedName>
    <definedName name="Korea_onyan_2" localSheetId="5">'[2]#REF!'!#REF!</definedName>
    <definedName name="Korea_onyan_2">'[2]#REF!'!#REF!</definedName>
    <definedName name="Korea_onyan_3" localSheetId="4">'[2]#REF!'!#REF!</definedName>
    <definedName name="Korea_onyan_3" localSheetId="2">'[2]#REF!'!#REF!</definedName>
    <definedName name="Korea_onyan_3" localSheetId="0">#REF!</definedName>
    <definedName name="Korea_onyan_3" localSheetId="6">'[2]#REF!'!#REF!</definedName>
    <definedName name="Korea_onyan_3" localSheetId="7">'[2]#REF!'!#REF!</definedName>
    <definedName name="Korea_onyan_3" localSheetId="5">'[2]#REF!'!#REF!</definedName>
    <definedName name="Korea_onyan_3">'[2]#REF!'!#REF!</definedName>
    <definedName name="lbkdjg" localSheetId="4">'[6]Diff_Data _2_'!#REF!</definedName>
    <definedName name="lbkdjg" localSheetId="2">'[6]Diff_Data _2_'!#REF!</definedName>
    <definedName name="lbkdjg" localSheetId="6">'[6]Diff_Data _2_'!#REF!</definedName>
    <definedName name="lbkdjg" localSheetId="7">'[6]Diff_Data _2_'!#REF!</definedName>
    <definedName name="lbkdjg" localSheetId="5">'[6]Diff_Data _2_'!#REF!</definedName>
    <definedName name="lbkdjg">'[6]Diff_Data _2_'!#REF!</definedName>
    <definedName name="lbkdjg_1" localSheetId="4">'[6]Diff_Data _2_'!#REF!</definedName>
    <definedName name="lbkdjg_1" localSheetId="2">'[6]Diff_Data _2_'!#REF!</definedName>
    <definedName name="lbkdjg_1" localSheetId="6">'[6]Diff_Data _2_'!#REF!</definedName>
    <definedName name="lbkdjg_1" localSheetId="7">'[6]Diff_Data _2_'!#REF!</definedName>
    <definedName name="lbkdjg_1" localSheetId="5">'[6]Diff_Data _2_'!#REF!</definedName>
    <definedName name="lbkdjg_1">'[6]Diff_Data _2_'!#REF!</definedName>
    <definedName name="lbkdjg_2" localSheetId="4">'[6]Diff_Data _2_'!#REF!</definedName>
    <definedName name="lbkdjg_2" localSheetId="2">'[6]Diff_Data _2_'!#REF!</definedName>
    <definedName name="lbkdjg_2" localSheetId="6">'[6]Diff_Data _2_'!#REF!</definedName>
    <definedName name="lbkdjg_2" localSheetId="7">'[6]Diff_Data _2_'!#REF!</definedName>
    <definedName name="lbkdjg_2" localSheetId="5">'[6]Diff_Data _2_'!#REF!</definedName>
    <definedName name="lbkdjg_2">'[6]Diff_Data _2_'!#REF!</definedName>
    <definedName name="lbkdjg_3" localSheetId="4">'[6]Diff_Data _2_'!#REF!</definedName>
    <definedName name="lbkdjg_3" localSheetId="2">'[6]Diff_Data _2_'!#REF!</definedName>
    <definedName name="lbkdjg_3" localSheetId="6">'[6]Diff_Data _2_'!#REF!</definedName>
    <definedName name="lbkdjg_3" localSheetId="7">'[6]Diff_Data _2_'!#REF!</definedName>
    <definedName name="lbkdjg_3" localSheetId="5">'[6]Diff_Data _2_'!#REF!</definedName>
    <definedName name="lbkdjg_3">'[6]Diff_Data _2_'!#REF!</definedName>
    <definedName name="likk" localSheetId="4" hidden="1">#REF!</definedName>
    <definedName name="likk" localSheetId="2" hidden="1">#REF!</definedName>
    <definedName name="likk" localSheetId="0" hidden="1">'[46]#REF!'!$B$10:$B$18</definedName>
    <definedName name="likk" localSheetId="7" hidden="1">#REF!</definedName>
    <definedName name="likk" localSheetId="5" hidden="1">#REF!</definedName>
    <definedName name="likk" hidden="1">#REF!</definedName>
    <definedName name="lito" localSheetId="4">#REF!</definedName>
    <definedName name="lito" localSheetId="2">#REF!</definedName>
    <definedName name="lito" localSheetId="0">'[18]#REF!'!$B$1:$AF$20</definedName>
    <definedName name="lito" localSheetId="7">#REF!</definedName>
    <definedName name="lito" localSheetId="5">#REF!</definedName>
    <definedName name="lito">#REF!</definedName>
    <definedName name="lknhkm" localSheetId="4">'[6]Diff_Data _2_'!#REF!</definedName>
    <definedName name="lknhkm" localSheetId="2">'[6]Diff_Data _2_'!#REF!</definedName>
    <definedName name="lknhkm" localSheetId="6">'[6]Diff_Data _2_'!#REF!</definedName>
    <definedName name="lknhkm" localSheetId="7">'[6]Diff_Data _2_'!#REF!</definedName>
    <definedName name="lknhkm" localSheetId="5">'[6]Diff_Data _2_'!#REF!</definedName>
    <definedName name="lknhkm">'[6]Diff_Data _2_'!#REF!</definedName>
    <definedName name="lknhkm_1" localSheetId="4">'[6]Diff_Data _2_'!#REF!</definedName>
    <definedName name="lknhkm_1" localSheetId="2">'[6]Diff_Data _2_'!#REF!</definedName>
    <definedName name="lknhkm_1" localSheetId="6">'[6]Diff_Data _2_'!#REF!</definedName>
    <definedName name="lknhkm_1" localSheetId="7">'[6]Diff_Data _2_'!#REF!</definedName>
    <definedName name="lknhkm_1" localSheetId="5">'[6]Diff_Data _2_'!#REF!</definedName>
    <definedName name="lknhkm_1">'[6]Diff_Data _2_'!#REF!</definedName>
    <definedName name="lknhkm_2" localSheetId="4">'[6]Diff_Data _2_'!#REF!</definedName>
    <definedName name="lknhkm_2" localSheetId="2">'[6]Diff_Data _2_'!#REF!</definedName>
    <definedName name="lknhkm_2" localSheetId="6">'[6]Diff_Data _2_'!#REF!</definedName>
    <definedName name="lknhkm_2" localSheetId="7">'[6]Diff_Data _2_'!#REF!</definedName>
    <definedName name="lknhkm_2" localSheetId="5">'[6]Diff_Data _2_'!#REF!</definedName>
    <definedName name="lknhkm_2">'[6]Diff_Data _2_'!#REF!</definedName>
    <definedName name="lknhkm_3" localSheetId="4">'[6]Diff_Data _2_'!#REF!</definedName>
    <definedName name="lknhkm_3" localSheetId="2">'[6]Diff_Data _2_'!#REF!</definedName>
    <definedName name="lknhkm_3" localSheetId="6">'[6]Diff_Data _2_'!#REF!</definedName>
    <definedName name="lknhkm_3" localSheetId="7">'[6]Diff_Data _2_'!#REF!</definedName>
    <definedName name="lknhkm_3" localSheetId="5">'[6]Diff_Data _2_'!#REF!</definedName>
    <definedName name="lknhkm_3">'[6]Diff_Data _2_'!#REF!</definedName>
    <definedName name="ll" localSheetId="4">#REF!</definedName>
    <definedName name="ll" localSheetId="2">#REF!</definedName>
    <definedName name="ll" localSheetId="0">'[2]#REF!'!#REF!</definedName>
    <definedName name="ll" localSheetId="6">#REF!</definedName>
    <definedName name="ll" localSheetId="7">#REF!</definedName>
    <definedName name="ll" localSheetId="5">#REF!</definedName>
    <definedName name="ll">#REF!</definedName>
    <definedName name="ll_1" localSheetId="4">'[2]#REF!'!#REF!</definedName>
    <definedName name="ll_1" localSheetId="2">'[2]#REF!'!#REF!</definedName>
    <definedName name="ll_1" localSheetId="0">#REF!</definedName>
    <definedName name="ll_1" localSheetId="6">'[2]#REF!'!#REF!</definedName>
    <definedName name="ll_1" localSheetId="7">'[2]#REF!'!#REF!</definedName>
    <definedName name="ll_1" localSheetId="5">'[2]#REF!'!#REF!</definedName>
    <definedName name="ll_1">'[2]#REF!'!#REF!</definedName>
    <definedName name="ll_2" localSheetId="4">'[2]#REF!'!#REF!</definedName>
    <definedName name="ll_2" localSheetId="2">'[2]#REF!'!#REF!</definedName>
    <definedName name="ll_2" localSheetId="0">#REF!</definedName>
    <definedName name="ll_2" localSheetId="6">'[2]#REF!'!#REF!</definedName>
    <definedName name="ll_2" localSheetId="7">'[2]#REF!'!#REF!</definedName>
    <definedName name="ll_2" localSheetId="5">'[2]#REF!'!#REF!</definedName>
    <definedName name="ll_2">'[2]#REF!'!#REF!</definedName>
    <definedName name="ll_3" localSheetId="4">'[2]#REF!'!#REF!</definedName>
    <definedName name="ll_3" localSheetId="2">'[2]#REF!'!#REF!</definedName>
    <definedName name="ll_3" localSheetId="0">#REF!</definedName>
    <definedName name="ll_3" localSheetId="6">'[2]#REF!'!#REF!</definedName>
    <definedName name="ll_3" localSheetId="7">'[2]#REF!'!#REF!</definedName>
    <definedName name="ll_3" localSheetId="5">'[2]#REF!'!#REF!</definedName>
    <definedName name="ll_3">'[2]#REF!'!#REF!</definedName>
    <definedName name="lll" localSheetId="4">#REF!</definedName>
    <definedName name="lll" localSheetId="2">#REF!</definedName>
    <definedName name="lll" localSheetId="0">'[2]#REF!'!#REF!</definedName>
    <definedName name="lll" localSheetId="6">#REF!</definedName>
    <definedName name="lll" localSheetId="7">#REF!</definedName>
    <definedName name="lll" localSheetId="5">#REF!</definedName>
    <definedName name="lll">#REF!</definedName>
    <definedName name="lll_1" localSheetId="4">'[2]#REF!'!#REF!</definedName>
    <definedName name="lll_1" localSheetId="2">'[2]#REF!'!#REF!</definedName>
    <definedName name="lll_1" localSheetId="0">#REF!</definedName>
    <definedName name="lll_1" localSheetId="6">'[2]#REF!'!#REF!</definedName>
    <definedName name="lll_1" localSheetId="7">'[2]#REF!'!#REF!</definedName>
    <definedName name="lll_1" localSheetId="5">'[2]#REF!'!#REF!</definedName>
    <definedName name="lll_1">'[2]#REF!'!#REF!</definedName>
    <definedName name="lll_2" localSheetId="4">'[2]#REF!'!#REF!</definedName>
    <definedName name="lll_2" localSheetId="2">'[2]#REF!'!#REF!</definedName>
    <definedName name="lll_2" localSheetId="0">#REF!</definedName>
    <definedName name="lll_2" localSheetId="6">'[2]#REF!'!#REF!</definedName>
    <definedName name="lll_2" localSheetId="7">'[2]#REF!'!#REF!</definedName>
    <definedName name="lll_2" localSheetId="5">'[2]#REF!'!#REF!</definedName>
    <definedName name="lll_2">'[2]#REF!'!#REF!</definedName>
    <definedName name="lll_3" localSheetId="4">'[2]#REF!'!#REF!</definedName>
    <definedName name="lll_3" localSheetId="2">'[2]#REF!'!#REF!</definedName>
    <definedName name="lll_3" localSheetId="0">#REF!</definedName>
    <definedName name="lll_3" localSheetId="6">'[2]#REF!'!#REF!</definedName>
    <definedName name="lll_3" localSheetId="7">'[2]#REF!'!#REF!</definedName>
    <definedName name="lll_3" localSheetId="5">'[2]#REF!'!#REF!</definedName>
    <definedName name="lll_3">'[2]#REF!'!#REF!</definedName>
    <definedName name="lll_4" localSheetId="4">'[2]#REF!'!#REF!</definedName>
    <definedName name="lll_4" localSheetId="2">'[2]#REF!'!#REF!</definedName>
    <definedName name="lll_4" localSheetId="0">#REF!</definedName>
    <definedName name="lll_4" localSheetId="6">'[2]#REF!'!#REF!</definedName>
    <definedName name="lll_4" localSheetId="7">'[2]#REF!'!#REF!</definedName>
    <definedName name="lll_4" localSheetId="5">'[2]#REF!'!#REF!</definedName>
    <definedName name="lll_4">'[2]#REF!'!#REF!</definedName>
    <definedName name="Malaysia" localSheetId="4">#REF!</definedName>
    <definedName name="Malaysia" localSheetId="2">#REF!</definedName>
    <definedName name="Malaysia" localSheetId="0">'[2]#REF!'!#REF!</definedName>
    <definedName name="Malaysia" localSheetId="6">#REF!</definedName>
    <definedName name="Malaysia" localSheetId="7">#REF!</definedName>
    <definedName name="Malaysia" localSheetId="5">#REF!</definedName>
    <definedName name="Malaysia">#REF!</definedName>
    <definedName name="Malaysia_1" localSheetId="4">'[2]#REF!'!#REF!</definedName>
    <definedName name="Malaysia_1" localSheetId="2">'[2]#REF!'!#REF!</definedName>
    <definedName name="Malaysia_1" localSheetId="0">#REF!</definedName>
    <definedName name="Malaysia_1" localSheetId="6">'[2]#REF!'!#REF!</definedName>
    <definedName name="Malaysia_1" localSheetId="7">'[2]#REF!'!#REF!</definedName>
    <definedName name="Malaysia_1" localSheetId="5">'[2]#REF!'!#REF!</definedName>
    <definedName name="Malaysia_1">'[2]#REF!'!#REF!</definedName>
    <definedName name="Malaysia_2" localSheetId="4">'[2]#REF!'!#REF!</definedName>
    <definedName name="Malaysia_2" localSheetId="2">'[2]#REF!'!#REF!</definedName>
    <definedName name="Malaysia_2" localSheetId="0">#REF!</definedName>
    <definedName name="Malaysia_2" localSheetId="6">'[2]#REF!'!#REF!</definedName>
    <definedName name="Malaysia_2" localSheetId="7">'[2]#REF!'!#REF!</definedName>
    <definedName name="Malaysia_2" localSheetId="5">'[2]#REF!'!#REF!</definedName>
    <definedName name="Malaysia_2">'[2]#REF!'!#REF!</definedName>
    <definedName name="Malaysia_3" localSheetId="4">'[2]#REF!'!#REF!</definedName>
    <definedName name="Malaysia_3" localSheetId="2">'[2]#REF!'!#REF!</definedName>
    <definedName name="Malaysia_3" localSheetId="0">#REF!</definedName>
    <definedName name="Malaysia_3" localSheetId="6">'[2]#REF!'!#REF!</definedName>
    <definedName name="Malaysia_3" localSheetId="7">'[2]#REF!'!#REF!</definedName>
    <definedName name="Malaysia_3" localSheetId="5">'[2]#REF!'!#REF!</definedName>
    <definedName name="Malaysia_3">'[2]#REF!'!#REF!</definedName>
    <definedName name="Master_Data" localSheetId="4">#REF!</definedName>
    <definedName name="Master_Data" localSheetId="2">#REF!</definedName>
    <definedName name="Master_Data" localSheetId="0">'[2]#REF!'!#REF!</definedName>
    <definedName name="Master_Data" localSheetId="6">#REF!</definedName>
    <definedName name="Master_Data" localSheetId="7">#REF!</definedName>
    <definedName name="Master_Data" localSheetId="5">#REF!</definedName>
    <definedName name="Master_Data">#REF!</definedName>
    <definedName name="Master_Data_1" localSheetId="4">'[2]#REF!'!#REF!</definedName>
    <definedName name="Master_Data_1" localSheetId="2">'[2]#REF!'!#REF!</definedName>
    <definedName name="Master_Data_1" localSheetId="0">#REF!</definedName>
    <definedName name="Master_Data_1" localSheetId="6">'[2]#REF!'!#REF!</definedName>
    <definedName name="Master_Data_1" localSheetId="7">'[2]#REF!'!#REF!</definedName>
    <definedName name="Master_Data_1" localSheetId="5">'[2]#REF!'!#REF!</definedName>
    <definedName name="Master_Data_1">'[2]#REF!'!#REF!</definedName>
    <definedName name="Master_Data_2" localSheetId="4">'[2]#REF!'!#REF!</definedName>
    <definedName name="Master_Data_2" localSheetId="2">'[2]#REF!'!#REF!</definedName>
    <definedName name="Master_Data_2" localSheetId="0">#REF!</definedName>
    <definedName name="Master_Data_2" localSheetId="6">'[2]#REF!'!#REF!</definedName>
    <definedName name="Master_Data_2" localSheetId="7">'[2]#REF!'!#REF!</definedName>
    <definedName name="Master_Data_2" localSheetId="5">'[2]#REF!'!#REF!</definedName>
    <definedName name="Master_Data_2">'[2]#REF!'!#REF!</definedName>
    <definedName name="Master_Data_3" localSheetId="4">'[2]#REF!'!#REF!</definedName>
    <definedName name="Master_Data_3" localSheetId="2">'[2]#REF!'!#REF!</definedName>
    <definedName name="Master_Data_3" localSheetId="0">#REF!</definedName>
    <definedName name="Master_Data_3" localSheetId="6">'[2]#REF!'!#REF!</definedName>
    <definedName name="Master_Data_3" localSheetId="7">'[2]#REF!'!#REF!</definedName>
    <definedName name="Master_Data_3" localSheetId="5">'[2]#REF!'!#REF!</definedName>
    <definedName name="Master_Data_3">'[2]#REF!'!#REF!</definedName>
    <definedName name="Master_ModelDwg" localSheetId="4">#REF!</definedName>
    <definedName name="Master_ModelDwg" localSheetId="2">#REF!</definedName>
    <definedName name="Master_ModelDwg" localSheetId="0">'[2]#REF!'!#REF!</definedName>
    <definedName name="Master_ModelDwg" localSheetId="6">#REF!</definedName>
    <definedName name="Master_ModelDwg" localSheetId="7">#REF!</definedName>
    <definedName name="Master_ModelDwg" localSheetId="5">#REF!</definedName>
    <definedName name="Master_ModelDwg">#REF!</definedName>
    <definedName name="Master_ModelDwg_1" localSheetId="4">'[2]#REF!'!#REF!</definedName>
    <definedName name="Master_ModelDwg_1" localSheetId="2">'[2]#REF!'!#REF!</definedName>
    <definedName name="Master_ModelDwg_1" localSheetId="0">#REF!</definedName>
    <definedName name="Master_ModelDwg_1" localSheetId="6">'[2]#REF!'!#REF!</definedName>
    <definedName name="Master_ModelDwg_1" localSheetId="7">'[2]#REF!'!#REF!</definedName>
    <definedName name="Master_ModelDwg_1" localSheetId="5">'[2]#REF!'!#REF!</definedName>
    <definedName name="Master_ModelDwg_1">'[2]#REF!'!#REF!</definedName>
    <definedName name="Master_ModelDwg_2" localSheetId="4">'[2]#REF!'!#REF!</definedName>
    <definedName name="Master_ModelDwg_2" localSheetId="2">'[2]#REF!'!#REF!</definedName>
    <definedName name="Master_ModelDwg_2" localSheetId="0">#REF!</definedName>
    <definedName name="Master_ModelDwg_2" localSheetId="6">'[2]#REF!'!#REF!</definedName>
    <definedName name="Master_ModelDwg_2" localSheetId="7">'[2]#REF!'!#REF!</definedName>
    <definedName name="Master_ModelDwg_2" localSheetId="5">'[2]#REF!'!#REF!</definedName>
    <definedName name="Master_ModelDwg_2">'[2]#REF!'!#REF!</definedName>
    <definedName name="Master_ModelDwg_3" localSheetId="4">'[2]#REF!'!#REF!</definedName>
    <definedName name="Master_ModelDwg_3" localSheetId="2">'[2]#REF!'!#REF!</definedName>
    <definedName name="Master_ModelDwg_3" localSheetId="0">#REF!</definedName>
    <definedName name="Master_ModelDwg_3" localSheetId="6">'[2]#REF!'!#REF!</definedName>
    <definedName name="Master_ModelDwg_3" localSheetId="7">'[2]#REF!'!#REF!</definedName>
    <definedName name="Master_ModelDwg_3" localSheetId="5">'[2]#REF!'!#REF!</definedName>
    <definedName name="Master_ModelDwg_3">'[2]#REF!'!#REF!</definedName>
    <definedName name="Master_ModelName" localSheetId="4">#REF!</definedName>
    <definedName name="Master_ModelName" localSheetId="2">#REF!</definedName>
    <definedName name="Master_ModelName" localSheetId="0">'[2]#REF!'!#REF!</definedName>
    <definedName name="Master_ModelName" localSheetId="6">#REF!</definedName>
    <definedName name="Master_ModelName" localSheetId="7">#REF!</definedName>
    <definedName name="Master_ModelName" localSheetId="5">#REF!</definedName>
    <definedName name="Master_ModelName">#REF!</definedName>
    <definedName name="Master_ModelName_1" localSheetId="4">'[2]#REF!'!#REF!</definedName>
    <definedName name="Master_ModelName_1" localSheetId="2">'[2]#REF!'!#REF!</definedName>
    <definedName name="Master_ModelName_1" localSheetId="0">#REF!</definedName>
    <definedName name="Master_ModelName_1" localSheetId="6">'[2]#REF!'!#REF!</definedName>
    <definedName name="Master_ModelName_1" localSheetId="7">'[2]#REF!'!#REF!</definedName>
    <definedName name="Master_ModelName_1" localSheetId="5">'[2]#REF!'!#REF!</definedName>
    <definedName name="Master_ModelName_1">'[2]#REF!'!#REF!</definedName>
    <definedName name="Master_ModelName_2" localSheetId="4">'[2]#REF!'!#REF!</definedName>
    <definedName name="Master_ModelName_2" localSheetId="2">'[2]#REF!'!#REF!</definedName>
    <definedName name="Master_ModelName_2" localSheetId="0">#REF!</definedName>
    <definedName name="Master_ModelName_2" localSheetId="6">'[2]#REF!'!#REF!</definedName>
    <definedName name="Master_ModelName_2" localSheetId="7">'[2]#REF!'!#REF!</definedName>
    <definedName name="Master_ModelName_2" localSheetId="5">'[2]#REF!'!#REF!</definedName>
    <definedName name="Master_ModelName_2">'[2]#REF!'!#REF!</definedName>
    <definedName name="Master_ModelName_3" localSheetId="4">'[2]#REF!'!#REF!</definedName>
    <definedName name="Master_ModelName_3" localSheetId="2">'[2]#REF!'!#REF!</definedName>
    <definedName name="Master_ModelName_3" localSheetId="0">#REF!</definedName>
    <definedName name="Master_ModelName_3" localSheetId="6">'[2]#REF!'!#REF!</definedName>
    <definedName name="Master_ModelName_3" localSheetId="7">'[2]#REF!'!#REF!</definedName>
    <definedName name="Master_ModelName_3" localSheetId="5">'[2]#REF!'!#REF!</definedName>
    <definedName name="Master_ModelName_3">'[2]#REF!'!#REF!</definedName>
    <definedName name="Master_PartsDwg" localSheetId="4">#REF!</definedName>
    <definedName name="Master_PartsDwg" localSheetId="2">#REF!</definedName>
    <definedName name="Master_PartsDwg" localSheetId="0">'[2]#REF!'!#REF!</definedName>
    <definedName name="Master_PartsDwg" localSheetId="6">#REF!</definedName>
    <definedName name="Master_PartsDwg" localSheetId="7">#REF!</definedName>
    <definedName name="Master_PartsDwg" localSheetId="5">#REF!</definedName>
    <definedName name="Master_PartsDwg">#REF!</definedName>
    <definedName name="Master_PartsDwg_1" localSheetId="4">'[2]#REF!'!#REF!</definedName>
    <definedName name="Master_PartsDwg_1" localSheetId="2">'[2]#REF!'!#REF!</definedName>
    <definedName name="Master_PartsDwg_1" localSheetId="0">#REF!</definedName>
    <definedName name="Master_PartsDwg_1" localSheetId="6">'[2]#REF!'!#REF!</definedName>
    <definedName name="Master_PartsDwg_1" localSheetId="7">'[2]#REF!'!#REF!</definedName>
    <definedName name="Master_PartsDwg_1" localSheetId="5">'[2]#REF!'!#REF!</definedName>
    <definedName name="Master_PartsDwg_1">'[2]#REF!'!#REF!</definedName>
    <definedName name="Master_PartsDwg_2" localSheetId="4">'[2]#REF!'!#REF!</definedName>
    <definedName name="Master_PartsDwg_2" localSheetId="2">'[2]#REF!'!#REF!</definedName>
    <definedName name="Master_PartsDwg_2" localSheetId="0">#REF!</definedName>
    <definedName name="Master_PartsDwg_2" localSheetId="6">'[2]#REF!'!#REF!</definedName>
    <definedName name="Master_PartsDwg_2" localSheetId="7">'[2]#REF!'!#REF!</definedName>
    <definedName name="Master_PartsDwg_2" localSheetId="5">'[2]#REF!'!#REF!</definedName>
    <definedName name="Master_PartsDwg_2">'[2]#REF!'!#REF!</definedName>
    <definedName name="Master_PartsDwg_3" localSheetId="4">'[2]#REF!'!#REF!</definedName>
    <definedName name="Master_PartsDwg_3" localSheetId="2">'[2]#REF!'!#REF!</definedName>
    <definedName name="Master_PartsDwg_3" localSheetId="0">#REF!</definedName>
    <definedName name="Master_PartsDwg_3" localSheetId="6">'[2]#REF!'!#REF!</definedName>
    <definedName name="Master_PartsDwg_3" localSheetId="7">'[2]#REF!'!#REF!</definedName>
    <definedName name="Master_PartsDwg_3" localSheetId="5">'[2]#REF!'!#REF!</definedName>
    <definedName name="Master_PartsDwg_3">'[2]#REF!'!#REF!</definedName>
    <definedName name="MATHEADER" localSheetId="4">#REF!</definedName>
    <definedName name="MATHEADER" localSheetId="2">#REF!</definedName>
    <definedName name="MATHEADER" localSheetId="0">'[2]#REF!'!$1:$1</definedName>
    <definedName name="MATHEADER" localSheetId="7">#REF!</definedName>
    <definedName name="MATHEADER" localSheetId="5">#REF!</definedName>
    <definedName name="MATHEADER">#REF!</definedName>
    <definedName name="MBM29LV400TC_70" localSheetId="4">#REF!</definedName>
    <definedName name="MBM29LV400TC_70" localSheetId="2">#REF!</definedName>
    <definedName name="MBM29LV400TC_70" localSheetId="0">'[2]#REF!'!#REF!</definedName>
    <definedName name="MBM29LV400TC_70" localSheetId="6">#REF!</definedName>
    <definedName name="MBM29LV400TC_70" localSheetId="7">#REF!</definedName>
    <definedName name="MBM29LV400TC_70" localSheetId="5">#REF!</definedName>
    <definedName name="MBM29LV400TC_70">#REF!</definedName>
    <definedName name="MBM29LV400TC_70_1" localSheetId="4">'[2]#REF!'!#REF!</definedName>
    <definedName name="MBM29LV400TC_70_1" localSheetId="2">'[2]#REF!'!#REF!</definedName>
    <definedName name="MBM29LV400TC_70_1" localSheetId="0">#REF!</definedName>
    <definedName name="MBM29LV400TC_70_1" localSheetId="6">'[2]#REF!'!#REF!</definedName>
    <definedName name="MBM29LV400TC_70_1" localSheetId="7">'[2]#REF!'!#REF!</definedName>
    <definedName name="MBM29LV400TC_70_1" localSheetId="5">'[2]#REF!'!#REF!</definedName>
    <definedName name="MBM29LV400TC_70_1">'[2]#REF!'!#REF!</definedName>
    <definedName name="MBM29LV400TC_70_2" localSheetId="4">'[2]#REF!'!#REF!</definedName>
    <definedName name="MBM29LV400TC_70_2" localSheetId="2">'[2]#REF!'!#REF!</definedName>
    <definedName name="MBM29LV400TC_70_2" localSheetId="0">#REF!</definedName>
    <definedName name="MBM29LV400TC_70_2" localSheetId="6">'[2]#REF!'!#REF!</definedName>
    <definedName name="MBM29LV400TC_70_2" localSheetId="7">'[2]#REF!'!#REF!</definedName>
    <definedName name="MBM29LV400TC_70_2" localSheetId="5">'[2]#REF!'!#REF!</definedName>
    <definedName name="MBM29LV400TC_70_2">'[2]#REF!'!#REF!</definedName>
    <definedName name="MBM29LV400TC_70_3" localSheetId="4">'[2]#REF!'!#REF!</definedName>
    <definedName name="MBM29LV400TC_70_3" localSheetId="2">'[2]#REF!'!#REF!</definedName>
    <definedName name="MBM29LV400TC_70_3" localSheetId="0">#REF!</definedName>
    <definedName name="MBM29LV400TC_70_3" localSheetId="6">'[2]#REF!'!#REF!</definedName>
    <definedName name="MBM29LV400TC_70_3" localSheetId="7">'[2]#REF!'!#REF!</definedName>
    <definedName name="MBM29LV400TC_70_3" localSheetId="5">'[2]#REF!'!#REF!</definedName>
    <definedName name="MBM29LV400TC_70_3">'[2]#REF!'!#REF!</definedName>
    <definedName name="MBM29LV400TC_70FTN_S" localSheetId="4">#REF!</definedName>
    <definedName name="MBM29LV400TC_70FTN_S" localSheetId="2">#REF!</definedName>
    <definedName name="MBM29LV400TC_70FTN_S" localSheetId="0">'[2]#REF!'!#REF!</definedName>
    <definedName name="MBM29LV400TC_70FTN_S" localSheetId="6">#REF!</definedName>
    <definedName name="MBM29LV400TC_70FTN_S" localSheetId="7">#REF!</definedName>
    <definedName name="MBM29LV400TC_70FTN_S" localSheetId="5">#REF!</definedName>
    <definedName name="MBM29LV400TC_70FTN_S">#REF!</definedName>
    <definedName name="MBM29LV400TC_70FTN_S_1" localSheetId="4">'[2]#REF!'!#REF!</definedName>
    <definedName name="MBM29LV400TC_70FTN_S_1" localSheetId="2">'[2]#REF!'!#REF!</definedName>
    <definedName name="MBM29LV400TC_70FTN_S_1" localSheetId="0">#REF!</definedName>
    <definedName name="MBM29LV400TC_70FTN_S_1" localSheetId="6">'[2]#REF!'!#REF!</definedName>
    <definedName name="MBM29LV400TC_70FTN_S_1" localSheetId="7">'[2]#REF!'!#REF!</definedName>
    <definedName name="MBM29LV400TC_70FTN_S_1" localSheetId="5">'[2]#REF!'!#REF!</definedName>
    <definedName name="MBM29LV400TC_70FTN_S_1">'[2]#REF!'!#REF!</definedName>
    <definedName name="MBM29LV400TC_70FTN_S_2" localSheetId="4">'[2]#REF!'!#REF!</definedName>
    <definedName name="MBM29LV400TC_70FTN_S_2" localSheetId="2">'[2]#REF!'!#REF!</definedName>
    <definedName name="MBM29LV400TC_70FTN_S_2" localSheetId="0">#REF!</definedName>
    <definedName name="MBM29LV400TC_70FTN_S_2" localSheetId="6">'[2]#REF!'!#REF!</definedName>
    <definedName name="MBM29LV400TC_70FTN_S_2" localSheetId="7">'[2]#REF!'!#REF!</definedName>
    <definedName name="MBM29LV400TC_70FTN_S_2" localSheetId="5">'[2]#REF!'!#REF!</definedName>
    <definedName name="MBM29LV400TC_70FTN_S_2">'[2]#REF!'!#REF!</definedName>
    <definedName name="MBM29LV400TC_70FTN_S_3" localSheetId="4">'[2]#REF!'!#REF!</definedName>
    <definedName name="MBM29LV400TC_70FTN_S_3" localSheetId="2">'[2]#REF!'!#REF!</definedName>
    <definedName name="MBM29LV400TC_70FTN_S_3" localSheetId="0">#REF!</definedName>
    <definedName name="MBM29LV400TC_70FTN_S_3" localSheetId="6">'[2]#REF!'!#REF!</definedName>
    <definedName name="MBM29LV400TC_70FTN_S_3" localSheetId="7">'[2]#REF!'!#REF!</definedName>
    <definedName name="MBM29LV400TC_70FTN_S_3" localSheetId="5">'[2]#REF!'!#REF!</definedName>
    <definedName name="MBM29LV400TC_70FTN_S_3">'[2]#REF!'!#REF!</definedName>
    <definedName name="me" localSheetId="4" hidden="1">#REF!</definedName>
    <definedName name="me" localSheetId="2" hidden="1">#REF!</definedName>
    <definedName name="me" localSheetId="0" hidden="1">'[50]#REF!'!#REF!</definedName>
    <definedName name="me" localSheetId="6" hidden="1">#REF!</definedName>
    <definedName name="me" localSheetId="7" hidden="1">#REF!</definedName>
    <definedName name="me" localSheetId="5" hidden="1">#REF!</definedName>
    <definedName name="me" hidden="1">#REF!</definedName>
    <definedName name="me_1" localSheetId="4">'[51]#REF!'!#REF!</definedName>
    <definedName name="me_1" localSheetId="2">'[51]#REF!'!#REF!</definedName>
    <definedName name="me_1" localSheetId="0">#REF!</definedName>
    <definedName name="me_1" localSheetId="6">'[51]#REF!'!#REF!</definedName>
    <definedName name="me_1" localSheetId="7">'[51]#REF!'!#REF!</definedName>
    <definedName name="me_1" localSheetId="5">'[51]#REF!'!#REF!</definedName>
    <definedName name="me_1">'[51]#REF!'!#REF!</definedName>
    <definedName name="me_2" localSheetId="4">'[51]#REF!'!#REF!</definedName>
    <definedName name="me_2" localSheetId="2">'[51]#REF!'!#REF!</definedName>
    <definedName name="me_2" localSheetId="0">#REF!</definedName>
    <definedName name="me_2" localSheetId="6">'[51]#REF!'!#REF!</definedName>
    <definedName name="me_2" localSheetId="7">'[51]#REF!'!#REF!</definedName>
    <definedName name="me_2" localSheetId="5">'[51]#REF!'!#REF!</definedName>
    <definedName name="me_2">'[51]#REF!'!#REF!</definedName>
    <definedName name="mgfoknfhn" localSheetId="4">'[6]Diff_Data _2_'!#REF!</definedName>
    <definedName name="mgfoknfhn" localSheetId="2">'[6]Diff_Data _2_'!#REF!</definedName>
    <definedName name="mgfoknfhn" localSheetId="6">'[6]Diff_Data _2_'!#REF!</definedName>
    <definedName name="mgfoknfhn" localSheetId="7">'[6]Diff_Data _2_'!#REF!</definedName>
    <definedName name="mgfoknfhn" localSheetId="5">'[6]Diff_Data _2_'!#REF!</definedName>
    <definedName name="mgfoknfhn">'[6]Diff_Data _2_'!#REF!</definedName>
    <definedName name="mgfoknfhn_1" localSheetId="4">'[6]Diff_Data _2_'!#REF!</definedName>
    <definedName name="mgfoknfhn_1" localSheetId="2">'[6]Diff_Data _2_'!#REF!</definedName>
    <definedName name="mgfoknfhn_1" localSheetId="6">'[6]Diff_Data _2_'!#REF!</definedName>
    <definedName name="mgfoknfhn_1" localSheetId="7">'[6]Diff_Data _2_'!#REF!</definedName>
    <definedName name="mgfoknfhn_1" localSheetId="5">'[6]Diff_Data _2_'!#REF!</definedName>
    <definedName name="mgfoknfhn_1">'[6]Diff_Data _2_'!#REF!</definedName>
    <definedName name="mgfoknfhn_2" localSheetId="4">'[6]Diff_Data _2_'!#REF!</definedName>
    <definedName name="mgfoknfhn_2" localSheetId="2">'[6]Diff_Data _2_'!#REF!</definedName>
    <definedName name="mgfoknfhn_2" localSheetId="6">'[6]Diff_Data _2_'!#REF!</definedName>
    <definedName name="mgfoknfhn_2" localSheetId="7">'[6]Diff_Data _2_'!#REF!</definedName>
    <definedName name="mgfoknfhn_2" localSheetId="5">'[6]Diff_Data _2_'!#REF!</definedName>
    <definedName name="mgfoknfhn_2">'[6]Diff_Data _2_'!#REF!</definedName>
    <definedName name="mgfoknfhn_3" localSheetId="4">'[6]Diff_Data _2_'!#REF!</definedName>
    <definedName name="mgfoknfhn_3" localSheetId="2">'[6]Diff_Data _2_'!#REF!</definedName>
    <definedName name="mgfoknfhn_3" localSheetId="6">'[6]Diff_Data _2_'!#REF!</definedName>
    <definedName name="mgfoknfhn_3" localSheetId="7">'[6]Diff_Data _2_'!#REF!</definedName>
    <definedName name="mgfoknfhn_3" localSheetId="5">'[6]Diff_Data _2_'!#REF!</definedName>
    <definedName name="mgfoknfhn_3">'[6]Diff_Data _2_'!#REF!</definedName>
    <definedName name="Model_Data_Area" localSheetId="4">#REF!</definedName>
    <definedName name="Model_Data_Area" localSheetId="2">#REF!</definedName>
    <definedName name="Model_Data_Area" localSheetId="0">'[2]#REF!'!$I$4:$L$5</definedName>
    <definedName name="Model_Data_Area" localSheetId="7">#REF!</definedName>
    <definedName name="Model_Data_Area" localSheetId="5">#REF!</definedName>
    <definedName name="Model_Data_Area">#REF!</definedName>
    <definedName name="MORALLOS" localSheetId="4">'[1]???????'!#REF!</definedName>
    <definedName name="MORALLOS" localSheetId="2">'[1]???????'!#REF!</definedName>
    <definedName name="MORALLOS" localSheetId="6">'[1]???????'!#REF!</definedName>
    <definedName name="MORALLOS" localSheetId="7">'[1]???????'!#REF!</definedName>
    <definedName name="MORALLOS" localSheetId="5">'[1]???????'!#REF!</definedName>
    <definedName name="MORALLOS">'[1]???????'!#REF!</definedName>
    <definedName name="n" localSheetId="4">#REF!</definedName>
    <definedName name="n" localSheetId="2">#REF!</definedName>
    <definedName name="n" localSheetId="0">'[2]#REF!'!#REF!</definedName>
    <definedName name="n" localSheetId="6">#REF!</definedName>
    <definedName name="n" localSheetId="7">#REF!</definedName>
    <definedName name="n" localSheetId="5">#REF!</definedName>
    <definedName name="n">#REF!</definedName>
    <definedName name="n_1" localSheetId="4">'[2]#REF!'!#REF!</definedName>
    <definedName name="n_1" localSheetId="2">'[2]#REF!'!#REF!</definedName>
    <definedName name="n_1" localSheetId="0">#REF!</definedName>
    <definedName name="n_1" localSheetId="6">'[2]#REF!'!#REF!</definedName>
    <definedName name="n_1" localSheetId="7">'[2]#REF!'!#REF!</definedName>
    <definedName name="n_1" localSheetId="5">'[2]#REF!'!#REF!</definedName>
    <definedName name="n_1">'[2]#REF!'!#REF!</definedName>
    <definedName name="n_2" localSheetId="4">'[2]#REF!'!#REF!</definedName>
    <definedName name="n_2" localSheetId="2">'[2]#REF!'!#REF!</definedName>
    <definedName name="n_2" localSheetId="0">#REF!</definedName>
    <definedName name="n_2" localSheetId="6">'[2]#REF!'!#REF!</definedName>
    <definedName name="n_2" localSheetId="7">'[2]#REF!'!#REF!</definedName>
    <definedName name="n_2" localSheetId="5">'[2]#REF!'!#REF!</definedName>
    <definedName name="n_2">'[2]#REF!'!#REF!</definedName>
    <definedName name="n_3" localSheetId="4">'[2]#REF!'!#REF!</definedName>
    <definedName name="n_3" localSheetId="2">'[2]#REF!'!#REF!</definedName>
    <definedName name="n_3" localSheetId="0">#REF!</definedName>
    <definedName name="n_3" localSheetId="6">'[2]#REF!'!#REF!</definedName>
    <definedName name="n_3" localSheetId="7">'[2]#REF!'!#REF!</definedName>
    <definedName name="n_3" localSheetId="5">'[2]#REF!'!#REF!</definedName>
    <definedName name="n_3">'[2]#REF!'!#REF!</definedName>
    <definedName name="NAM" localSheetId="4">#REF!</definedName>
    <definedName name="NAM" localSheetId="2">#REF!</definedName>
    <definedName name="NAM" localSheetId="0">'[22]#REF!'!#REF!</definedName>
    <definedName name="NAM" localSheetId="6">#REF!</definedName>
    <definedName name="NAM" localSheetId="7">#REF!</definedName>
    <definedName name="NAM" localSheetId="5">#REF!</definedName>
    <definedName name="NAM">#REF!</definedName>
    <definedName name="NAM_1" localSheetId="4">'[37]#REF!'!#REF!</definedName>
    <definedName name="NAM_1" localSheetId="2">'[37]#REF!'!#REF!</definedName>
    <definedName name="NAM_1" localSheetId="0">#REF!</definedName>
    <definedName name="NAM_1" localSheetId="6">'[37]#REF!'!#REF!</definedName>
    <definedName name="NAM_1" localSheetId="7">'[37]#REF!'!#REF!</definedName>
    <definedName name="NAM_1" localSheetId="5">'[37]#REF!'!#REF!</definedName>
    <definedName name="NAM_1">'[37]#REF!'!#REF!</definedName>
    <definedName name="NAM_2" localSheetId="4">'[37]#REF!'!#REF!</definedName>
    <definedName name="NAM_2" localSheetId="2">'[37]#REF!'!#REF!</definedName>
    <definedName name="NAM_2" localSheetId="0">#REF!</definedName>
    <definedName name="NAM_2" localSheetId="6">'[37]#REF!'!#REF!</definedName>
    <definedName name="NAM_2" localSheetId="7">'[37]#REF!'!#REF!</definedName>
    <definedName name="NAM_2" localSheetId="5">'[37]#REF!'!#REF!</definedName>
    <definedName name="NAM_2">'[37]#REF!'!#REF!</definedName>
    <definedName name="new" hidden="1">'[3]Diff_Data _2_'!$B$10:$B$18</definedName>
    <definedName name="new_1">'[3]Diff_Data _2_'!$B$10:$B$18</definedName>
    <definedName name="njigsd" localSheetId="4">'[6]Diff_Data _2_'!#REF!</definedName>
    <definedName name="njigsd" localSheetId="2">'[6]Diff_Data _2_'!#REF!</definedName>
    <definedName name="njigsd" localSheetId="6">'[6]Diff_Data _2_'!#REF!</definedName>
    <definedName name="njigsd" localSheetId="7">'[6]Diff_Data _2_'!#REF!</definedName>
    <definedName name="njigsd" localSheetId="5">'[6]Diff_Data _2_'!#REF!</definedName>
    <definedName name="njigsd">'[6]Diff_Data _2_'!#REF!</definedName>
    <definedName name="njigsd_1" localSheetId="4">'[6]Diff_Data _2_'!#REF!</definedName>
    <definedName name="njigsd_1" localSheetId="2">'[6]Diff_Data _2_'!#REF!</definedName>
    <definedName name="njigsd_1" localSheetId="6">'[6]Diff_Data _2_'!#REF!</definedName>
    <definedName name="njigsd_1" localSheetId="7">'[6]Diff_Data _2_'!#REF!</definedName>
    <definedName name="njigsd_1" localSheetId="5">'[6]Diff_Data _2_'!#REF!</definedName>
    <definedName name="njigsd_1">'[6]Diff_Data _2_'!#REF!</definedName>
    <definedName name="njigsd_2" localSheetId="4">'[6]Diff_Data _2_'!#REF!</definedName>
    <definedName name="njigsd_2" localSheetId="2">'[6]Diff_Data _2_'!#REF!</definedName>
    <definedName name="njigsd_2" localSheetId="6">'[6]Diff_Data _2_'!#REF!</definedName>
    <definedName name="njigsd_2" localSheetId="7">'[6]Diff_Data _2_'!#REF!</definedName>
    <definedName name="njigsd_2" localSheetId="5">'[6]Diff_Data _2_'!#REF!</definedName>
    <definedName name="njigsd_2">'[6]Diff_Data _2_'!#REF!</definedName>
    <definedName name="njigsd_3" localSheetId="4">'[6]Diff_Data _2_'!#REF!</definedName>
    <definedName name="njigsd_3" localSheetId="2">'[6]Diff_Data _2_'!#REF!</definedName>
    <definedName name="njigsd_3" localSheetId="6">'[6]Diff_Data _2_'!#REF!</definedName>
    <definedName name="njigsd_3" localSheetId="7">'[6]Diff_Data _2_'!#REF!</definedName>
    <definedName name="njigsd_3" localSheetId="5">'[6]Diff_Data _2_'!#REF!</definedName>
    <definedName name="njigsd_3">'[6]Diff_Data _2_'!#REF!</definedName>
    <definedName name="NN" localSheetId="4">#REF!</definedName>
    <definedName name="NN" localSheetId="2">#REF!</definedName>
    <definedName name="NN" localSheetId="0">'[2]#REF!'!#REF!</definedName>
    <definedName name="NN" localSheetId="6">#REF!</definedName>
    <definedName name="NN" localSheetId="7">#REF!</definedName>
    <definedName name="NN" localSheetId="5">#REF!</definedName>
    <definedName name="NN">#REF!</definedName>
    <definedName name="NN_1" localSheetId="4">'[2]#REF!'!#REF!</definedName>
    <definedName name="NN_1" localSheetId="2">'[2]#REF!'!#REF!</definedName>
    <definedName name="NN_1" localSheetId="0">#REF!</definedName>
    <definedName name="NN_1" localSheetId="6">'[2]#REF!'!#REF!</definedName>
    <definedName name="NN_1" localSheetId="7">'[2]#REF!'!#REF!</definedName>
    <definedName name="NN_1" localSheetId="5">'[2]#REF!'!#REF!</definedName>
    <definedName name="NN_1">'[2]#REF!'!#REF!</definedName>
    <definedName name="NN_2" localSheetId="4">'[2]#REF!'!#REF!</definedName>
    <definedName name="NN_2" localSheetId="2">'[2]#REF!'!#REF!</definedName>
    <definedName name="NN_2" localSheetId="0">#REF!</definedName>
    <definedName name="NN_2" localSheetId="6">'[2]#REF!'!#REF!</definedName>
    <definedName name="NN_2" localSheetId="7">'[2]#REF!'!#REF!</definedName>
    <definedName name="NN_2" localSheetId="5">'[2]#REF!'!#REF!</definedName>
    <definedName name="NN_2">'[2]#REF!'!#REF!</definedName>
    <definedName name="NN_3" localSheetId="4">'[2]#REF!'!#REF!</definedName>
    <definedName name="NN_3" localSheetId="2">'[2]#REF!'!#REF!</definedName>
    <definedName name="NN_3" localSheetId="0">#REF!</definedName>
    <definedName name="NN_3" localSheetId="6">'[2]#REF!'!#REF!</definedName>
    <definedName name="NN_3" localSheetId="7">'[2]#REF!'!#REF!</definedName>
    <definedName name="NN_3" localSheetId="5">'[2]#REF!'!#REF!</definedName>
    <definedName name="NN_3">'[2]#REF!'!#REF!</definedName>
    <definedName name="NNNNNNNNNNNN" localSheetId="4">#REF!</definedName>
    <definedName name="NNNNNNNNNNNN" localSheetId="2">#REF!</definedName>
    <definedName name="NNNNNNNNNNNN" localSheetId="0">'[2]#REF!'!#REF!</definedName>
    <definedName name="NNNNNNNNNNNN" localSheetId="6">#REF!</definedName>
    <definedName name="NNNNNNNNNNNN" localSheetId="7">#REF!</definedName>
    <definedName name="NNNNNNNNNNNN" localSheetId="5">#REF!</definedName>
    <definedName name="NNNNNNNNNNNN">#REF!</definedName>
    <definedName name="NNNNNNNNNNNN_1" localSheetId="4">'[2]#REF!'!#REF!</definedName>
    <definedName name="NNNNNNNNNNNN_1" localSheetId="2">'[2]#REF!'!#REF!</definedName>
    <definedName name="NNNNNNNNNNNN_1" localSheetId="0">#REF!</definedName>
    <definedName name="NNNNNNNNNNNN_1" localSheetId="6">'[2]#REF!'!#REF!</definedName>
    <definedName name="NNNNNNNNNNNN_1" localSheetId="7">'[2]#REF!'!#REF!</definedName>
    <definedName name="NNNNNNNNNNNN_1" localSheetId="5">'[2]#REF!'!#REF!</definedName>
    <definedName name="NNNNNNNNNNNN_1">'[2]#REF!'!#REF!</definedName>
    <definedName name="NNNNNNNNNNNN_2" localSheetId="4">'[2]#REF!'!#REF!</definedName>
    <definedName name="NNNNNNNNNNNN_2" localSheetId="2">'[2]#REF!'!#REF!</definedName>
    <definedName name="NNNNNNNNNNNN_2" localSheetId="0">#REF!</definedName>
    <definedName name="NNNNNNNNNNNN_2" localSheetId="6">'[2]#REF!'!#REF!</definedName>
    <definedName name="NNNNNNNNNNNN_2" localSheetId="7">'[2]#REF!'!#REF!</definedName>
    <definedName name="NNNNNNNNNNNN_2" localSheetId="5">'[2]#REF!'!#REF!</definedName>
    <definedName name="NNNNNNNNNNNN_2">'[2]#REF!'!#REF!</definedName>
    <definedName name="NNNNNNNNNNNN_3" localSheetId="4">'[2]#REF!'!#REF!</definedName>
    <definedName name="NNNNNNNNNNNN_3" localSheetId="2">'[2]#REF!'!#REF!</definedName>
    <definedName name="NNNNNNNNNNNN_3" localSheetId="0">#REF!</definedName>
    <definedName name="NNNNNNNNNNNN_3" localSheetId="6">'[2]#REF!'!#REF!</definedName>
    <definedName name="NNNNNNNNNNNN_3" localSheetId="7">'[2]#REF!'!#REF!</definedName>
    <definedName name="NNNNNNNNNNNN_3" localSheetId="5">'[2]#REF!'!#REF!</definedName>
    <definedName name="NNNNNNNNNNNN_3">'[2]#REF!'!#REF!</definedName>
    <definedName name="OFFICE" localSheetId="4">#REF!</definedName>
    <definedName name="OFFICE" localSheetId="2">#REF!</definedName>
    <definedName name="OFFICE" localSheetId="0">'[2]#REF!'!#REF!</definedName>
    <definedName name="OFFICE" localSheetId="6">#REF!</definedName>
    <definedName name="OFFICE" localSheetId="7">#REF!</definedName>
    <definedName name="OFFICE" localSheetId="5">#REF!</definedName>
    <definedName name="OFFICE">#REF!</definedName>
    <definedName name="OFFICE_1" localSheetId="4">'[2]#REF!'!#REF!</definedName>
    <definedName name="OFFICE_1" localSheetId="2">'[2]#REF!'!#REF!</definedName>
    <definedName name="OFFICE_1" localSheetId="0">#REF!</definedName>
    <definedName name="OFFICE_1" localSheetId="6">'[2]#REF!'!#REF!</definedName>
    <definedName name="OFFICE_1" localSheetId="7">'[2]#REF!'!#REF!</definedName>
    <definedName name="OFFICE_1" localSheetId="5">'[2]#REF!'!#REF!</definedName>
    <definedName name="OFFICE_1">'[2]#REF!'!#REF!</definedName>
    <definedName name="OFFICE_2" localSheetId="4">'[2]#REF!'!#REF!</definedName>
    <definedName name="OFFICE_2" localSheetId="2">'[2]#REF!'!#REF!</definedName>
    <definedName name="OFFICE_2" localSheetId="0">#REF!</definedName>
    <definedName name="OFFICE_2" localSheetId="6">'[2]#REF!'!#REF!</definedName>
    <definedName name="OFFICE_2" localSheetId="7">'[2]#REF!'!#REF!</definedName>
    <definedName name="OFFICE_2" localSheetId="5">'[2]#REF!'!#REF!</definedName>
    <definedName name="OFFICE_2">'[2]#REF!'!#REF!</definedName>
    <definedName name="Pa?????" localSheetId="4">'[1]???????'!#REF!</definedName>
    <definedName name="Pa?????" localSheetId="2">'[1]???????'!#REF!</definedName>
    <definedName name="Pa?????" localSheetId="0">[1]_______!#REF!</definedName>
    <definedName name="Pa?????" localSheetId="6">'[1]???????'!#REF!</definedName>
    <definedName name="Pa?????" localSheetId="7">'[1]???????'!#REF!</definedName>
    <definedName name="Pa?????" localSheetId="5">'[1]???????'!#REF!</definedName>
    <definedName name="Pa?????">'[1]???????'!#REF!</definedName>
    <definedName name="Pa?????_1" localSheetId="4">[1]_______!#REF!</definedName>
    <definedName name="Pa?????_1" localSheetId="2">[1]_______!#REF!</definedName>
    <definedName name="Pa?????_1" localSheetId="0">[1]_______!#REF!</definedName>
    <definedName name="Pa?????_1" localSheetId="6">[1]_______!#REF!</definedName>
    <definedName name="Pa?????_1" localSheetId="7">[1]_______!#REF!</definedName>
    <definedName name="Pa?????_1" localSheetId="5">[1]_______!#REF!</definedName>
    <definedName name="Pa?????_1">[1]_______!#REF!</definedName>
    <definedName name="Pa?????_10" localSheetId="4">[1]_______!#REF!</definedName>
    <definedName name="Pa?????_10" localSheetId="2">[1]_______!#REF!</definedName>
    <definedName name="Pa?????_10" localSheetId="0">[1]_______!#REF!</definedName>
    <definedName name="Pa?????_10" localSheetId="6">[1]_______!#REF!</definedName>
    <definedName name="Pa?????_10" localSheetId="7">[1]_______!#REF!</definedName>
    <definedName name="Pa?????_10" localSheetId="5">[1]_______!#REF!</definedName>
    <definedName name="Pa?????_10">[1]_______!#REF!</definedName>
    <definedName name="Pa?????_11" localSheetId="4">[1]_______!#REF!</definedName>
    <definedName name="Pa?????_11" localSheetId="2">[1]_______!#REF!</definedName>
    <definedName name="Pa?????_11" localSheetId="0">[1]_______!#REF!</definedName>
    <definedName name="Pa?????_11" localSheetId="6">[1]_______!#REF!</definedName>
    <definedName name="Pa?????_11" localSheetId="7">[1]_______!#REF!</definedName>
    <definedName name="Pa?????_11" localSheetId="5">[1]_______!#REF!</definedName>
    <definedName name="Pa?????_11">[1]_______!#REF!</definedName>
    <definedName name="Pa?????_12" localSheetId="4">[1]_______!#REF!</definedName>
    <definedName name="Pa?????_12" localSheetId="2">[1]_______!#REF!</definedName>
    <definedName name="Pa?????_12" localSheetId="0">[1]_______!#REF!</definedName>
    <definedName name="Pa?????_12" localSheetId="6">[1]_______!#REF!</definedName>
    <definedName name="Pa?????_12" localSheetId="7">[1]_______!#REF!</definedName>
    <definedName name="Pa?????_12" localSheetId="5">[1]_______!#REF!</definedName>
    <definedName name="Pa?????_12">[1]_______!#REF!</definedName>
    <definedName name="Pa?????_13" localSheetId="4">[1]_______!#REF!</definedName>
    <definedName name="Pa?????_13" localSheetId="2">[1]_______!#REF!</definedName>
    <definedName name="Pa?????_13" localSheetId="0">[1]_______!#REF!</definedName>
    <definedName name="Pa?????_13" localSheetId="6">[1]_______!#REF!</definedName>
    <definedName name="Pa?????_13" localSheetId="7">[1]_______!#REF!</definedName>
    <definedName name="Pa?????_13" localSheetId="5">[1]_______!#REF!</definedName>
    <definedName name="Pa?????_13">[1]_______!#REF!</definedName>
    <definedName name="Pa?????_14" localSheetId="4">[1]_______!#REF!</definedName>
    <definedName name="Pa?????_14" localSheetId="2">[1]_______!#REF!</definedName>
    <definedName name="Pa?????_14" localSheetId="0">[1]_______!#REF!</definedName>
    <definedName name="Pa?????_14" localSheetId="6">[1]_______!#REF!</definedName>
    <definedName name="Pa?????_14" localSheetId="7">[1]_______!#REF!</definedName>
    <definedName name="Pa?????_14" localSheetId="5">[1]_______!#REF!</definedName>
    <definedName name="Pa?????_14">[1]_______!#REF!</definedName>
    <definedName name="Pa?????_15" localSheetId="4">[1]_______!#REF!</definedName>
    <definedName name="Pa?????_15" localSheetId="2">[1]_______!#REF!</definedName>
    <definedName name="Pa?????_15" localSheetId="0">[1]_______!#REF!</definedName>
    <definedName name="Pa?????_15" localSheetId="6">[1]_______!#REF!</definedName>
    <definedName name="Pa?????_15" localSheetId="7">[1]_______!#REF!</definedName>
    <definedName name="Pa?????_15" localSheetId="5">[1]_______!#REF!</definedName>
    <definedName name="Pa?????_15">[1]_______!#REF!</definedName>
    <definedName name="Pa?????_16" localSheetId="4">[1]_______!#REF!</definedName>
    <definedName name="Pa?????_16" localSheetId="2">[1]_______!#REF!</definedName>
    <definedName name="Pa?????_16" localSheetId="0">[1]_______!#REF!</definedName>
    <definedName name="Pa?????_16" localSheetId="6">[1]_______!#REF!</definedName>
    <definedName name="Pa?????_16" localSheetId="7">[1]_______!#REF!</definedName>
    <definedName name="Pa?????_16" localSheetId="5">[1]_______!#REF!</definedName>
    <definedName name="Pa?????_16">[1]_______!#REF!</definedName>
    <definedName name="Pa?????_17" localSheetId="4">[1]_______!#REF!</definedName>
    <definedName name="Pa?????_17" localSheetId="2">[1]_______!#REF!</definedName>
    <definedName name="Pa?????_17" localSheetId="0">[1]_______!#REF!</definedName>
    <definedName name="Pa?????_17" localSheetId="6">[1]_______!#REF!</definedName>
    <definedName name="Pa?????_17" localSheetId="7">[1]_______!#REF!</definedName>
    <definedName name="Pa?????_17" localSheetId="5">[1]_______!#REF!</definedName>
    <definedName name="Pa?????_17">[1]_______!#REF!</definedName>
    <definedName name="Pa?????_2" localSheetId="4">[1]_______!#REF!</definedName>
    <definedName name="Pa?????_2" localSheetId="2">[1]_______!#REF!</definedName>
    <definedName name="Pa?????_2" localSheetId="0">[1]_______!#REF!</definedName>
    <definedName name="Pa?????_2" localSheetId="6">[1]_______!#REF!</definedName>
    <definedName name="Pa?????_2" localSheetId="7">[1]_______!#REF!</definedName>
    <definedName name="Pa?????_2" localSheetId="5">[1]_______!#REF!</definedName>
    <definedName name="Pa?????_2">[1]_______!#REF!</definedName>
    <definedName name="Pa?????_3" localSheetId="4">[1]_______!#REF!</definedName>
    <definedName name="Pa?????_3" localSheetId="2">[1]_______!#REF!</definedName>
    <definedName name="Pa?????_3" localSheetId="0">[1]_______!#REF!</definedName>
    <definedName name="Pa?????_3" localSheetId="6">[1]_______!#REF!</definedName>
    <definedName name="Pa?????_3" localSheetId="7">[1]_______!#REF!</definedName>
    <definedName name="Pa?????_3" localSheetId="5">[1]_______!#REF!</definedName>
    <definedName name="Pa?????_3">[1]_______!#REF!</definedName>
    <definedName name="Pa?????_4" localSheetId="4">[1]_______!#REF!</definedName>
    <definedName name="Pa?????_4" localSheetId="2">[1]_______!#REF!</definedName>
    <definedName name="Pa?????_4" localSheetId="0">[1]_______!#REF!</definedName>
    <definedName name="Pa?????_4" localSheetId="6">[1]_______!#REF!</definedName>
    <definedName name="Pa?????_4" localSheetId="7">[1]_______!#REF!</definedName>
    <definedName name="Pa?????_4" localSheetId="5">[1]_______!#REF!</definedName>
    <definedName name="Pa?????_4">[1]_______!#REF!</definedName>
    <definedName name="Pa?????_5" localSheetId="4">[1]_______!#REF!</definedName>
    <definedName name="Pa?????_5" localSheetId="2">[1]_______!#REF!</definedName>
    <definedName name="Pa?????_5" localSheetId="0">[1]_______!#REF!</definedName>
    <definedName name="Pa?????_5" localSheetId="6">[1]_______!#REF!</definedName>
    <definedName name="Pa?????_5" localSheetId="7">[1]_______!#REF!</definedName>
    <definedName name="Pa?????_5" localSheetId="5">[1]_______!#REF!</definedName>
    <definedName name="Pa?????_5">[1]_______!#REF!</definedName>
    <definedName name="Pa?????_6" localSheetId="4">[1]_______!#REF!</definedName>
    <definedName name="Pa?????_6" localSheetId="2">[1]_______!#REF!</definedName>
    <definedName name="Pa?????_6" localSheetId="0">[1]_______!#REF!</definedName>
    <definedName name="Pa?????_6" localSheetId="6">[1]_______!#REF!</definedName>
    <definedName name="Pa?????_6" localSheetId="7">[1]_______!#REF!</definedName>
    <definedName name="Pa?????_6" localSheetId="5">[1]_______!#REF!</definedName>
    <definedName name="Pa?????_6">[1]_______!#REF!</definedName>
    <definedName name="Pa?????_7" localSheetId="4">[1]_______!#REF!</definedName>
    <definedName name="Pa?????_7" localSheetId="2">[1]_______!#REF!</definedName>
    <definedName name="Pa?????_7" localSheetId="0">[1]_______!#REF!</definedName>
    <definedName name="Pa?????_7" localSheetId="6">[1]_______!#REF!</definedName>
    <definedName name="Pa?????_7" localSheetId="7">[1]_______!#REF!</definedName>
    <definedName name="Pa?????_7" localSheetId="5">[1]_______!#REF!</definedName>
    <definedName name="Pa?????_7">[1]_______!#REF!</definedName>
    <definedName name="Pa?????_8" localSheetId="4">[1]_______!#REF!</definedName>
    <definedName name="Pa?????_8" localSheetId="2">[1]_______!#REF!</definedName>
    <definedName name="Pa?????_8" localSheetId="0">[1]_______!#REF!</definedName>
    <definedName name="Pa?????_8" localSheetId="6">[1]_______!#REF!</definedName>
    <definedName name="Pa?????_8" localSheetId="7">[1]_______!#REF!</definedName>
    <definedName name="Pa?????_8" localSheetId="5">[1]_______!#REF!</definedName>
    <definedName name="Pa?????_8">[1]_______!#REF!</definedName>
    <definedName name="Pa?????_9" localSheetId="4">[1]_______!#REF!</definedName>
    <definedName name="Pa?????_9" localSheetId="2">[1]_______!#REF!</definedName>
    <definedName name="Pa?????_9" localSheetId="0">[1]_______!#REF!</definedName>
    <definedName name="Pa?????_9" localSheetId="6">[1]_______!#REF!</definedName>
    <definedName name="Pa?????_9" localSheetId="7">[1]_______!#REF!</definedName>
    <definedName name="Pa?????_9" localSheetId="5">[1]_______!#REF!</definedName>
    <definedName name="Pa?????_9">[1]_______!#REF!</definedName>
    <definedName name="Parts_Data_Area" localSheetId="4">#REF!</definedName>
    <definedName name="Parts_Data_Area" localSheetId="2">#REF!</definedName>
    <definedName name="Parts_Data_Area" localSheetId="0">'[2]#REF!'!$C$6:$H$156</definedName>
    <definedName name="Parts_Data_Area" localSheetId="7">#REF!</definedName>
    <definedName name="Parts_Data_Area" localSheetId="5">#REF!</definedName>
    <definedName name="Parts_Data_Area">#REF!</definedName>
    <definedName name="Parts_Qty_Area" localSheetId="4">#REF!</definedName>
    <definedName name="Parts_Qty_Area" localSheetId="2">#REF!</definedName>
    <definedName name="Parts_Qty_Area" localSheetId="0">'[2]#REF!'!$I$6:$L$156</definedName>
    <definedName name="Parts_Qty_Area" localSheetId="7">#REF!</definedName>
    <definedName name="Parts_Qty_Area" localSheetId="5">#REF!</definedName>
    <definedName name="Parts_Qty_Area">#REF!</definedName>
    <definedName name="Pa図回路部品" localSheetId="4">[11]回路部品ﾘｽﾄ!#REF!</definedName>
    <definedName name="Pa図回路部品" localSheetId="2">[11]回路部品ﾘｽﾄ!#REF!</definedName>
    <definedName name="Pa図回路部品" localSheetId="6">[11]回路部品ﾘｽﾄ!#REF!</definedName>
    <definedName name="Pa図回路部品" localSheetId="7">[11]回路部品ﾘｽﾄ!#REF!</definedName>
    <definedName name="Pa図回路部品" localSheetId="5">[11]回路部品ﾘｽﾄ!#REF!</definedName>
    <definedName name="Pa図回路部品">[11]回路部品ﾘｽﾄ!#REF!</definedName>
    <definedName name="Pa図回路部品_1" localSheetId="4">[11]回路部品ﾘｽﾄ!#REF!</definedName>
    <definedName name="Pa図回路部品_1" localSheetId="2">[11]回路部品ﾘｽﾄ!#REF!</definedName>
    <definedName name="Pa図回路部品_1" localSheetId="0">[11]回路部品ﾘｽﾄ!#REF!</definedName>
    <definedName name="Pa図回路部品_1" localSheetId="6">[11]回路部品ﾘｽﾄ!#REF!</definedName>
    <definedName name="Pa図回路部品_1" localSheetId="7">[11]回路部品ﾘｽﾄ!#REF!</definedName>
    <definedName name="Pa図回路部品_1" localSheetId="5">[11]回路部品ﾘｽﾄ!#REF!</definedName>
    <definedName name="Pa図回路部品_1">[11]回路部品ﾘｽﾄ!#REF!</definedName>
    <definedName name="Pa図回路部品_2" localSheetId="4">[11]回路部品ﾘｽﾄ!#REF!</definedName>
    <definedName name="Pa図回路部品_2" localSheetId="2">[11]回路部品ﾘｽﾄ!#REF!</definedName>
    <definedName name="Pa図回路部品_2" localSheetId="0">[11]回路部品ﾘｽﾄ!#REF!</definedName>
    <definedName name="Pa図回路部品_2" localSheetId="6">[11]回路部品ﾘｽﾄ!#REF!</definedName>
    <definedName name="Pa図回路部品_2" localSheetId="7">[11]回路部品ﾘｽﾄ!#REF!</definedName>
    <definedName name="Pa図回路部品_2" localSheetId="5">[11]回路部品ﾘｽﾄ!#REF!</definedName>
    <definedName name="Pa図回路部品_2">[11]回路部品ﾘｽﾄ!#REF!</definedName>
    <definedName name="Pa図回路部品_3" localSheetId="4">[11]回路部品ﾘｽﾄ!#REF!</definedName>
    <definedName name="Pa図回路部品_3" localSheetId="2">[11]回路部品ﾘｽﾄ!#REF!</definedName>
    <definedName name="Pa図回路部品_3" localSheetId="0">[11]回路部品ﾘｽﾄ!#REF!</definedName>
    <definedName name="Pa図回路部品_3" localSheetId="6">[11]回路部品ﾘｽﾄ!#REF!</definedName>
    <definedName name="Pa図回路部品_3" localSheetId="7">[11]回路部品ﾘｽﾄ!#REF!</definedName>
    <definedName name="Pa図回路部品_3" localSheetId="5">[11]回路部品ﾘｽﾄ!#REF!</definedName>
    <definedName name="Pa図回路部品_3">[11]回路部品ﾘｽﾄ!#REF!</definedName>
    <definedName name="Pa図機構部品" localSheetId="4">[11]機構部品ﾘｽﾄ!#REF!</definedName>
    <definedName name="Pa図機構部品" localSheetId="2">[11]機構部品ﾘｽﾄ!#REF!</definedName>
    <definedName name="Pa図機構部品" localSheetId="6">[11]機構部品ﾘｽﾄ!#REF!</definedName>
    <definedName name="Pa図機構部品" localSheetId="7">[11]機構部品ﾘｽﾄ!#REF!</definedName>
    <definedName name="Pa図機構部品" localSheetId="5">[11]機構部品ﾘｽﾄ!#REF!</definedName>
    <definedName name="Pa図機構部品">[11]機構部品ﾘｽﾄ!#REF!</definedName>
    <definedName name="Pa図機構部品_1" localSheetId="4">'[11]#REF!'!#REF!</definedName>
    <definedName name="Pa図機構部品_1" localSheetId="2">'[11]#REF!'!#REF!</definedName>
    <definedName name="Pa図機構部品_1" localSheetId="0">#REF!</definedName>
    <definedName name="Pa図機構部品_1" localSheetId="6">'[11]#REF!'!#REF!</definedName>
    <definedName name="Pa図機構部品_1" localSheetId="7">'[11]#REF!'!#REF!</definedName>
    <definedName name="Pa図機構部品_1" localSheetId="5">'[11]#REF!'!#REF!</definedName>
    <definedName name="Pa図機構部品_1">'[11]#REF!'!#REF!</definedName>
    <definedName name="Pa図機構部品_2" localSheetId="4">'[11]#REF!'!#REF!</definedName>
    <definedName name="Pa図機構部品_2" localSheetId="2">'[11]#REF!'!#REF!</definedName>
    <definedName name="Pa図機構部品_2" localSheetId="0">#REF!</definedName>
    <definedName name="Pa図機構部品_2" localSheetId="6">'[11]#REF!'!#REF!</definedName>
    <definedName name="Pa図機構部品_2" localSheetId="7">'[11]#REF!'!#REF!</definedName>
    <definedName name="Pa図機構部品_2" localSheetId="5">'[11]#REF!'!#REF!</definedName>
    <definedName name="Pa図機構部品_2">'[11]#REF!'!#REF!</definedName>
    <definedName name="Pa図機構部品_3" localSheetId="4">'[11]#REF!'!#REF!</definedName>
    <definedName name="Pa図機構部品_3" localSheetId="2">'[11]#REF!'!#REF!</definedName>
    <definedName name="Pa図機構部品_3" localSheetId="0">#REF!</definedName>
    <definedName name="Pa図機構部品_3" localSheetId="6">'[11]#REF!'!#REF!</definedName>
    <definedName name="Pa図機構部品_3" localSheetId="7">'[11]#REF!'!#REF!</definedName>
    <definedName name="Pa図機構部品_3" localSheetId="5">'[11]#REF!'!#REF!</definedName>
    <definedName name="Pa図機構部品_3">'[11]#REF!'!#REF!</definedName>
    <definedName name="PR" localSheetId="0">[52]PR!$B$2:$V$117</definedName>
    <definedName name="PR">[53]PR!$B$2:$V$117</definedName>
    <definedName name="PR_1" localSheetId="0">'[52]#REF!'!$B$2:$V$117</definedName>
    <definedName name="PR_1">'[53]#REF!'!$B$2:$V$117</definedName>
    <definedName name="_xlnm.Print_Area" localSheetId="4">CN!$A$2:$AG$52</definedName>
    <definedName name="_xlnm.Print_Area" localSheetId="2">'Company-wide'!$A$2:$AG$49</definedName>
    <definedName name="_xlnm.Print_Area" localSheetId="0" hidden="1">'[2]#REF!'!$A$57:$C$82</definedName>
    <definedName name="_xlnm.Print_Area" localSheetId="6">PPD!$A$2:$AE$48</definedName>
    <definedName name="_xlnm.Print_Area" localSheetId="7">Support!$A$2:$AG$34</definedName>
    <definedName name="_xlnm.Print_Area" localSheetId="3">TS!$A$2:$AC$38</definedName>
    <definedName name="_xlnm.Print_Area" localSheetId="5">YF!$A$2:$AG$48</definedName>
    <definedName name="_xlnm.Print_Area">#REF!</definedName>
    <definedName name="PRO" localSheetId="4">[12]DEFINITION1!#REF!</definedName>
    <definedName name="PRO" localSheetId="2">[12]DEFINITION1!#REF!</definedName>
    <definedName name="PRO" localSheetId="6">[12]DEFINITION1!#REF!</definedName>
    <definedName name="PRO" localSheetId="7">[12]DEFINITION1!#REF!</definedName>
    <definedName name="PRO" localSheetId="5">[12]DEFINITION1!#REF!</definedName>
    <definedName name="PRO">[12]DEFINITION1!#REF!</definedName>
    <definedName name="PRO_1" localSheetId="4">[12]DEFINITION1!#REF!</definedName>
    <definedName name="PRO_1" localSheetId="2">[12]DEFINITION1!#REF!</definedName>
    <definedName name="PRO_1" localSheetId="6">[12]DEFINITION1!#REF!</definedName>
    <definedName name="PRO_1" localSheetId="7">[12]DEFINITION1!#REF!</definedName>
    <definedName name="PRO_1" localSheetId="5">[12]DEFINITION1!#REF!</definedName>
    <definedName name="PRO_1">[12]DEFINITION1!#REF!</definedName>
    <definedName name="PRO_2" localSheetId="4">[12]DEFINITION1!#REF!</definedName>
    <definedName name="PRO_2" localSheetId="2">[12]DEFINITION1!#REF!</definedName>
    <definedName name="PRO_2" localSheetId="6">[12]DEFINITION1!#REF!</definedName>
    <definedName name="PRO_2" localSheetId="7">[12]DEFINITION1!#REF!</definedName>
    <definedName name="PRO_2" localSheetId="5">[12]DEFINITION1!#REF!</definedName>
    <definedName name="PRO_2">[12]DEFINITION1!#REF!</definedName>
    <definedName name="rcvd" localSheetId="4">'[6]Diff_Data _2_'!#REF!</definedName>
    <definedName name="rcvd" localSheetId="2">'[6]Diff_Data _2_'!#REF!</definedName>
    <definedName name="rcvd" localSheetId="6">'[6]Diff_Data _2_'!#REF!</definedName>
    <definedName name="rcvd" localSheetId="7">'[6]Diff_Data _2_'!#REF!</definedName>
    <definedName name="rcvd" localSheetId="5">'[6]Diff_Data _2_'!#REF!</definedName>
    <definedName name="rcvd">'[6]Diff_Data _2_'!#REF!</definedName>
    <definedName name="rcvd_1" localSheetId="4">'[6]Diff_Data _2_'!#REF!</definedName>
    <definedName name="rcvd_1" localSheetId="2">'[6]Diff_Data _2_'!#REF!</definedName>
    <definedName name="rcvd_1" localSheetId="6">'[6]Diff_Data _2_'!#REF!</definedName>
    <definedName name="rcvd_1" localSheetId="7">'[6]Diff_Data _2_'!#REF!</definedName>
    <definedName name="rcvd_1" localSheetId="5">'[6]Diff_Data _2_'!#REF!</definedName>
    <definedName name="rcvd_1">'[6]Diff_Data _2_'!#REF!</definedName>
    <definedName name="rcvd_2" localSheetId="4">'[6]Diff_Data _2_'!#REF!</definedName>
    <definedName name="rcvd_2" localSheetId="2">'[6]Diff_Data _2_'!#REF!</definedName>
    <definedName name="rcvd_2" localSheetId="6">'[6]Diff_Data _2_'!#REF!</definedName>
    <definedName name="rcvd_2" localSheetId="7">'[6]Diff_Data _2_'!#REF!</definedName>
    <definedName name="rcvd_2" localSheetId="5">'[6]Diff_Data _2_'!#REF!</definedName>
    <definedName name="rcvd_2">'[6]Diff_Data _2_'!#REF!</definedName>
    <definedName name="rcvd_3" localSheetId="4">'[6]Diff_Data _2_'!#REF!</definedName>
    <definedName name="rcvd_3" localSheetId="2">'[6]Diff_Data _2_'!#REF!</definedName>
    <definedName name="rcvd_3" localSheetId="6">'[6]Diff_Data _2_'!#REF!</definedName>
    <definedName name="rcvd_3" localSheetId="7">'[6]Diff_Data _2_'!#REF!</definedName>
    <definedName name="rcvd_3" localSheetId="5">'[6]Diff_Data _2_'!#REF!</definedName>
    <definedName name="rcvd_3">'[6]Diff_Data _2_'!#REF!</definedName>
    <definedName name="rcvd1" localSheetId="4">'[6]Diff_Data _2_'!#REF!</definedName>
    <definedName name="rcvd1" localSheetId="2">'[6]Diff_Data _2_'!#REF!</definedName>
    <definedName name="rcvd1" localSheetId="6">'[6]Diff_Data _2_'!#REF!</definedName>
    <definedName name="rcvd1" localSheetId="7">'[6]Diff_Data _2_'!#REF!</definedName>
    <definedName name="rcvd1" localSheetId="5">'[6]Diff_Data _2_'!#REF!</definedName>
    <definedName name="rcvd1">'[6]Diff_Data _2_'!#REF!</definedName>
    <definedName name="rcvd1_1" localSheetId="4">'[6]Diff_Data _2_'!#REF!</definedName>
    <definedName name="rcvd1_1" localSheetId="2">'[6]Diff_Data _2_'!#REF!</definedName>
    <definedName name="rcvd1_1" localSheetId="6">'[6]Diff_Data _2_'!#REF!</definedName>
    <definedName name="rcvd1_1" localSheetId="7">'[6]Diff_Data _2_'!#REF!</definedName>
    <definedName name="rcvd1_1" localSheetId="5">'[6]Diff_Data _2_'!#REF!</definedName>
    <definedName name="rcvd1_1">'[6]Diff_Data _2_'!#REF!</definedName>
    <definedName name="rcvd1_2" localSheetId="4">'[6]Diff_Data _2_'!#REF!</definedName>
    <definedName name="rcvd1_2" localSheetId="2">'[6]Diff_Data _2_'!#REF!</definedName>
    <definedName name="rcvd1_2" localSheetId="6">'[6]Diff_Data _2_'!#REF!</definedName>
    <definedName name="rcvd1_2" localSheetId="7">'[6]Diff_Data _2_'!#REF!</definedName>
    <definedName name="rcvd1_2" localSheetId="5">'[6]Diff_Data _2_'!#REF!</definedName>
    <definedName name="rcvd1_2">'[6]Diff_Data _2_'!#REF!</definedName>
    <definedName name="rcvd1_3" localSheetId="4">'[6]Diff_Data _2_'!#REF!</definedName>
    <definedName name="rcvd1_3" localSheetId="2">'[6]Diff_Data _2_'!#REF!</definedName>
    <definedName name="rcvd1_3" localSheetId="6">'[6]Diff_Data _2_'!#REF!</definedName>
    <definedName name="rcvd1_3" localSheetId="7">'[6]Diff_Data _2_'!#REF!</definedName>
    <definedName name="rcvd1_3" localSheetId="5">'[6]Diff_Data _2_'!#REF!</definedName>
    <definedName name="rcvd1_3">'[6]Diff_Data _2_'!#REF!</definedName>
    <definedName name="re" localSheetId="4">[12]DEFINITION1!#REF!</definedName>
    <definedName name="re" localSheetId="2">[12]DEFINITION1!#REF!</definedName>
    <definedName name="re" localSheetId="6">[12]DEFINITION1!#REF!</definedName>
    <definedName name="re" localSheetId="7">[12]DEFINITION1!#REF!</definedName>
    <definedName name="re" localSheetId="5">[12]DEFINITION1!#REF!</definedName>
    <definedName name="re">[12]DEFINITION1!#REF!</definedName>
    <definedName name="re_1" localSheetId="4">[12]DEFINITION1!#REF!</definedName>
    <definedName name="re_1" localSheetId="2">[12]DEFINITION1!#REF!</definedName>
    <definedName name="re_1" localSheetId="6">[12]DEFINITION1!#REF!</definedName>
    <definedName name="re_1" localSheetId="7">[12]DEFINITION1!#REF!</definedName>
    <definedName name="re_1" localSheetId="5">[12]DEFINITION1!#REF!</definedName>
    <definedName name="re_1">[12]DEFINITION1!#REF!</definedName>
    <definedName name="re_2" localSheetId="4">[12]DEFINITION1!#REF!</definedName>
    <definedName name="re_2" localSheetId="2">[12]DEFINITION1!#REF!</definedName>
    <definedName name="re_2" localSheetId="6">[12]DEFINITION1!#REF!</definedName>
    <definedName name="re_2" localSheetId="7">[12]DEFINITION1!#REF!</definedName>
    <definedName name="re_2" localSheetId="5">[12]DEFINITION1!#REF!</definedName>
    <definedName name="re_2">[12]DEFINITION1!#REF!</definedName>
    <definedName name="re_3" localSheetId="4">[12]DEFINITION1!#REF!</definedName>
    <definedName name="re_3" localSheetId="2">[12]DEFINITION1!#REF!</definedName>
    <definedName name="re_3" localSheetId="6">[12]DEFINITION1!#REF!</definedName>
    <definedName name="re_3" localSheetId="7">[12]DEFINITION1!#REF!</definedName>
    <definedName name="re_3" localSheetId="5">[12]DEFINITION1!#REF!</definedName>
    <definedName name="re_3">[12]DEFINITION1!#REF!</definedName>
    <definedName name="reciv" localSheetId="4">[8]DEFINITION1!#REF!</definedName>
    <definedName name="reciv" localSheetId="2">[8]DEFINITION1!#REF!</definedName>
    <definedName name="reciv" localSheetId="6">[8]DEFINITION1!#REF!</definedName>
    <definedName name="reciv" localSheetId="7">[8]DEFINITION1!#REF!</definedName>
    <definedName name="reciv" localSheetId="5">[8]DEFINITION1!#REF!</definedName>
    <definedName name="reciv">[8]DEFINITION1!#REF!</definedName>
    <definedName name="reciv_1" localSheetId="4">[8]DEFINITION1!#REF!</definedName>
    <definedName name="reciv_1" localSheetId="2">[8]DEFINITION1!#REF!</definedName>
    <definedName name="reciv_1" localSheetId="6">[8]DEFINITION1!#REF!</definedName>
    <definedName name="reciv_1" localSheetId="7">[8]DEFINITION1!#REF!</definedName>
    <definedName name="reciv_1" localSheetId="5">[8]DEFINITION1!#REF!</definedName>
    <definedName name="reciv_1">[8]DEFINITION1!#REF!</definedName>
    <definedName name="reciv_2" localSheetId="4">[8]DEFINITION1!#REF!</definedName>
    <definedName name="reciv_2" localSheetId="2">[8]DEFINITION1!#REF!</definedName>
    <definedName name="reciv_2" localSheetId="6">[8]DEFINITION1!#REF!</definedName>
    <definedName name="reciv_2" localSheetId="7">[8]DEFINITION1!#REF!</definedName>
    <definedName name="reciv_2" localSheetId="5">[8]DEFINITION1!#REF!</definedName>
    <definedName name="reciv_2">[8]DEFINITION1!#REF!</definedName>
    <definedName name="reciv_3" localSheetId="4">[8]DEFINITION1!#REF!</definedName>
    <definedName name="reciv_3" localSheetId="2">[8]DEFINITION1!#REF!</definedName>
    <definedName name="reciv_3" localSheetId="6">[8]DEFINITION1!#REF!</definedName>
    <definedName name="reciv_3" localSheetId="7">[8]DEFINITION1!#REF!</definedName>
    <definedName name="reciv_3" localSheetId="5">[8]DEFINITION1!#REF!</definedName>
    <definedName name="reciv_3">[8]DEFINITION1!#REF!</definedName>
    <definedName name="RECOM">[54]DEFINITION!$B$4</definedName>
    <definedName name="RECOMNAME">[54]DEFINITION!$C$4</definedName>
    <definedName name="recon">[17]DEFINITION!$B$4</definedName>
    <definedName name="RECUR">[54]DEFINITION!$B$5</definedName>
    <definedName name="ree" localSheetId="4">[12]DEFINITION1!#REF!</definedName>
    <definedName name="ree" localSheetId="2">[12]DEFINITION1!#REF!</definedName>
    <definedName name="ree" localSheetId="6">[12]DEFINITION1!#REF!</definedName>
    <definedName name="ree" localSheetId="7">[12]DEFINITION1!#REF!</definedName>
    <definedName name="ree" localSheetId="5">[12]DEFINITION1!#REF!</definedName>
    <definedName name="ree">[12]DEFINITION1!#REF!</definedName>
    <definedName name="ree_1" localSheetId="4">[12]DEFINITION1!#REF!</definedName>
    <definedName name="ree_1" localSheetId="2">[12]DEFINITION1!#REF!</definedName>
    <definedName name="ree_1" localSheetId="6">[12]DEFINITION1!#REF!</definedName>
    <definedName name="ree_1" localSheetId="7">[12]DEFINITION1!#REF!</definedName>
    <definedName name="ree_1" localSheetId="5">[12]DEFINITION1!#REF!</definedName>
    <definedName name="ree_1">[12]DEFINITION1!#REF!</definedName>
    <definedName name="ree_2" localSheetId="4">[12]DEFINITION1!#REF!</definedName>
    <definedName name="ree_2" localSheetId="2">[12]DEFINITION1!#REF!</definedName>
    <definedName name="ree_2" localSheetId="6">[12]DEFINITION1!#REF!</definedName>
    <definedName name="ree_2" localSheetId="7">[12]DEFINITION1!#REF!</definedName>
    <definedName name="ree_2" localSheetId="5">[12]DEFINITION1!#REF!</definedName>
    <definedName name="ree_2">[12]DEFINITION1!#REF!</definedName>
    <definedName name="ree_3" localSheetId="4">[12]DEFINITION1!#REF!</definedName>
    <definedName name="ree_3" localSheetId="2">[12]DEFINITION1!#REF!</definedName>
    <definedName name="ree_3" localSheetId="6">[12]DEFINITION1!#REF!</definedName>
    <definedName name="ree_3" localSheetId="7">[12]DEFINITION1!#REF!</definedName>
    <definedName name="ree_3" localSheetId="5">[12]DEFINITION1!#REF!</definedName>
    <definedName name="ree_3">[12]DEFINITION1!#REF!</definedName>
    <definedName name="REGRP" localSheetId="4">[12]DEFINITION1!#REF!</definedName>
    <definedName name="REGRP" localSheetId="2">[12]DEFINITION1!#REF!</definedName>
    <definedName name="REGRP" localSheetId="0">[5]DEFINITION1!#REF!</definedName>
    <definedName name="REGRP" localSheetId="6">[12]DEFINITION1!#REF!</definedName>
    <definedName name="REGRP" localSheetId="7">[12]DEFINITION1!#REF!</definedName>
    <definedName name="REGRP" localSheetId="5">[12]DEFINITION1!#REF!</definedName>
    <definedName name="REGRP">[12]DEFINITION1!#REF!</definedName>
    <definedName name="REGRP_1" localSheetId="4">[12]DEFINITION1!#REF!</definedName>
    <definedName name="REGRP_1" localSheetId="2">[12]DEFINITION1!#REF!</definedName>
    <definedName name="REGRP_1" localSheetId="6">[12]DEFINITION1!#REF!</definedName>
    <definedName name="REGRP_1" localSheetId="7">[12]DEFINITION1!#REF!</definedName>
    <definedName name="REGRP_1" localSheetId="5">[12]DEFINITION1!#REF!</definedName>
    <definedName name="REGRP_1">[12]DEFINITION1!#REF!</definedName>
    <definedName name="REGRP_2" localSheetId="4">[12]DEFINITION1!#REF!</definedName>
    <definedName name="REGRP_2" localSheetId="2">[12]DEFINITION1!#REF!</definedName>
    <definedName name="REGRP_2" localSheetId="6">[12]DEFINITION1!#REF!</definedName>
    <definedName name="REGRP_2" localSheetId="7">[12]DEFINITION1!#REF!</definedName>
    <definedName name="REGRP_2" localSheetId="5">[12]DEFINITION1!#REF!</definedName>
    <definedName name="REGRP_2">[12]DEFINITION1!#REF!</definedName>
    <definedName name="REGRP_3" localSheetId="4">[12]DEFINITION1!#REF!</definedName>
    <definedName name="REGRP_3" localSheetId="2">[12]DEFINITION1!#REF!</definedName>
    <definedName name="REGRP_3" localSheetId="6">[12]DEFINITION1!#REF!</definedName>
    <definedName name="REGRP_3" localSheetId="7">[12]DEFINITION1!#REF!</definedName>
    <definedName name="REGRP_3" localSheetId="5">[12]DEFINITION1!#REF!</definedName>
    <definedName name="REGRP_3">[12]DEFINITION1!#REF!</definedName>
    <definedName name="RELAN" localSheetId="4">[12]DEFINITION1!#REF!</definedName>
    <definedName name="RELAN" localSheetId="2">[12]DEFINITION1!#REF!</definedName>
    <definedName name="RELAN" localSheetId="0">[5]DEFINITION1!#REF!</definedName>
    <definedName name="RELAN" localSheetId="6">[12]DEFINITION1!#REF!</definedName>
    <definedName name="RELAN" localSheetId="7">[12]DEFINITION1!#REF!</definedName>
    <definedName name="RELAN" localSheetId="5">[12]DEFINITION1!#REF!</definedName>
    <definedName name="RELAN">[12]DEFINITION1!#REF!</definedName>
    <definedName name="RELAN_1" localSheetId="4">[12]DEFINITION1!#REF!</definedName>
    <definedName name="RELAN_1" localSheetId="2">[12]DEFINITION1!#REF!</definedName>
    <definedName name="RELAN_1" localSheetId="6">[12]DEFINITION1!#REF!</definedName>
    <definedName name="RELAN_1" localSheetId="7">[12]DEFINITION1!#REF!</definedName>
    <definedName name="RELAN_1" localSheetId="5">[12]DEFINITION1!#REF!</definedName>
    <definedName name="RELAN_1">[12]DEFINITION1!#REF!</definedName>
    <definedName name="RELAN_2" localSheetId="4">[12]DEFINITION1!#REF!</definedName>
    <definedName name="RELAN_2" localSheetId="2">[12]DEFINITION1!#REF!</definedName>
    <definedName name="RELAN_2" localSheetId="6">[12]DEFINITION1!#REF!</definedName>
    <definedName name="RELAN_2" localSheetId="7">[12]DEFINITION1!#REF!</definedName>
    <definedName name="RELAN_2" localSheetId="5">[12]DEFINITION1!#REF!</definedName>
    <definedName name="RELAN_2">[12]DEFINITION1!#REF!</definedName>
    <definedName name="RELAN_3" localSheetId="4">[12]DEFINITION1!#REF!</definedName>
    <definedName name="RELAN_3" localSheetId="2">[12]DEFINITION1!#REF!</definedName>
    <definedName name="RELAN_3" localSheetId="6">[12]DEFINITION1!#REF!</definedName>
    <definedName name="RELAN_3" localSheetId="7">[12]DEFINITION1!#REF!</definedName>
    <definedName name="RELAN_3" localSheetId="5">[12]DEFINITION1!#REF!</definedName>
    <definedName name="RELAN_3">[12]DEFINITION1!#REF!</definedName>
    <definedName name="RENESAS" localSheetId="4">#REF!</definedName>
    <definedName name="RENESAS" localSheetId="2">#REF!</definedName>
    <definedName name="RENESAS" localSheetId="0">'[2]#REF!'!#REF!</definedName>
    <definedName name="RENESAS" localSheetId="6">#REF!</definedName>
    <definedName name="RENESAS" localSheetId="7">#REF!</definedName>
    <definedName name="RENESAS" localSheetId="5">#REF!</definedName>
    <definedName name="RENESAS">#REF!</definedName>
    <definedName name="RENESAS_1" localSheetId="4">'[2]#REF!'!#REF!</definedName>
    <definedName name="RENESAS_1" localSheetId="2">'[2]#REF!'!#REF!</definedName>
    <definedName name="RENESAS_1" localSheetId="0">#REF!</definedName>
    <definedName name="RENESAS_1" localSheetId="6">'[2]#REF!'!#REF!</definedName>
    <definedName name="RENESAS_1" localSheetId="7">'[2]#REF!'!#REF!</definedName>
    <definedName name="RENESAS_1" localSheetId="5">'[2]#REF!'!#REF!</definedName>
    <definedName name="RENESAS_1">'[2]#REF!'!#REF!</definedName>
    <definedName name="RENESAS_2" localSheetId="4">'[2]#REF!'!#REF!</definedName>
    <definedName name="RENESAS_2" localSheetId="2">'[2]#REF!'!#REF!</definedName>
    <definedName name="RENESAS_2" localSheetId="0">#REF!</definedName>
    <definedName name="RENESAS_2" localSheetId="6">'[2]#REF!'!#REF!</definedName>
    <definedName name="RENESAS_2" localSheetId="7">'[2]#REF!'!#REF!</definedName>
    <definedName name="RENESAS_2" localSheetId="5">'[2]#REF!'!#REF!</definedName>
    <definedName name="RENESAS_2">'[2]#REF!'!#REF!</definedName>
    <definedName name="RENESAS_3" localSheetId="4">'[2]#REF!'!#REF!</definedName>
    <definedName name="RENESAS_3" localSheetId="2">'[2]#REF!'!#REF!</definedName>
    <definedName name="RENESAS_3" localSheetId="0">#REF!</definedName>
    <definedName name="RENESAS_3" localSheetId="6">'[2]#REF!'!#REF!</definedName>
    <definedName name="RENESAS_3" localSheetId="7">'[2]#REF!'!#REF!</definedName>
    <definedName name="RENESAS_3" localSheetId="5">'[2]#REF!'!#REF!</definedName>
    <definedName name="RENESAS_3">'[2]#REF!'!#REF!</definedName>
    <definedName name="REPERNAME">[54]DEFINITION!$C$2</definedName>
    <definedName name="REPFILE" localSheetId="4">[12]DEFINITION1!#REF!</definedName>
    <definedName name="REPFILE" localSheetId="2">[12]DEFINITION1!#REF!</definedName>
    <definedName name="REPFILE" localSheetId="0">[5]DEFINITION1!#REF!</definedName>
    <definedName name="REPFILE" localSheetId="6">[12]DEFINITION1!#REF!</definedName>
    <definedName name="REPFILE" localSheetId="7">[12]DEFINITION1!#REF!</definedName>
    <definedName name="REPFILE" localSheetId="5">[12]DEFINITION1!#REF!</definedName>
    <definedName name="REPFILE">[12]DEFINITION1!#REF!</definedName>
    <definedName name="REPFILE_1" localSheetId="4">[12]DEFINITION1!#REF!</definedName>
    <definedName name="REPFILE_1" localSheetId="2">[12]DEFINITION1!#REF!</definedName>
    <definedName name="REPFILE_1" localSheetId="6">[12]DEFINITION1!#REF!</definedName>
    <definedName name="REPFILE_1" localSheetId="7">[12]DEFINITION1!#REF!</definedName>
    <definedName name="REPFILE_1" localSheetId="5">[12]DEFINITION1!#REF!</definedName>
    <definedName name="REPFILE_1">[12]DEFINITION1!#REF!</definedName>
    <definedName name="REPFILE_2" localSheetId="4">[12]DEFINITION1!#REF!</definedName>
    <definedName name="REPFILE_2" localSheetId="2">[12]DEFINITION1!#REF!</definedName>
    <definedName name="REPFILE_2" localSheetId="6">[12]DEFINITION1!#REF!</definedName>
    <definedName name="REPFILE_2" localSheetId="7">[12]DEFINITION1!#REF!</definedName>
    <definedName name="REPFILE_2" localSheetId="5">[12]DEFINITION1!#REF!</definedName>
    <definedName name="REPFILE_2">[12]DEFINITION1!#REF!</definedName>
    <definedName name="REPFILE_3" localSheetId="4">[12]DEFINITION1!#REF!</definedName>
    <definedName name="REPFILE_3" localSheetId="2">[12]DEFINITION1!#REF!</definedName>
    <definedName name="REPFILE_3" localSheetId="6">[12]DEFINITION1!#REF!</definedName>
    <definedName name="REPFILE_3" localSheetId="7">[12]DEFINITION1!#REF!</definedName>
    <definedName name="REPFILE_3" localSheetId="5">[12]DEFINITION1!#REF!</definedName>
    <definedName name="REPFILE_3">[12]DEFINITION1!#REF!</definedName>
    <definedName name="Report_Page">'[32]Key 7'!$A$1:$E$1</definedName>
    <definedName name="Report_Page_1" localSheetId="4">'[33]Key 7'!$A$1:$E$1</definedName>
    <definedName name="Report_Page_1" localSheetId="0">'[34]Key 7'!$A$1:$E$1</definedName>
    <definedName name="Report_Page_1">'[33]Key 7'!$A$1:$E$1</definedName>
    <definedName name="Report_Page_2" localSheetId="4">'[33]Key 7'!$A$1:$E$1</definedName>
    <definedName name="Report_Page_2" localSheetId="0">'[34]Key 7'!$A$1:$E$1</definedName>
    <definedName name="Report_Page_2">'[33]Key 7'!$A$1:$E$1</definedName>
    <definedName name="REPSHEET" localSheetId="4">[12]DEFINITION1!#REF!</definedName>
    <definedName name="REPSHEET" localSheetId="2">[12]DEFINITION1!#REF!</definedName>
    <definedName name="REPSHEET" localSheetId="0">[5]DEFINITION1!#REF!</definedName>
    <definedName name="REPSHEET" localSheetId="6">[12]DEFINITION1!#REF!</definedName>
    <definedName name="REPSHEET" localSheetId="7">[12]DEFINITION1!#REF!</definedName>
    <definedName name="REPSHEET" localSheetId="5">[12]DEFINITION1!#REF!</definedName>
    <definedName name="REPSHEET">[12]DEFINITION1!#REF!</definedName>
    <definedName name="REPSHEET_1" localSheetId="4">[12]DEFINITION1!#REF!</definedName>
    <definedName name="REPSHEET_1" localSheetId="2">[12]DEFINITION1!#REF!</definedName>
    <definedName name="REPSHEET_1" localSheetId="6">[12]DEFINITION1!#REF!</definedName>
    <definedName name="REPSHEET_1" localSheetId="7">[12]DEFINITION1!#REF!</definedName>
    <definedName name="REPSHEET_1" localSheetId="5">[12]DEFINITION1!#REF!</definedName>
    <definedName name="REPSHEET_1">[12]DEFINITION1!#REF!</definedName>
    <definedName name="REPSHEET_2" localSheetId="4">[12]DEFINITION1!#REF!</definedName>
    <definedName name="REPSHEET_2" localSheetId="2">[12]DEFINITION1!#REF!</definedName>
    <definedName name="REPSHEET_2" localSheetId="6">[12]DEFINITION1!#REF!</definedName>
    <definedName name="REPSHEET_2" localSheetId="7">[12]DEFINITION1!#REF!</definedName>
    <definedName name="REPSHEET_2" localSheetId="5">[12]DEFINITION1!#REF!</definedName>
    <definedName name="REPSHEET_2">[12]DEFINITION1!#REF!</definedName>
    <definedName name="REPSHEET_3" localSheetId="4">[12]DEFINITION1!#REF!</definedName>
    <definedName name="REPSHEET_3" localSheetId="2">[12]DEFINITION1!#REF!</definedName>
    <definedName name="REPSHEET_3" localSheetId="6">[12]DEFINITION1!#REF!</definedName>
    <definedName name="REPSHEET_3" localSheetId="7">[12]DEFINITION1!#REF!</definedName>
    <definedName name="REPSHEET_3" localSheetId="5">[12]DEFINITION1!#REF!</definedName>
    <definedName name="REPSHEET_3">[12]DEFINITION1!#REF!</definedName>
    <definedName name="RESHEET" localSheetId="4">[12]DEFINITION1!#REF!</definedName>
    <definedName name="RESHEET" localSheetId="2">[12]DEFINITION1!#REF!</definedName>
    <definedName name="RESHEET" localSheetId="0">[5]DEFINITION1!#REF!</definedName>
    <definedName name="RESHEET" localSheetId="6">[12]DEFINITION1!#REF!</definedName>
    <definedName name="RESHEET" localSheetId="7">[12]DEFINITION1!#REF!</definedName>
    <definedName name="RESHEET" localSheetId="5">[12]DEFINITION1!#REF!</definedName>
    <definedName name="RESHEET">[12]DEFINITION1!#REF!</definedName>
    <definedName name="RESHEET_1" localSheetId="4">[12]DEFINITION1!#REF!</definedName>
    <definedName name="RESHEET_1" localSheetId="2">[12]DEFINITION1!#REF!</definedName>
    <definedName name="RESHEET_1" localSheetId="0">[12]DEFINITION1!#REF!</definedName>
    <definedName name="RESHEET_1" localSheetId="6">[12]DEFINITION1!#REF!</definedName>
    <definedName name="RESHEET_1" localSheetId="7">[12]DEFINITION1!#REF!</definedName>
    <definedName name="RESHEET_1" localSheetId="5">[12]DEFINITION1!#REF!</definedName>
    <definedName name="RESHEET_1">[12]DEFINITION1!#REF!</definedName>
    <definedName name="RESHEET_2" localSheetId="4">[12]DEFINITION1!#REF!</definedName>
    <definedName name="RESHEET_2" localSheetId="2">[12]DEFINITION1!#REF!</definedName>
    <definedName name="RESHEET_2" localSheetId="0">[12]DEFINITION1!#REF!</definedName>
    <definedName name="RESHEET_2" localSheetId="6">[12]DEFINITION1!#REF!</definedName>
    <definedName name="RESHEET_2" localSheetId="7">[12]DEFINITION1!#REF!</definedName>
    <definedName name="RESHEET_2" localSheetId="5">[12]DEFINITION1!#REF!</definedName>
    <definedName name="RESHEET_2">[12]DEFINITION1!#REF!</definedName>
    <definedName name="RESHEET_3" localSheetId="4">[12]DEFINITION1!#REF!</definedName>
    <definedName name="RESHEET_3" localSheetId="2">[12]DEFINITION1!#REF!</definedName>
    <definedName name="RESHEET_3" localSheetId="0">[12]DEFINITION1!#REF!</definedName>
    <definedName name="RESHEET_3" localSheetId="6">[12]DEFINITION1!#REF!</definedName>
    <definedName name="RESHEET_3" localSheetId="7">[12]DEFINITION1!#REF!</definedName>
    <definedName name="RESHEET_3" localSheetId="5">[12]DEFINITION1!#REF!</definedName>
    <definedName name="RESHEET_3">[12]DEFINITION1!#REF!</definedName>
    <definedName name="REVER" localSheetId="4">[12]DEFINITION1!#REF!</definedName>
    <definedName name="REVER" localSheetId="2">[12]DEFINITION1!#REF!</definedName>
    <definedName name="REVER" localSheetId="0">[5]DEFINITION1!#REF!</definedName>
    <definedName name="REVER" localSheetId="6">[12]DEFINITION1!#REF!</definedName>
    <definedName name="REVER" localSheetId="7">[12]DEFINITION1!#REF!</definedName>
    <definedName name="REVER" localSheetId="5">[12]DEFINITION1!#REF!</definedName>
    <definedName name="REVER">[12]DEFINITION1!#REF!</definedName>
    <definedName name="REVER_1" localSheetId="4">[12]DEFINITION1!#REF!</definedName>
    <definedName name="REVER_1" localSheetId="2">[12]DEFINITION1!#REF!</definedName>
    <definedName name="REVER_1" localSheetId="6">[12]DEFINITION1!#REF!</definedName>
    <definedName name="REVER_1" localSheetId="7">[12]DEFINITION1!#REF!</definedName>
    <definedName name="REVER_1" localSheetId="5">[12]DEFINITION1!#REF!</definedName>
    <definedName name="REVER_1">[12]DEFINITION1!#REF!</definedName>
    <definedName name="REVER_2" localSheetId="4">[12]DEFINITION1!#REF!</definedName>
    <definedName name="REVER_2" localSheetId="2">[12]DEFINITION1!#REF!</definedName>
    <definedName name="REVER_2" localSheetId="6">[12]DEFINITION1!#REF!</definedName>
    <definedName name="REVER_2" localSheetId="7">[12]DEFINITION1!#REF!</definedName>
    <definedName name="REVER_2" localSheetId="5">[12]DEFINITION1!#REF!</definedName>
    <definedName name="REVER_2">[12]DEFINITION1!#REF!</definedName>
    <definedName name="REVER_3" localSheetId="4">[12]DEFINITION1!#REF!</definedName>
    <definedName name="REVER_3" localSheetId="2">[12]DEFINITION1!#REF!</definedName>
    <definedName name="REVER_3" localSheetId="6">[12]DEFINITION1!#REF!</definedName>
    <definedName name="REVER_3" localSheetId="7">[12]DEFINITION1!#REF!</definedName>
    <definedName name="REVER_3" localSheetId="5">[12]DEFINITION1!#REF!</definedName>
    <definedName name="REVER_3">[12]DEFINITION1!#REF!</definedName>
    <definedName name="rita" localSheetId="4">'[1]???????'!#REF!</definedName>
    <definedName name="rita" localSheetId="2">'[1]???????'!#REF!</definedName>
    <definedName name="rita" localSheetId="6">'[1]???????'!#REF!</definedName>
    <definedName name="rita" localSheetId="7">'[1]???????'!#REF!</definedName>
    <definedName name="rita" localSheetId="5">'[1]???????'!#REF!</definedName>
    <definedName name="rita">'[1]???????'!#REF!</definedName>
    <definedName name="ritam" localSheetId="4">'[3]Diff_Data _2_'!#REF!</definedName>
    <definedName name="ritam" localSheetId="2">'[3]Diff_Data _2_'!#REF!</definedName>
    <definedName name="ritam" localSheetId="6">'[3]Diff_Data _2_'!#REF!</definedName>
    <definedName name="ritam" localSheetId="7">'[3]Diff_Data _2_'!#REF!</definedName>
    <definedName name="ritam" localSheetId="5">'[3]Diff_Data _2_'!#REF!</definedName>
    <definedName name="ritam">'[3]Diff_Data _2_'!#REF!</definedName>
    <definedName name="ritamr" localSheetId="4">#REF!</definedName>
    <definedName name="ritamr" localSheetId="2">#REF!</definedName>
    <definedName name="ritamr" localSheetId="6">#REF!</definedName>
    <definedName name="ritamr" localSheetId="7">#REF!</definedName>
    <definedName name="ritamr" localSheetId="5">#REF!</definedName>
    <definedName name="ritamr">#REF!</definedName>
    <definedName name="rrr" localSheetId="4">#REF!</definedName>
    <definedName name="rrr" localSheetId="2">#REF!</definedName>
    <definedName name="rrr" localSheetId="0">'[2]#REF!'!#REF!</definedName>
    <definedName name="rrr" localSheetId="6">#REF!</definedName>
    <definedName name="rrr" localSheetId="7">#REF!</definedName>
    <definedName name="rrr" localSheetId="5">#REF!</definedName>
    <definedName name="rrr">#REF!</definedName>
    <definedName name="rrr_1" localSheetId="4">'[2]#REF!'!#REF!</definedName>
    <definedName name="rrr_1" localSheetId="2">'[2]#REF!'!#REF!</definedName>
    <definedName name="rrr_1" localSheetId="0">#REF!</definedName>
    <definedName name="rrr_1" localSheetId="6">'[2]#REF!'!#REF!</definedName>
    <definedName name="rrr_1" localSheetId="7">'[2]#REF!'!#REF!</definedName>
    <definedName name="rrr_1" localSheetId="5">'[2]#REF!'!#REF!</definedName>
    <definedName name="rrr_1">'[2]#REF!'!#REF!</definedName>
    <definedName name="rrr_2" localSheetId="4">'[2]#REF!'!#REF!</definedName>
    <definedName name="rrr_2" localSheetId="2">'[2]#REF!'!#REF!</definedName>
    <definedName name="rrr_2" localSheetId="0">#REF!</definedName>
    <definedName name="rrr_2" localSheetId="6">'[2]#REF!'!#REF!</definedName>
    <definedName name="rrr_2" localSheetId="7">'[2]#REF!'!#REF!</definedName>
    <definedName name="rrr_2" localSheetId="5">'[2]#REF!'!#REF!</definedName>
    <definedName name="rrr_2">'[2]#REF!'!#REF!</definedName>
    <definedName name="sadxx" localSheetId="4">#REF!</definedName>
    <definedName name="sadxx" localSheetId="2">#REF!</definedName>
    <definedName name="sadxx" localSheetId="0">'[2]#REF!'!#REF!</definedName>
    <definedName name="sadxx" localSheetId="6">#REF!</definedName>
    <definedName name="sadxx" localSheetId="7">#REF!</definedName>
    <definedName name="sadxx" localSheetId="5">#REF!</definedName>
    <definedName name="sadxx">#REF!</definedName>
    <definedName name="sadxx_1" localSheetId="4">'[2]#REF!'!#REF!</definedName>
    <definedName name="sadxx_1" localSheetId="2">'[2]#REF!'!#REF!</definedName>
    <definedName name="sadxx_1" localSheetId="0">#REF!</definedName>
    <definedName name="sadxx_1" localSheetId="6">'[2]#REF!'!#REF!</definedName>
    <definedName name="sadxx_1" localSheetId="7">'[2]#REF!'!#REF!</definedName>
    <definedName name="sadxx_1" localSheetId="5">'[2]#REF!'!#REF!</definedName>
    <definedName name="sadxx_1">'[2]#REF!'!#REF!</definedName>
    <definedName name="sadxx_2" localSheetId="4">'[2]#REF!'!#REF!</definedName>
    <definedName name="sadxx_2" localSheetId="2">'[2]#REF!'!#REF!</definedName>
    <definedName name="sadxx_2" localSheetId="0">#REF!</definedName>
    <definedName name="sadxx_2" localSheetId="6">'[2]#REF!'!#REF!</definedName>
    <definedName name="sadxx_2" localSheetId="7">'[2]#REF!'!#REF!</definedName>
    <definedName name="sadxx_2" localSheetId="5">'[2]#REF!'!#REF!</definedName>
    <definedName name="sadxx_2">'[2]#REF!'!#REF!</definedName>
    <definedName name="sadxx_3" localSheetId="4">'[2]#REF!'!#REF!</definedName>
    <definedName name="sadxx_3" localSheetId="2">'[2]#REF!'!#REF!</definedName>
    <definedName name="sadxx_3" localSheetId="0">#REF!</definedName>
    <definedName name="sadxx_3" localSheetId="6">'[2]#REF!'!#REF!</definedName>
    <definedName name="sadxx_3" localSheetId="7">'[2]#REF!'!#REF!</definedName>
    <definedName name="sadxx_3" localSheetId="5">'[2]#REF!'!#REF!</definedName>
    <definedName name="sadxx_3">'[2]#REF!'!#REF!</definedName>
    <definedName name="SAMSUNG" localSheetId="4">#REF!</definedName>
    <definedName name="SAMSUNG" localSheetId="2">#REF!</definedName>
    <definedName name="SAMSUNG" localSheetId="0">'[2]#REF!'!#REF!</definedName>
    <definedName name="SAMSUNG" localSheetId="6">#REF!</definedName>
    <definedName name="SAMSUNG" localSheetId="7">#REF!</definedName>
    <definedName name="SAMSUNG" localSheetId="5">#REF!</definedName>
    <definedName name="SAMSUNG">#REF!</definedName>
    <definedName name="SAMSUNG_1" localSheetId="4">'[2]#REF!'!#REF!</definedName>
    <definedName name="SAMSUNG_1" localSheetId="2">'[2]#REF!'!#REF!</definedName>
    <definedName name="SAMSUNG_1" localSheetId="0">#REF!</definedName>
    <definedName name="SAMSUNG_1" localSheetId="6">'[2]#REF!'!#REF!</definedName>
    <definedName name="SAMSUNG_1" localSheetId="7">'[2]#REF!'!#REF!</definedName>
    <definedName name="SAMSUNG_1" localSheetId="5">'[2]#REF!'!#REF!</definedName>
    <definedName name="SAMSUNG_1">'[2]#REF!'!#REF!</definedName>
    <definedName name="SAMSUNG_2" localSheetId="4">'[2]#REF!'!#REF!</definedName>
    <definedName name="SAMSUNG_2" localSheetId="2">'[2]#REF!'!#REF!</definedName>
    <definedName name="SAMSUNG_2" localSheetId="0">#REF!</definedName>
    <definedName name="SAMSUNG_2" localSheetId="6">'[2]#REF!'!#REF!</definedName>
    <definedName name="SAMSUNG_2" localSheetId="7">'[2]#REF!'!#REF!</definedName>
    <definedName name="SAMSUNG_2" localSheetId="5">'[2]#REF!'!#REF!</definedName>
    <definedName name="SAMSUNG_2">'[2]#REF!'!#REF!</definedName>
    <definedName name="SAMSUNG_3" localSheetId="4">'[2]#REF!'!#REF!</definedName>
    <definedName name="SAMSUNG_3" localSheetId="2">'[2]#REF!'!#REF!</definedName>
    <definedName name="SAMSUNG_3" localSheetId="0">#REF!</definedName>
    <definedName name="SAMSUNG_3" localSheetId="6">'[2]#REF!'!#REF!</definedName>
    <definedName name="SAMSUNG_3" localSheetId="7">'[2]#REF!'!#REF!</definedName>
    <definedName name="SAMSUNG_3" localSheetId="5">'[2]#REF!'!#REF!</definedName>
    <definedName name="SAMSUNG_3">'[2]#REF!'!#REF!</definedName>
    <definedName name="sc" localSheetId="4">#REF!</definedName>
    <definedName name="sc" localSheetId="2">#REF!</definedName>
    <definedName name="sc" localSheetId="0">'[2]#REF!'!#REF!</definedName>
    <definedName name="sc" localSheetId="6">#REF!</definedName>
    <definedName name="sc" localSheetId="7">#REF!</definedName>
    <definedName name="sc" localSheetId="5">#REF!</definedName>
    <definedName name="sc">#REF!</definedName>
    <definedName name="sc_1" localSheetId="4">'[2]#REF!'!#REF!</definedName>
    <definedName name="sc_1" localSheetId="2">'[2]#REF!'!#REF!</definedName>
    <definedName name="sc_1" localSheetId="0">#REF!</definedName>
    <definedName name="sc_1" localSheetId="6">'[2]#REF!'!#REF!</definedName>
    <definedName name="sc_1" localSheetId="7">'[2]#REF!'!#REF!</definedName>
    <definedName name="sc_1" localSheetId="5">'[2]#REF!'!#REF!</definedName>
    <definedName name="sc_1">'[2]#REF!'!#REF!</definedName>
    <definedName name="sc_2" localSheetId="4">'[2]#REF!'!#REF!</definedName>
    <definedName name="sc_2" localSheetId="2">'[2]#REF!'!#REF!</definedName>
    <definedName name="sc_2" localSheetId="0">#REF!</definedName>
    <definedName name="sc_2" localSheetId="6">'[2]#REF!'!#REF!</definedName>
    <definedName name="sc_2" localSheetId="7">'[2]#REF!'!#REF!</definedName>
    <definedName name="sc_2" localSheetId="5">'[2]#REF!'!#REF!</definedName>
    <definedName name="sc_2">'[2]#REF!'!#REF!</definedName>
    <definedName name="sc_3" localSheetId="4">'[2]#REF!'!#REF!</definedName>
    <definedName name="sc_3" localSheetId="2">'[2]#REF!'!#REF!</definedName>
    <definedName name="sc_3" localSheetId="0">#REF!</definedName>
    <definedName name="sc_3" localSheetId="6">'[2]#REF!'!#REF!</definedName>
    <definedName name="sc_3" localSheetId="7">'[2]#REF!'!#REF!</definedName>
    <definedName name="sc_3" localSheetId="5">'[2]#REF!'!#REF!</definedName>
    <definedName name="sc_3">'[2]#REF!'!#REF!</definedName>
    <definedName name="sdsxc" localSheetId="4">#REF!</definedName>
    <definedName name="sdsxc" localSheetId="2">#REF!</definedName>
    <definedName name="sdsxc" localSheetId="0">'[2]#REF!'!#REF!</definedName>
    <definedName name="sdsxc" localSheetId="6">#REF!</definedName>
    <definedName name="sdsxc" localSheetId="7">#REF!</definedName>
    <definedName name="sdsxc" localSheetId="5">#REF!</definedName>
    <definedName name="sdsxc">#REF!</definedName>
    <definedName name="sdsxc_1" localSheetId="4">'[2]#REF!'!#REF!</definedName>
    <definedName name="sdsxc_1" localSheetId="2">'[2]#REF!'!#REF!</definedName>
    <definedName name="sdsxc_1" localSheetId="0">#REF!</definedName>
    <definedName name="sdsxc_1" localSheetId="6">'[2]#REF!'!#REF!</definedName>
    <definedName name="sdsxc_1" localSheetId="7">'[2]#REF!'!#REF!</definedName>
    <definedName name="sdsxc_1" localSheetId="5">'[2]#REF!'!#REF!</definedName>
    <definedName name="sdsxc_1">'[2]#REF!'!#REF!</definedName>
    <definedName name="sdsxc_2" localSheetId="4">'[2]#REF!'!#REF!</definedName>
    <definedName name="sdsxc_2" localSheetId="2">'[2]#REF!'!#REF!</definedName>
    <definedName name="sdsxc_2" localSheetId="0">#REF!</definedName>
    <definedName name="sdsxc_2" localSheetId="6">'[2]#REF!'!#REF!</definedName>
    <definedName name="sdsxc_2" localSheetId="7">'[2]#REF!'!#REF!</definedName>
    <definedName name="sdsxc_2" localSheetId="5">'[2]#REF!'!#REF!</definedName>
    <definedName name="sdsxc_2">'[2]#REF!'!#REF!</definedName>
    <definedName name="sdsxc_3" localSheetId="4">'[2]#REF!'!#REF!</definedName>
    <definedName name="sdsxc_3" localSheetId="2">'[2]#REF!'!#REF!</definedName>
    <definedName name="sdsxc_3" localSheetId="0">#REF!</definedName>
    <definedName name="sdsxc_3" localSheetId="6">'[2]#REF!'!#REF!</definedName>
    <definedName name="sdsxc_3" localSheetId="7">'[2]#REF!'!#REF!</definedName>
    <definedName name="sdsxc_3" localSheetId="5">'[2]#REF!'!#REF!</definedName>
    <definedName name="sdsxc_3">'[2]#REF!'!#REF!</definedName>
    <definedName name="sqq" localSheetId="4">#REF!</definedName>
    <definedName name="sqq" localSheetId="2">#REF!</definedName>
    <definedName name="sqq" localSheetId="0">'[2]#REF!'!#REF!</definedName>
    <definedName name="sqq" localSheetId="6">#REF!</definedName>
    <definedName name="sqq" localSheetId="7">#REF!</definedName>
    <definedName name="sqq" localSheetId="5">#REF!</definedName>
    <definedName name="sqq">#REF!</definedName>
    <definedName name="sqq_1" localSheetId="4">'[2]#REF!'!#REF!</definedName>
    <definedName name="sqq_1" localSheetId="2">'[2]#REF!'!#REF!</definedName>
    <definedName name="sqq_1" localSheetId="0">#REF!</definedName>
    <definedName name="sqq_1" localSheetId="6">'[2]#REF!'!#REF!</definedName>
    <definedName name="sqq_1" localSheetId="7">'[2]#REF!'!#REF!</definedName>
    <definedName name="sqq_1" localSheetId="5">'[2]#REF!'!#REF!</definedName>
    <definedName name="sqq_1">'[2]#REF!'!#REF!</definedName>
    <definedName name="sqq_2" localSheetId="4">'[2]#REF!'!#REF!</definedName>
    <definedName name="sqq_2" localSheetId="2">'[2]#REF!'!#REF!</definedName>
    <definedName name="sqq_2" localSheetId="0">#REF!</definedName>
    <definedName name="sqq_2" localSheetId="6">'[2]#REF!'!#REF!</definedName>
    <definedName name="sqq_2" localSheetId="7">'[2]#REF!'!#REF!</definedName>
    <definedName name="sqq_2" localSheetId="5">'[2]#REF!'!#REF!</definedName>
    <definedName name="sqq_2">'[2]#REF!'!#REF!</definedName>
    <definedName name="sqq_3" localSheetId="4">'[2]#REF!'!#REF!</definedName>
    <definedName name="sqq_3" localSheetId="2">'[2]#REF!'!#REF!</definedName>
    <definedName name="sqq_3" localSheetId="0">#REF!</definedName>
    <definedName name="sqq_3" localSheetId="6">'[2]#REF!'!#REF!</definedName>
    <definedName name="sqq_3" localSheetId="7">'[2]#REF!'!#REF!</definedName>
    <definedName name="sqq_3" localSheetId="5">'[2]#REF!'!#REF!</definedName>
    <definedName name="sqq_3">'[2]#REF!'!#REF!</definedName>
    <definedName name="SSS" localSheetId="4">#REF!</definedName>
    <definedName name="SSS" localSheetId="2">#REF!</definedName>
    <definedName name="SSS" localSheetId="0">'[2]#REF!'!#REF!</definedName>
    <definedName name="SSS" localSheetId="6">#REF!</definedName>
    <definedName name="SSS" localSheetId="7">#REF!</definedName>
    <definedName name="SSS" localSheetId="5">#REF!</definedName>
    <definedName name="SSS">#REF!</definedName>
    <definedName name="SSS_1" localSheetId="4">'[2]#REF!'!#REF!</definedName>
    <definedName name="SSS_1" localSheetId="2">'[2]#REF!'!#REF!</definedName>
    <definedName name="SSS_1" localSheetId="0">#REF!</definedName>
    <definedName name="SSS_1" localSheetId="6">'[2]#REF!'!#REF!</definedName>
    <definedName name="SSS_1" localSheetId="7">'[2]#REF!'!#REF!</definedName>
    <definedName name="SSS_1" localSheetId="5">'[2]#REF!'!#REF!</definedName>
    <definedName name="SSS_1">'[2]#REF!'!#REF!</definedName>
    <definedName name="SSS_2" localSheetId="4">'[2]#REF!'!#REF!</definedName>
    <definedName name="SSS_2" localSheetId="2">'[2]#REF!'!#REF!</definedName>
    <definedName name="SSS_2" localSheetId="0">#REF!</definedName>
    <definedName name="SSS_2" localSheetId="6">'[2]#REF!'!#REF!</definedName>
    <definedName name="SSS_2" localSheetId="7">'[2]#REF!'!#REF!</definedName>
    <definedName name="SSS_2" localSheetId="5">'[2]#REF!'!#REF!</definedName>
    <definedName name="SSS_2">'[2]#REF!'!#REF!</definedName>
    <definedName name="ssss" localSheetId="4">#REF!</definedName>
    <definedName name="ssss" localSheetId="2">#REF!</definedName>
    <definedName name="ssss" localSheetId="0">'[2]#REF!'!#REF!</definedName>
    <definedName name="ssss" localSheetId="6">#REF!</definedName>
    <definedName name="ssss" localSheetId="7">#REF!</definedName>
    <definedName name="ssss" localSheetId="5">#REF!</definedName>
    <definedName name="ssss">#REF!</definedName>
    <definedName name="ssss_1" localSheetId="4">'[2]#REF!'!#REF!</definedName>
    <definedName name="ssss_1" localSheetId="2">'[2]#REF!'!#REF!</definedName>
    <definedName name="ssss_1" localSheetId="0">#REF!</definedName>
    <definedName name="ssss_1" localSheetId="6">'[2]#REF!'!#REF!</definedName>
    <definedName name="ssss_1" localSheetId="7">'[2]#REF!'!#REF!</definedName>
    <definedName name="ssss_1" localSheetId="5">'[2]#REF!'!#REF!</definedName>
    <definedName name="ssss_1">'[2]#REF!'!#REF!</definedName>
    <definedName name="ssss_2" localSheetId="4">'[2]#REF!'!#REF!</definedName>
    <definedName name="ssss_2" localSheetId="2">'[2]#REF!'!#REF!</definedName>
    <definedName name="ssss_2" localSheetId="0">#REF!</definedName>
    <definedName name="ssss_2" localSheetId="6">'[2]#REF!'!#REF!</definedName>
    <definedName name="ssss_2" localSheetId="7">'[2]#REF!'!#REF!</definedName>
    <definedName name="ssss_2" localSheetId="5">'[2]#REF!'!#REF!</definedName>
    <definedName name="ssss_2">'[2]#REF!'!#REF!</definedName>
    <definedName name="ssss_3" localSheetId="4">'[2]#REF!'!#REF!</definedName>
    <definedName name="ssss_3" localSheetId="2">'[2]#REF!'!#REF!</definedName>
    <definedName name="ssss_3" localSheetId="0">#REF!</definedName>
    <definedName name="ssss_3" localSheetId="6">'[2]#REF!'!#REF!</definedName>
    <definedName name="ssss_3" localSheetId="7">'[2]#REF!'!#REF!</definedName>
    <definedName name="ssss_3" localSheetId="5">'[2]#REF!'!#REF!</definedName>
    <definedName name="ssss_3">'[2]#REF!'!#REF!</definedName>
    <definedName name="Summary_Page" localSheetId="4">'[32]Key 7'!#REF!</definedName>
    <definedName name="Summary_Page" localSheetId="2">'[32]Key 7'!#REF!</definedName>
    <definedName name="Summary_Page" localSheetId="6">'[32]Key 7'!#REF!</definedName>
    <definedName name="Summary_Page" localSheetId="7">'[32]Key 7'!#REF!</definedName>
    <definedName name="Summary_Page" localSheetId="5">'[32]Key 7'!#REF!</definedName>
    <definedName name="Summary_Page">'[32]Key 7'!#REF!</definedName>
    <definedName name="Summary_Page_1" localSheetId="4">'[33]Key 7'!#REF!</definedName>
    <definedName name="Summary_Page_1" localSheetId="2">'[33]Key 7'!#REF!</definedName>
    <definedName name="Summary_Page_1" localSheetId="0">'[34]Key 7'!#REF!</definedName>
    <definedName name="Summary_Page_1" localSheetId="6">'[33]Key 7'!#REF!</definedName>
    <definedName name="Summary_Page_1" localSheetId="7">'[33]Key 7'!#REF!</definedName>
    <definedName name="Summary_Page_1" localSheetId="5">'[33]Key 7'!#REF!</definedName>
    <definedName name="Summary_Page_1">'[33]Key 7'!#REF!</definedName>
    <definedName name="Summary_Page_2" localSheetId="4">'[33]Key 7'!#REF!</definedName>
    <definedName name="Summary_Page_2" localSheetId="2">'[33]Key 7'!#REF!</definedName>
    <definedName name="Summary_Page_2" localSheetId="0">'[34]Key 7'!#REF!</definedName>
    <definedName name="Summary_Page_2" localSheetId="6">'[33]Key 7'!#REF!</definedName>
    <definedName name="Summary_Page_2" localSheetId="7">'[33]Key 7'!#REF!</definedName>
    <definedName name="Summary_Page_2" localSheetId="5">'[33]Key 7'!#REF!</definedName>
    <definedName name="Summary_Page_2">'[33]Key 7'!#REF!</definedName>
    <definedName name="Summary_Page_3" localSheetId="4">'[33]Key 7'!#REF!</definedName>
    <definedName name="Summary_Page_3" localSheetId="2">'[33]Key 7'!#REF!</definedName>
    <definedName name="Summary_Page_3" localSheetId="0">'[34]Key 7'!#REF!</definedName>
    <definedName name="Summary_Page_3" localSheetId="6">'[33]Key 7'!#REF!</definedName>
    <definedName name="Summary_Page_3" localSheetId="7">'[33]Key 7'!#REF!</definedName>
    <definedName name="Summary_Page_3" localSheetId="5">'[33]Key 7'!#REF!</definedName>
    <definedName name="Summary_Page_3">'[33]Key 7'!#REF!</definedName>
    <definedName name="TABLE1" localSheetId="0">[19]Table1!$A$1:$B$427</definedName>
    <definedName name="TABLE1">[55]Table1!$A$1:$B$427</definedName>
    <definedName name="TABLE1_1">[55]Table1:Module1!$A$1:$B$427</definedName>
    <definedName name="TDK" localSheetId="4">#REF!</definedName>
    <definedName name="TDK" localSheetId="2">#REF!</definedName>
    <definedName name="TDK" localSheetId="0">'[2]#REF!'!#REF!</definedName>
    <definedName name="TDK" localSheetId="6">#REF!</definedName>
    <definedName name="TDK" localSheetId="7">#REF!</definedName>
    <definedName name="TDK" localSheetId="5">#REF!</definedName>
    <definedName name="TDK">#REF!</definedName>
    <definedName name="TDK_1" localSheetId="4">'[2]#REF!'!#REF!</definedName>
    <definedName name="TDK_1" localSheetId="2">'[2]#REF!'!#REF!</definedName>
    <definedName name="TDK_1" localSheetId="0">#REF!</definedName>
    <definedName name="TDK_1" localSheetId="6">'[2]#REF!'!#REF!</definedName>
    <definedName name="TDK_1" localSheetId="7">'[2]#REF!'!#REF!</definedName>
    <definedName name="TDK_1" localSheetId="5">'[2]#REF!'!#REF!</definedName>
    <definedName name="TDK_1">'[2]#REF!'!#REF!</definedName>
    <definedName name="TDK_2" localSheetId="4">'[2]#REF!'!#REF!</definedName>
    <definedName name="TDK_2" localSheetId="2">'[2]#REF!'!#REF!</definedName>
    <definedName name="TDK_2" localSheetId="0">#REF!</definedName>
    <definedName name="TDK_2" localSheetId="6">'[2]#REF!'!#REF!</definedName>
    <definedName name="TDK_2" localSheetId="7">'[2]#REF!'!#REF!</definedName>
    <definedName name="TDK_2" localSheetId="5">'[2]#REF!'!#REF!</definedName>
    <definedName name="TDK_2">'[2]#REF!'!#REF!</definedName>
    <definedName name="TDK_3" localSheetId="4">'[2]#REF!'!#REF!</definedName>
    <definedName name="TDK_3" localSheetId="2">'[2]#REF!'!#REF!</definedName>
    <definedName name="TDK_3" localSheetId="0">#REF!</definedName>
    <definedName name="TDK_3" localSheetId="6">'[2]#REF!'!#REF!</definedName>
    <definedName name="TDK_3" localSheetId="7">'[2]#REF!'!#REF!</definedName>
    <definedName name="TDK_3" localSheetId="5">'[2]#REF!'!#REF!</definedName>
    <definedName name="TDK_3">'[2]#REF!'!#REF!</definedName>
    <definedName name="total" localSheetId="4">'[3]Diff_Data _2_'!#REF!</definedName>
    <definedName name="total" localSheetId="2">'[3]Diff_Data _2_'!#REF!</definedName>
    <definedName name="total" localSheetId="6">'[3]Diff_Data _2_'!#REF!</definedName>
    <definedName name="total" localSheetId="7">'[3]Diff_Data _2_'!#REF!</definedName>
    <definedName name="total" localSheetId="5">'[3]Diff_Data _2_'!#REF!</definedName>
    <definedName name="total">'[3]Diff_Data _2_'!#REF!</definedName>
    <definedName name="total_1" localSheetId="4">'[3]Diff_Data _2_'!#REF!</definedName>
    <definedName name="total_1" localSheetId="2">'[3]Diff_Data _2_'!#REF!</definedName>
    <definedName name="total_1" localSheetId="6">'[3]Diff_Data _2_'!#REF!</definedName>
    <definedName name="total_1" localSheetId="7">'[3]Diff_Data _2_'!#REF!</definedName>
    <definedName name="total_1" localSheetId="5">'[3]Diff_Data _2_'!#REF!</definedName>
    <definedName name="total_1">'[3]Diff_Data _2_'!#REF!</definedName>
    <definedName name="total_2" localSheetId="4">'[3]Diff_Data _2_'!#REF!</definedName>
    <definedName name="total_2" localSheetId="2">'[3]Diff_Data _2_'!#REF!</definedName>
    <definedName name="total_2" localSheetId="6">'[3]Diff_Data _2_'!#REF!</definedName>
    <definedName name="total_2" localSheetId="7">'[3]Diff_Data _2_'!#REF!</definedName>
    <definedName name="total_2" localSheetId="5">'[3]Diff_Data _2_'!#REF!</definedName>
    <definedName name="total_2">'[3]Diff_Data _2_'!#REF!</definedName>
    <definedName name="total_3" localSheetId="4">'[3]Diff_Data _2_'!#REF!</definedName>
    <definedName name="total_3" localSheetId="2">'[3]Diff_Data _2_'!#REF!</definedName>
    <definedName name="total_3" localSheetId="6">'[3]Diff_Data _2_'!#REF!</definedName>
    <definedName name="total_3" localSheetId="7">'[3]Diff_Data _2_'!#REF!</definedName>
    <definedName name="total_3" localSheetId="5">'[3]Diff_Data _2_'!#REF!</definedName>
    <definedName name="total_3">'[3]Diff_Data _2_'!#REF!</definedName>
    <definedName name="toyuo">[17]DEFINITION!$C$2</definedName>
    <definedName name="TP" localSheetId="4">#N/A</definedName>
    <definedName name="TP" localSheetId="2">#N/A</definedName>
    <definedName name="TP" localSheetId="0">#REF!</definedName>
    <definedName name="TP" localSheetId="6">#N/A</definedName>
    <definedName name="TP" localSheetId="7">#N/A</definedName>
    <definedName name="TP" localSheetId="5">#N/A</definedName>
    <definedName name="TP">#N/A</definedName>
    <definedName name="TP_1" localSheetId="4">#N/A</definedName>
    <definedName name="TP_1" localSheetId="2">#N/A</definedName>
    <definedName name="TP_1" localSheetId="0">#REF!</definedName>
    <definedName name="TP_1" localSheetId="6">#N/A</definedName>
    <definedName name="TP_1" localSheetId="7">#N/A</definedName>
    <definedName name="TP_1" localSheetId="5">#N/A</definedName>
    <definedName name="TP_1">#N/A</definedName>
    <definedName name="TP_2" localSheetId="4">#N/A</definedName>
    <definedName name="TP_2" localSheetId="2">#N/A</definedName>
    <definedName name="TP_2" localSheetId="0">#REF!</definedName>
    <definedName name="TP_2" localSheetId="6">#N/A</definedName>
    <definedName name="TP_2" localSheetId="7">#N/A</definedName>
    <definedName name="TP_2" localSheetId="5">#N/A</definedName>
    <definedName name="TP_2">#N/A</definedName>
    <definedName name="TP_3" localSheetId="4">#N/A</definedName>
    <definedName name="TP_3" localSheetId="2">#N/A</definedName>
    <definedName name="TP_3" localSheetId="0">#REF!</definedName>
    <definedName name="TP_3" localSheetId="6">#N/A</definedName>
    <definedName name="TP_3" localSheetId="7">#N/A</definedName>
    <definedName name="TP_3" localSheetId="5">#N/A</definedName>
    <definedName name="TP_3">#N/A</definedName>
    <definedName name="Tri_Color">'[32]Key 7'!$AO$1:$BP$24</definedName>
    <definedName name="Tri_Color_1" localSheetId="4">'[33]Key 7'!$AO$1:$BP$24</definedName>
    <definedName name="Tri_Color_1" localSheetId="0">'[34]Key 7'!$AO$1:$BP$24</definedName>
    <definedName name="Tri_Color_1">'[33]Key 7'!$AO$1:$BP$24</definedName>
    <definedName name="Tri_Color_2" localSheetId="4">'[33]Key 7'!$AO$1:$BP$24</definedName>
    <definedName name="Tri_Color_2" localSheetId="0">'[34]Key 7'!$AO$1:$BP$24</definedName>
    <definedName name="Tri_Color_2">'[33]Key 7'!$AO$1:$BP$24</definedName>
    <definedName name="ts" localSheetId="4">#REF!</definedName>
    <definedName name="ts" localSheetId="2">#REF!</definedName>
    <definedName name="ts" localSheetId="0">'[2]#REF!'!#REF!</definedName>
    <definedName name="ts" localSheetId="6">#REF!</definedName>
    <definedName name="ts" localSheetId="7">#REF!</definedName>
    <definedName name="ts" localSheetId="5">#REF!</definedName>
    <definedName name="ts">#REF!</definedName>
    <definedName name="ts_1" localSheetId="4">'[2]#REF!'!#REF!</definedName>
    <definedName name="ts_1" localSheetId="2">'[2]#REF!'!#REF!</definedName>
    <definedName name="ts_1" localSheetId="0">#REF!</definedName>
    <definedName name="ts_1" localSheetId="6">'[2]#REF!'!#REF!</definedName>
    <definedName name="ts_1" localSheetId="7">'[2]#REF!'!#REF!</definedName>
    <definedName name="ts_1" localSheetId="5">'[2]#REF!'!#REF!</definedName>
    <definedName name="ts_1">'[2]#REF!'!#REF!</definedName>
    <definedName name="ts_2" localSheetId="4">'[2]#REF!'!#REF!</definedName>
    <definedName name="ts_2" localSheetId="2">'[2]#REF!'!#REF!</definedName>
    <definedName name="ts_2" localSheetId="0">#REF!</definedName>
    <definedName name="ts_2" localSheetId="6">'[2]#REF!'!#REF!</definedName>
    <definedName name="ts_2" localSheetId="7">'[2]#REF!'!#REF!</definedName>
    <definedName name="ts_2" localSheetId="5">'[2]#REF!'!#REF!</definedName>
    <definedName name="ts_2">'[2]#REF!'!#REF!</definedName>
    <definedName name="ts_3" localSheetId="4">'[2]#REF!'!#REF!</definedName>
    <definedName name="ts_3" localSheetId="2">'[2]#REF!'!#REF!</definedName>
    <definedName name="ts_3" localSheetId="0">#REF!</definedName>
    <definedName name="ts_3" localSheetId="6">'[2]#REF!'!#REF!</definedName>
    <definedName name="ts_3" localSheetId="7">'[2]#REF!'!#REF!</definedName>
    <definedName name="ts_3" localSheetId="5">'[2]#REF!'!#REF!</definedName>
    <definedName name="ts_3">'[2]#REF!'!#REF!</definedName>
    <definedName name="ty" localSheetId="4">[5]DEFINITION1!#REF!</definedName>
    <definedName name="ty" localSheetId="2">[5]DEFINITION1!#REF!</definedName>
    <definedName name="ty" localSheetId="6">[5]DEFINITION1!#REF!</definedName>
    <definedName name="ty" localSheetId="7">[5]DEFINITION1!#REF!</definedName>
    <definedName name="ty" localSheetId="5">[5]DEFINITION1!#REF!</definedName>
    <definedName name="ty">[5]DEFINITION1!#REF!</definedName>
    <definedName name="ty_1" localSheetId="4">[5]DEFINITION1!#REF!</definedName>
    <definedName name="ty_1" localSheetId="2">[5]DEFINITION1!#REF!</definedName>
    <definedName name="ty_1" localSheetId="6">[5]DEFINITION1!#REF!</definedName>
    <definedName name="ty_1" localSheetId="7">[5]DEFINITION1!#REF!</definedName>
    <definedName name="ty_1" localSheetId="5">[5]DEFINITION1!#REF!</definedName>
    <definedName name="ty_1">[5]DEFINITION1!#REF!</definedName>
    <definedName name="ty_2" localSheetId="4">[5]DEFINITION1!#REF!</definedName>
    <definedName name="ty_2" localSheetId="2">[5]DEFINITION1!#REF!</definedName>
    <definedName name="ty_2" localSheetId="6">[5]DEFINITION1!#REF!</definedName>
    <definedName name="ty_2" localSheetId="7">[5]DEFINITION1!#REF!</definedName>
    <definedName name="ty_2" localSheetId="5">[5]DEFINITION1!#REF!</definedName>
    <definedName name="ty_2">[5]DEFINITION1!#REF!</definedName>
    <definedName name="ty_3" localSheetId="4">[5]DEFINITION1!#REF!</definedName>
    <definedName name="ty_3" localSheetId="2">[5]DEFINITION1!#REF!</definedName>
    <definedName name="ty_3" localSheetId="6">[5]DEFINITION1!#REF!</definedName>
    <definedName name="ty_3" localSheetId="7">[5]DEFINITION1!#REF!</definedName>
    <definedName name="ty_3" localSheetId="5">[5]DEFINITION1!#REF!</definedName>
    <definedName name="ty_3">[5]DEFINITION1!#REF!</definedName>
    <definedName name="vfdfs">(#REF!,#REF!)</definedName>
    <definedName name="www" localSheetId="4" hidden="1">#REF!</definedName>
    <definedName name="www" localSheetId="2" hidden="1">#REF!</definedName>
    <definedName name="www" localSheetId="0" hidden="1">'[50]#REF!'!$B$10:$B$18</definedName>
    <definedName name="www" localSheetId="7" hidden="1">#REF!</definedName>
    <definedName name="www" localSheetId="5" hidden="1">#REF!</definedName>
    <definedName name="www" hidden="1">#REF!</definedName>
    <definedName name="www_1" localSheetId="4">'[51]#REF!'!$B$10:$B$18</definedName>
    <definedName name="www_1" localSheetId="0">#REF!</definedName>
    <definedName name="www_1">'[51]#REF!'!$B$10:$B$18</definedName>
    <definedName name="www_2" localSheetId="4">'[51]#REF!'!$B$10:$B$18</definedName>
    <definedName name="www_2" localSheetId="0">#REF!</definedName>
    <definedName name="www_2">'[51]#REF!'!$B$10:$B$18</definedName>
    <definedName name="xaxax" localSheetId="4">#REF!</definedName>
    <definedName name="xaxax" localSheetId="2">#REF!</definedName>
    <definedName name="xaxax" localSheetId="0">'[2]#REF!'!#REF!</definedName>
    <definedName name="xaxax" localSheetId="6">#REF!</definedName>
    <definedName name="xaxax" localSheetId="7">#REF!</definedName>
    <definedName name="xaxax" localSheetId="5">#REF!</definedName>
    <definedName name="xaxax">#REF!</definedName>
    <definedName name="xaxax_1" localSheetId="4">'[2]#REF!'!#REF!</definedName>
    <definedName name="xaxax_1" localSheetId="2">'[2]#REF!'!#REF!</definedName>
    <definedName name="xaxax_1" localSheetId="0">#REF!</definedName>
    <definedName name="xaxax_1" localSheetId="6">'[2]#REF!'!#REF!</definedName>
    <definedName name="xaxax_1" localSheetId="7">'[2]#REF!'!#REF!</definedName>
    <definedName name="xaxax_1" localSheetId="5">'[2]#REF!'!#REF!</definedName>
    <definedName name="xaxax_1">'[2]#REF!'!#REF!</definedName>
    <definedName name="xaxax_2" localSheetId="4">'[2]#REF!'!#REF!</definedName>
    <definedName name="xaxax_2" localSheetId="2">'[2]#REF!'!#REF!</definedName>
    <definedName name="xaxax_2" localSheetId="0">#REF!</definedName>
    <definedName name="xaxax_2" localSheetId="6">'[2]#REF!'!#REF!</definedName>
    <definedName name="xaxax_2" localSheetId="7">'[2]#REF!'!#REF!</definedName>
    <definedName name="xaxax_2" localSheetId="5">'[2]#REF!'!#REF!</definedName>
    <definedName name="xaxax_2">'[2]#REF!'!#REF!</definedName>
    <definedName name="xaxax_3" localSheetId="4">'[2]#REF!'!#REF!</definedName>
    <definedName name="xaxax_3" localSheetId="2">'[2]#REF!'!#REF!</definedName>
    <definedName name="xaxax_3" localSheetId="0">#REF!</definedName>
    <definedName name="xaxax_3" localSheetId="6">'[2]#REF!'!#REF!</definedName>
    <definedName name="xaxax_3" localSheetId="7">'[2]#REF!'!#REF!</definedName>
    <definedName name="xaxax_3" localSheetId="5">'[2]#REF!'!#REF!</definedName>
    <definedName name="xaxax_3">'[2]#REF!'!#REF!</definedName>
    <definedName name="xxx" localSheetId="4">#REF!</definedName>
    <definedName name="xxx" localSheetId="2">#REF!</definedName>
    <definedName name="xxx" localSheetId="0">'[2]#REF!'!#REF!</definedName>
    <definedName name="xxx" localSheetId="6">#REF!</definedName>
    <definedName name="xxx" localSheetId="7">#REF!</definedName>
    <definedName name="xxx" localSheetId="5">#REF!</definedName>
    <definedName name="xxx">#REF!</definedName>
    <definedName name="xxx_1" localSheetId="4">'[2]#REF!'!#REF!</definedName>
    <definedName name="xxx_1" localSheetId="2">'[2]#REF!'!#REF!</definedName>
    <definedName name="xxx_1" localSheetId="0">#REF!</definedName>
    <definedName name="xxx_1" localSheetId="6">'[2]#REF!'!#REF!</definedName>
    <definedName name="xxx_1" localSheetId="7">'[2]#REF!'!#REF!</definedName>
    <definedName name="xxx_1" localSheetId="5">'[2]#REF!'!#REF!</definedName>
    <definedName name="xxx_1">'[2]#REF!'!#REF!</definedName>
    <definedName name="xxx_2" localSheetId="4">'[2]#REF!'!#REF!</definedName>
    <definedName name="xxx_2" localSheetId="2">'[2]#REF!'!#REF!</definedName>
    <definedName name="xxx_2" localSheetId="0">#REF!</definedName>
    <definedName name="xxx_2" localSheetId="6">'[2]#REF!'!#REF!</definedName>
    <definedName name="xxx_2" localSheetId="7">'[2]#REF!'!#REF!</definedName>
    <definedName name="xxx_2" localSheetId="5">'[2]#REF!'!#REF!</definedName>
    <definedName name="xxx_2">'[2]#REF!'!#REF!</definedName>
    <definedName name="xxx_3" localSheetId="4">'[2]#REF!'!#REF!</definedName>
    <definedName name="xxx_3" localSheetId="2">'[2]#REF!'!#REF!</definedName>
    <definedName name="xxx_3" localSheetId="0">#REF!</definedName>
    <definedName name="xxx_3" localSheetId="6">'[2]#REF!'!#REF!</definedName>
    <definedName name="xxx_3" localSheetId="7">'[2]#REF!'!#REF!</definedName>
    <definedName name="xxx_3" localSheetId="5">'[2]#REF!'!#REF!</definedName>
    <definedName name="xxx_3">'[2]#REF!'!#REF!</definedName>
    <definedName name="xxxx" localSheetId="4">'[3]Diff_Data _2_'!#REF!</definedName>
    <definedName name="xxxx" localSheetId="2">'[3]Diff_Data _2_'!#REF!</definedName>
    <definedName name="xxxx" localSheetId="6">'[3]Diff_Data _2_'!#REF!</definedName>
    <definedName name="xxxx" localSheetId="7">'[3]Diff_Data _2_'!#REF!</definedName>
    <definedName name="xxxx" localSheetId="5">'[3]Diff_Data _2_'!#REF!</definedName>
    <definedName name="xxxx">'[3]Diff_Data _2_'!#REF!</definedName>
    <definedName name="xxxx_1" localSheetId="4">'[3]Diff_Data _2_'!#REF!</definedName>
    <definedName name="xxxx_1" localSheetId="2">'[3]Diff_Data _2_'!#REF!</definedName>
    <definedName name="xxxx_1" localSheetId="6">'[3]Diff_Data _2_'!#REF!</definedName>
    <definedName name="xxxx_1" localSheetId="7">'[3]Diff_Data _2_'!#REF!</definedName>
    <definedName name="xxxx_1" localSheetId="5">'[3]Diff_Data _2_'!#REF!</definedName>
    <definedName name="xxxx_1">'[3]Diff_Data _2_'!#REF!</definedName>
    <definedName name="xxxx_2" localSheetId="4">'[3]Diff_Data _2_'!#REF!</definedName>
    <definedName name="xxxx_2" localSheetId="2">'[3]Diff_Data _2_'!#REF!</definedName>
    <definedName name="xxxx_2" localSheetId="6">'[3]Diff_Data _2_'!#REF!</definedName>
    <definedName name="xxxx_2" localSheetId="7">'[3]Diff_Data _2_'!#REF!</definedName>
    <definedName name="xxxx_2" localSheetId="5">'[3]Diff_Data _2_'!#REF!</definedName>
    <definedName name="xxxx_2">'[3]Diff_Data _2_'!#REF!</definedName>
    <definedName name="xxxx_3" localSheetId="4">'[3]Diff_Data _2_'!#REF!</definedName>
    <definedName name="xxxx_3" localSheetId="2">'[3]Diff_Data _2_'!#REF!</definedName>
    <definedName name="xxxx_3" localSheetId="6">'[3]Diff_Data _2_'!#REF!</definedName>
    <definedName name="xxxx_3" localSheetId="7">'[3]Diff_Data _2_'!#REF!</definedName>
    <definedName name="xxxx_3" localSheetId="5">'[3]Diff_Data _2_'!#REF!</definedName>
    <definedName name="xxxx_3">'[3]Diff_Data _2_'!#REF!</definedName>
    <definedName name="xxxxx" localSheetId="4">[13]DEFINITION1!#REF!</definedName>
    <definedName name="xxxxx" localSheetId="2">[13]DEFINITION1!#REF!</definedName>
    <definedName name="xxxxx" localSheetId="6">[13]DEFINITION1!#REF!</definedName>
    <definedName name="xxxxx" localSheetId="7">[13]DEFINITION1!#REF!</definedName>
    <definedName name="xxxxx" localSheetId="5">[13]DEFINITION1!#REF!</definedName>
    <definedName name="xxxxx">[13]DEFINITION1!#REF!</definedName>
    <definedName name="xxxxx_1" localSheetId="4">[13]DEFINITION1!#REF!</definedName>
    <definedName name="xxxxx_1" localSheetId="2">[13]DEFINITION1!#REF!</definedName>
    <definedName name="xxxxx_1" localSheetId="0">[56]DEFINITION1!#REF!</definedName>
    <definedName name="xxxxx_1" localSheetId="6">[13]DEFINITION1!#REF!</definedName>
    <definedName name="xxxxx_1" localSheetId="7">[13]DEFINITION1!#REF!</definedName>
    <definedName name="xxxxx_1" localSheetId="5">[13]DEFINITION1!#REF!</definedName>
    <definedName name="xxxxx_1">[13]DEFINITION1!#REF!</definedName>
    <definedName name="xxxxx_2" localSheetId="4">[13]DEFINITION1!#REF!</definedName>
    <definedName name="xxxxx_2" localSheetId="2">[13]DEFINITION1!#REF!</definedName>
    <definedName name="xxxxx_2" localSheetId="0">[56]DEFINITION1!#REF!</definedName>
    <definedName name="xxxxx_2" localSheetId="6">[13]DEFINITION1!#REF!</definedName>
    <definedName name="xxxxx_2" localSheetId="7">[13]DEFINITION1!#REF!</definedName>
    <definedName name="xxxxx_2" localSheetId="5">[13]DEFINITION1!#REF!</definedName>
    <definedName name="xxxxx_2">[13]DEFINITION1!#REF!</definedName>
    <definedName name="xxxxx_3" localSheetId="4">[13]DEFINITION1!#REF!</definedName>
    <definedName name="xxxxx_3" localSheetId="2">[13]DEFINITION1!#REF!</definedName>
    <definedName name="xxxxx_3" localSheetId="0">[56]DEFINITION1!#REF!</definedName>
    <definedName name="xxxxx_3" localSheetId="6">[13]DEFINITION1!#REF!</definedName>
    <definedName name="xxxxx_3" localSheetId="7">[13]DEFINITION1!#REF!</definedName>
    <definedName name="xxxxx_3" localSheetId="5">[13]DEFINITION1!#REF!</definedName>
    <definedName name="xxxxx_3">[13]DEFINITION1!#REF!</definedName>
    <definedName name="xzaxax" localSheetId="4">#REF!</definedName>
    <definedName name="xzaxax" localSheetId="2">#REF!</definedName>
    <definedName name="xzaxax" localSheetId="0">'[2]#REF!'!#REF!</definedName>
    <definedName name="xzaxax" localSheetId="6">#REF!</definedName>
    <definedName name="xzaxax" localSheetId="7">#REF!</definedName>
    <definedName name="xzaxax" localSheetId="5">#REF!</definedName>
    <definedName name="xzaxax">#REF!</definedName>
    <definedName name="xzaxax_1" localSheetId="4">'[2]#REF!'!#REF!</definedName>
    <definedName name="xzaxax_1" localSheetId="2">'[2]#REF!'!#REF!</definedName>
    <definedName name="xzaxax_1" localSheetId="0">#REF!</definedName>
    <definedName name="xzaxax_1" localSheetId="6">'[2]#REF!'!#REF!</definedName>
    <definedName name="xzaxax_1" localSheetId="7">'[2]#REF!'!#REF!</definedName>
    <definedName name="xzaxax_1" localSheetId="5">'[2]#REF!'!#REF!</definedName>
    <definedName name="xzaxax_1">'[2]#REF!'!#REF!</definedName>
    <definedName name="xzaxax_2" localSheetId="4">'[2]#REF!'!#REF!</definedName>
    <definedName name="xzaxax_2" localSheetId="2">'[2]#REF!'!#REF!</definedName>
    <definedName name="xzaxax_2" localSheetId="0">#REF!</definedName>
    <definedName name="xzaxax_2" localSheetId="6">'[2]#REF!'!#REF!</definedName>
    <definedName name="xzaxax_2" localSheetId="7">'[2]#REF!'!#REF!</definedName>
    <definedName name="xzaxax_2" localSheetId="5">'[2]#REF!'!#REF!</definedName>
    <definedName name="xzaxax_2">'[2]#REF!'!#REF!</definedName>
    <definedName name="xzaxax_3" localSheetId="4">'[2]#REF!'!#REF!</definedName>
    <definedName name="xzaxax_3" localSheetId="2">'[2]#REF!'!#REF!</definedName>
    <definedName name="xzaxax_3" localSheetId="0">#REF!</definedName>
    <definedName name="xzaxax_3" localSheetId="6">'[2]#REF!'!#REF!</definedName>
    <definedName name="xzaxax_3" localSheetId="7">'[2]#REF!'!#REF!</definedName>
    <definedName name="xzaxax_3" localSheetId="5">'[2]#REF!'!#REF!</definedName>
    <definedName name="xzaxax_3">'[2]#REF!'!#REF!</definedName>
    <definedName name="yes" localSheetId="4">#REF!</definedName>
    <definedName name="yes" localSheetId="2">#REF!</definedName>
    <definedName name="yes" localSheetId="6">#REF!</definedName>
    <definedName name="yes" localSheetId="7">#REF!</definedName>
    <definedName name="yes" localSheetId="5">#REF!</definedName>
    <definedName name="yes">#REF!</definedName>
    <definedName name="Yflex" localSheetId="4">#REF!</definedName>
    <definedName name="Yflex" localSheetId="2">#REF!</definedName>
    <definedName name="Yflex" localSheetId="0">'[57]#REF!'!$A$57:$C$82</definedName>
    <definedName name="Yflex" localSheetId="7">#REF!</definedName>
    <definedName name="Yflex" localSheetId="5">#REF!</definedName>
    <definedName name="Yflex">#REF!</definedName>
    <definedName name="Yflex_1" localSheetId="0">#REF!</definedName>
    <definedName name="Yflex_1">'[57]#REF!'!$A$57:$C$82</definedName>
    <definedName name="Yflex_2" localSheetId="4">[58]Key7!$A$57:$C$82</definedName>
    <definedName name="Yflex_2" localSheetId="0">[59]Key7!$A$57:$C$82</definedName>
    <definedName name="Yflex_2">[58]Key7!$A$57:$C$82</definedName>
    <definedName name="yflex_3" localSheetId="4">[44]DEFINITION1!#REF!</definedName>
    <definedName name="yflex_3" localSheetId="2">[44]DEFINITION1!#REF!</definedName>
    <definedName name="yflex_3" localSheetId="6">[44]DEFINITION1!#REF!</definedName>
    <definedName name="yflex_3" localSheetId="7">[44]DEFINITION1!#REF!</definedName>
    <definedName name="yflex_3" localSheetId="5">[44]DEFINITION1!#REF!</definedName>
    <definedName name="yflex_3">[44]DEFINITION1!#REF!</definedName>
    <definedName name="yt" localSheetId="4">#REF!</definedName>
    <definedName name="yt" localSheetId="2">#REF!</definedName>
    <definedName name="yt" localSheetId="0">'[2]#REF!'!#REF!</definedName>
    <definedName name="yt" localSheetId="6">#REF!</definedName>
    <definedName name="yt" localSheetId="7">#REF!</definedName>
    <definedName name="yt" localSheetId="5">#REF!</definedName>
    <definedName name="yt">#REF!</definedName>
    <definedName name="yt_1" localSheetId="4">'[2]#REF!'!#REF!</definedName>
    <definedName name="yt_1" localSheetId="2">'[2]#REF!'!#REF!</definedName>
    <definedName name="yt_1" localSheetId="0">#REF!</definedName>
    <definedName name="yt_1" localSheetId="6">'[2]#REF!'!#REF!</definedName>
    <definedName name="yt_1" localSheetId="7">'[2]#REF!'!#REF!</definedName>
    <definedName name="yt_1" localSheetId="5">'[2]#REF!'!#REF!</definedName>
    <definedName name="yt_1">'[2]#REF!'!#REF!</definedName>
    <definedName name="yt_2" localSheetId="4">'[2]#REF!'!#REF!</definedName>
    <definedName name="yt_2" localSheetId="2">'[2]#REF!'!#REF!</definedName>
    <definedName name="yt_2" localSheetId="0">#REF!</definedName>
    <definedName name="yt_2" localSheetId="6">'[2]#REF!'!#REF!</definedName>
    <definedName name="yt_2" localSheetId="7">'[2]#REF!'!#REF!</definedName>
    <definedName name="yt_2" localSheetId="5">'[2]#REF!'!#REF!</definedName>
    <definedName name="yt_2">'[2]#REF!'!#REF!</definedName>
    <definedName name="yt_3" localSheetId="4">'[2]#REF!'!#REF!</definedName>
    <definedName name="yt_3" localSheetId="2">'[2]#REF!'!#REF!</definedName>
    <definedName name="yt_3" localSheetId="0">#REF!</definedName>
    <definedName name="yt_3" localSheetId="6">'[2]#REF!'!#REF!</definedName>
    <definedName name="yt_3" localSheetId="7">'[2]#REF!'!#REF!</definedName>
    <definedName name="yt_3" localSheetId="5">'[2]#REF!'!#REF!</definedName>
    <definedName name="yt_3">'[2]#REF!'!#REF!</definedName>
    <definedName name="ytkm" localSheetId="4">'[6]Diff_Data _2_'!#REF!</definedName>
    <definedName name="ytkm" localSheetId="2">'[6]Diff_Data _2_'!#REF!</definedName>
    <definedName name="ytkm" localSheetId="6">'[6]Diff_Data _2_'!#REF!</definedName>
    <definedName name="ytkm" localSheetId="7">'[6]Diff_Data _2_'!#REF!</definedName>
    <definedName name="ytkm" localSheetId="5">'[6]Diff_Data _2_'!#REF!</definedName>
    <definedName name="ytkm">'[6]Diff_Data _2_'!#REF!</definedName>
    <definedName name="ytkm_1" localSheetId="4">'[6]Diff_Data _2_'!#REF!</definedName>
    <definedName name="ytkm_1" localSheetId="2">'[6]Diff_Data _2_'!#REF!</definedName>
    <definedName name="ytkm_1" localSheetId="6">'[6]Diff_Data _2_'!#REF!</definedName>
    <definedName name="ytkm_1" localSheetId="7">'[6]Diff_Data _2_'!#REF!</definedName>
    <definedName name="ytkm_1" localSheetId="5">'[6]Diff_Data _2_'!#REF!</definedName>
    <definedName name="ytkm_1">'[6]Diff_Data _2_'!#REF!</definedName>
    <definedName name="ytkm_2" localSheetId="4">'[6]Diff_Data _2_'!#REF!</definedName>
    <definedName name="ytkm_2" localSheetId="2">'[6]Diff_Data _2_'!#REF!</definedName>
    <definedName name="ytkm_2" localSheetId="6">'[6]Diff_Data _2_'!#REF!</definedName>
    <definedName name="ytkm_2" localSheetId="7">'[6]Diff_Data _2_'!#REF!</definedName>
    <definedName name="ytkm_2" localSheetId="5">'[6]Diff_Data _2_'!#REF!</definedName>
    <definedName name="ytkm_2">'[6]Diff_Data _2_'!#REF!</definedName>
    <definedName name="ytkm_3" localSheetId="4">'[6]Diff_Data _2_'!#REF!</definedName>
    <definedName name="ytkm_3" localSheetId="2">'[6]Diff_Data _2_'!#REF!</definedName>
    <definedName name="ytkm_3" localSheetId="6">'[6]Diff_Data _2_'!#REF!</definedName>
    <definedName name="ytkm_3" localSheetId="7">'[6]Diff_Data _2_'!#REF!</definedName>
    <definedName name="ytkm_3" localSheetId="5">'[6]Diff_Data _2_'!#REF!</definedName>
    <definedName name="ytkm_3">'[6]Diff_Data _2_'!#REF!</definedName>
    <definedName name="Z_1AF5F652_0674_468B_B12D_B87EC5BF66E3_.wvu.Cols" localSheetId="4">'[60]k2 '!$B$1:$B$65536</definedName>
    <definedName name="Z_1AF5F652_0674_468B_B12D_B87EC5BF66E3_.wvu.Cols" localSheetId="0">'[61]k2 '!$B:$B</definedName>
    <definedName name="Z_1AF5F652_0674_468B_B12D_B87EC5BF66E3_.wvu.Cols">'[60]k2 '!$B$1:$B$65536</definedName>
    <definedName name="Z_218723FD_6FAA_41E7_BC6B_E95FE1E71A9E_.wvu.Cols">#REF!</definedName>
    <definedName name="Z_218723FD_6FAA_41E7_BC6B_E95FE1E71A9E_.wvu.Cols_1">#REF!</definedName>
    <definedName name="Z_218723FD_6FAA_41E7_BC6B_E95FE1E71A9E_.wvu.Cols_2">#REF!</definedName>
    <definedName name="Z_218723FD_6FAA_41E7_BC6B_E95FE1E71A9E_.wvu.Cols_3">#REF!</definedName>
    <definedName name="Z_218723FD_6FAA_41E7_BC6B_E95FE1E71A9E_.wvu.Cols_4">#REF!</definedName>
    <definedName name="Z_218723FD_6FAA_41E7_BC6B_E95FE1E71A9E_.wvu.Cols_5">#REF!</definedName>
    <definedName name="Z_26CC4317_23D0_4E26_8DB5_C8075D9CFFA5_.wvu.Cols">#REF!</definedName>
    <definedName name="Z_26CC4317_23D0_4E26_8DB5_C8075D9CFFA5_.wvu.Cols_1">#REF!</definedName>
    <definedName name="Z_26CC4317_23D0_4E26_8DB5_C8075D9CFFA5_.wvu.Cols_2">#REF!</definedName>
    <definedName name="Z_26CC4317_23D0_4E26_8DB5_C8075D9CFFA5_.wvu.Cols_3">#REF!</definedName>
    <definedName name="Z_26CC4317_23D0_4E26_8DB5_C8075D9CFFA5_.wvu.Cols_4">#REF!</definedName>
    <definedName name="Z_26CC4317_23D0_4E26_8DB5_C8075D9CFFA5_.wvu.Cols_5">#REF!</definedName>
    <definedName name="Z_30C5F5F1_7C11_46BB_B19A_A6F16B11DB20_.wvu.Rows">#REF!</definedName>
    <definedName name="Z_30C5F5F1_7C11_46BB_B19A_A6F16B11DB20_.wvu.Rows_1">#REF!</definedName>
    <definedName name="Z_4480F070_19A4_408D_ACD6_036F6A9089C3_.wvu.Cols">#REF!</definedName>
    <definedName name="Z_4480F070_19A4_408D_ACD6_036F6A9089C3_.wvu.PrintArea">#REF!</definedName>
    <definedName name="Z_4480F070_19A4_408D_ACD6_036F6A9089C3_.wvu.PrintArea_1">#REF!</definedName>
    <definedName name="Z_4480F070_19A4_408D_ACD6_036F6A9089C3_.wvu.PrintArea_2">#REF!</definedName>
    <definedName name="Z_4480F070_19A4_408D_ACD6_036F6A9089C3_.wvu.PrintArea_3">#REF!</definedName>
    <definedName name="Z_4480F070_19A4_408D_ACD6_036F6A9089C3_.wvu.PrintArea_4">#REF!</definedName>
    <definedName name="Z_4480F070_19A4_408D_ACD6_036F6A9089C3_.wvu.PrintArea_5">'[62]labor efficiency'!#REF!</definedName>
    <definedName name="Z_4480F070_19A4_408D_ACD6_036F6A9089C3_.wvu.PrintArea_6">#REF!</definedName>
    <definedName name="Z_4480F070_19A4_408D_ACD6_036F6A9089C3_.wvu.Rows">#REF!</definedName>
    <definedName name="Z_6D294B86_403A_46AF_ABAE_28BF5C89B519_.wvu.Cols">(#REF!,#REF!)</definedName>
    <definedName name="Z_6D294B86_403A_46AF_ABAE_28BF5C89B519_.wvu.Cols_1">([63]CN085!#REF!,[63]CN085!#REF!)</definedName>
    <definedName name="Z_6D294B86_403A_46AF_ABAE_28BF5C89B519_.wvu.Cols_2">('[63]CN085-NEW LINE'!#REF!,'[63]CN085-NEW LINE'!#REF!)</definedName>
    <definedName name="Z_6D294B86_403A_46AF_ABAE_28BF5C89B519_.wvu.Cols_3">([63]CSIC_MANUAL!#REF!,[63]CSIC_MANUAL!#REF!)</definedName>
    <definedName name="Z_6D294B86_403A_46AF_ABAE_28BF5C89B519_.wvu.Cols_4">([63]FPS!#REF!,[63]FPS!#REF!)</definedName>
    <definedName name="Z_6D294B86_403A_46AF_ABAE_28BF5C89B519_.wvu.Cols_5">('[63]OTHER MIL'!#REF!,'[63]OTHER MIL'!#REF!)</definedName>
    <definedName name="Z_833236EF_9F51_4D5A_A6B3_B65A80CA4271_.wvu.Cols">#REF!</definedName>
    <definedName name="Z_833236EF_9F51_4D5A_A6B3_B65A80CA4271_.wvu.Cols_1">#REF!</definedName>
    <definedName name="Z_833236EF_9F51_4D5A_A6B3_B65A80CA4271_.wvu.Cols_2">#REF!</definedName>
    <definedName name="Z_833236EF_9F51_4D5A_A6B3_B65A80CA4271_.wvu.Cols_3">#REF!</definedName>
    <definedName name="Z_833236EF_9F51_4D5A_A6B3_B65A80CA4271_.wvu.Cols_4">#REF!</definedName>
    <definedName name="Z_833236EF_9F51_4D5A_A6B3_B65A80CA4271_.wvu.Cols_5">#REF!</definedName>
    <definedName name="Z_99D15D69_5C09_43AB_B244_2286493BA24A_.wvu.Cols">#REF!</definedName>
    <definedName name="Z_99D15D69_5C09_43AB_B244_2286493BA24A_.wvu.PrintArea">#REF!</definedName>
    <definedName name="Z_99D15D69_5C09_43AB_B244_2286493BA24A_.wvu.PrintArea_1">#REF!</definedName>
    <definedName name="Z_99D15D69_5C09_43AB_B244_2286493BA24A_.wvu.PrintArea_2">#REF!</definedName>
    <definedName name="Z_99D15D69_5C09_43AB_B244_2286493BA24A_.wvu.PrintArea_3">#REF!</definedName>
    <definedName name="Z_99D15D69_5C09_43AB_B244_2286493BA24A_.wvu.PrintArea_4">#REF!</definedName>
    <definedName name="Z_99D15D69_5C09_43AB_B244_2286493BA24A_.wvu.PrintArea_5">'[62]labor efficiency'!#REF!</definedName>
    <definedName name="Z_99D15D69_5C09_43AB_B244_2286493BA24A_.wvu.PrintArea_6">#REF!</definedName>
    <definedName name="Z_99D15D69_5C09_43AB_B244_2286493BA24A_.wvu.Rows">#REF!</definedName>
    <definedName name="Z_99D15D69_5C09_43AB_B244_2286493BA24A_.wvu.Rows_1">(#REF!,#REF!,#REF!)</definedName>
    <definedName name="Z_99D15D69_5C09_43AB_B244_2286493BA24A_.wvu.Rows_1_1">([63]CN085!#REF!,[63]CN085!#REF!,[63]CN085!$117:$149)</definedName>
    <definedName name="Z_99D15D69_5C09_43AB_B244_2286493BA24A_.wvu.Rows_1_2">('[63]CN085-NEW LINE'!#REF!,'[63]CN085-NEW LINE'!#REF!,'[63]CN085-NEW LINE'!$144:$176)</definedName>
    <definedName name="Z_99D15D69_5C09_43AB_B244_2286493BA24A_.wvu.Rows_1_3">([63]CSIC_MANUAL!#REF!,[63]CSIC_MANUAL!#REF!,[63]CSIC_MANUAL!$116:$148)</definedName>
    <definedName name="Z_99D15D69_5C09_43AB_B244_2286493BA24A_.wvu.Rows_1_4">([63]FPS!#REF!,[63]FPS!#REF!,[63]FPS!$118:$150)</definedName>
    <definedName name="Z_99D15D69_5C09_43AB_B244_2286493BA24A_.wvu.Rows_1_5">('[63]OTHER MIL'!#REF!,'[63]OTHER MIL'!#REF!,'[63]OTHER MIL'!$153:$185)</definedName>
    <definedName name="Z_9D610594_C546_4D13_9050_0C2979FFD388_.wvu.Cols">#REF!</definedName>
    <definedName name="Z_9D610594_C546_4D13_9050_0C2979FFD388_.wvu.PrintArea">#REF!</definedName>
    <definedName name="Z_9D610594_C546_4D13_9050_0C2979FFD388_.wvu.PrintArea_1">#REF!</definedName>
    <definedName name="Z_9D610594_C546_4D13_9050_0C2979FFD388_.wvu.PrintArea_2">#REF!</definedName>
    <definedName name="Z_9D610594_C546_4D13_9050_0C2979FFD388_.wvu.PrintArea_3">#REF!</definedName>
    <definedName name="Z_9D610594_C546_4D13_9050_0C2979FFD388_.wvu.PrintArea_4">#REF!</definedName>
    <definedName name="Z_9D610594_C546_4D13_9050_0C2979FFD388_.wvu.PrintArea_5">'[62]labor efficiency'!#REF!</definedName>
    <definedName name="Z_9D610594_C546_4D13_9050_0C2979FFD388_.wvu.PrintArea_6">#REF!</definedName>
    <definedName name="Z_9D610594_C546_4D13_9050_0C2979FFD388_.wvu.Rows">#REF!</definedName>
    <definedName name="Z_BF2EF613_8F63_4C03_94A9_58505D8BD7B2_.wvu.Cols">#REF!</definedName>
    <definedName name="Z_EC000C0C_4B16_45CB_81EC_565229540255_.wvu.Cols">#REF!</definedName>
    <definedName name="Z_EC000C0C_4B16_45CB_81EC_565229540255_.wvu.Cols_1">#REF!</definedName>
    <definedName name="Z_EC000C0C_4B16_45CB_81EC_565229540255_.wvu.Cols_2">#REF!</definedName>
    <definedName name="Z_EC000C0C_4B16_45CB_81EC_565229540255_.wvu.Cols_3">#REF!</definedName>
    <definedName name="Z_EC000C0C_4B16_45CB_81EC_565229540255_.wvu.Cols_4">#REF!</definedName>
    <definedName name="Z_EC000C0C_4B16_45CB_81EC_565229540255_.wvu.Cols_5">#REF!</definedName>
    <definedName name="Z_FC484049_A5B6_4508_AF11_C6F23D162401_.wvu.Cols" localSheetId="4">'[60]k2 '!$B$1:$B$65536</definedName>
    <definedName name="Z_FC484049_A5B6_4508_AF11_C6F23D162401_.wvu.Cols" localSheetId="0">'[61]k2 '!$B:$B</definedName>
    <definedName name="Z_FC484049_A5B6_4508_AF11_C6F23D162401_.wvu.Cols">'[60]k2 '!$B$1:$B$65536</definedName>
    <definedName name="zxzxzx" localSheetId="4">#REF!</definedName>
    <definedName name="zxzxzx" localSheetId="2">#REF!</definedName>
    <definedName name="zxzxzx" localSheetId="0">'[2]#REF!'!#REF!</definedName>
    <definedName name="zxzxzx" localSheetId="6">#REF!</definedName>
    <definedName name="zxzxzx" localSheetId="7">#REF!</definedName>
    <definedName name="zxzxzx" localSheetId="5">#REF!</definedName>
    <definedName name="zxzxzx">#REF!</definedName>
    <definedName name="zxzxzx_1" localSheetId="4">'[2]#REF!'!#REF!</definedName>
    <definedName name="zxzxzx_1" localSheetId="2">'[2]#REF!'!#REF!</definedName>
    <definedName name="zxzxzx_1" localSheetId="0">#REF!</definedName>
    <definedName name="zxzxzx_1" localSheetId="6">'[2]#REF!'!#REF!</definedName>
    <definedName name="zxzxzx_1" localSheetId="7">'[2]#REF!'!#REF!</definedName>
    <definedName name="zxzxzx_1" localSheetId="5">'[2]#REF!'!#REF!</definedName>
    <definedName name="zxzxzx_1">'[2]#REF!'!#REF!</definedName>
    <definedName name="zxzxzx_2" localSheetId="4">'[2]#REF!'!#REF!</definedName>
    <definedName name="zxzxzx_2" localSheetId="2">'[2]#REF!'!#REF!</definedName>
    <definedName name="zxzxzx_2" localSheetId="0">#REF!</definedName>
    <definedName name="zxzxzx_2" localSheetId="6">'[2]#REF!'!#REF!</definedName>
    <definedName name="zxzxzx_2" localSheetId="7">'[2]#REF!'!#REF!</definedName>
    <definedName name="zxzxzx_2" localSheetId="5">'[2]#REF!'!#REF!</definedName>
    <definedName name="zxzxzx_2">'[2]#REF!'!#REF!</definedName>
    <definedName name="zxzxzx_3" localSheetId="4">'[2]#REF!'!#REF!</definedName>
    <definedName name="zxzxzx_3" localSheetId="2">'[2]#REF!'!#REF!</definedName>
    <definedName name="zxzxzx_3" localSheetId="0">#REF!</definedName>
    <definedName name="zxzxzx_3" localSheetId="6">'[2]#REF!'!#REF!</definedName>
    <definedName name="zxzxzx_3" localSheetId="7">'[2]#REF!'!#REF!</definedName>
    <definedName name="zxzxzx_3" localSheetId="5">'[2]#REF!'!#REF!</definedName>
    <definedName name="zxzxzx_3">'[2]#REF!'!#REF!</definedName>
    <definedName name="松下" localSheetId="4">#REF!</definedName>
    <definedName name="松下" localSheetId="2">#REF!</definedName>
    <definedName name="松下" localSheetId="0">'[2]#REF!'!#REF!</definedName>
    <definedName name="松下" localSheetId="6">#REF!</definedName>
    <definedName name="松下" localSheetId="7">#REF!</definedName>
    <definedName name="松下" localSheetId="5">#REF!</definedName>
    <definedName name="松下">#REF!</definedName>
    <definedName name="松下_1" localSheetId="4">'[2]#REF!'!#REF!</definedName>
    <definedName name="松下_1" localSheetId="2">'[2]#REF!'!#REF!</definedName>
    <definedName name="松下_1" localSheetId="0">#REF!</definedName>
    <definedName name="松下_1" localSheetId="6">'[2]#REF!'!#REF!</definedName>
    <definedName name="松下_1" localSheetId="7">'[2]#REF!'!#REF!</definedName>
    <definedName name="松下_1" localSheetId="5">'[2]#REF!'!#REF!</definedName>
    <definedName name="松下_1">'[2]#REF!'!#REF!</definedName>
    <definedName name="松下_2" localSheetId="4">'[2]#REF!'!#REF!</definedName>
    <definedName name="松下_2" localSheetId="2">'[2]#REF!'!#REF!</definedName>
    <definedName name="松下_2" localSheetId="0">#REF!</definedName>
    <definedName name="松下_2" localSheetId="6">'[2]#REF!'!#REF!</definedName>
    <definedName name="松下_2" localSheetId="7">'[2]#REF!'!#REF!</definedName>
    <definedName name="松下_2" localSheetId="5">'[2]#REF!'!#REF!</definedName>
    <definedName name="松下_2">'[2]#REF!'!#REF!</definedName>
    <definedName name="松下_3" localSheetId="4">'[2]#REF!'!#REF!</definedName>
    <definedName name="松下_3" localSheetId="2">'[2]#REF!'!#REF!</definedName>
    <definedName name="松下_3" localSheetId="0">#REF!</definedName>
    <definedName name="松下_3" localSheetId="6">'[2]#REF!'!#REF!</definedName>
    <definedName name="松下_3" localSheetId="7">'[2]#REF!'!#REF!</definedName>
    <definedName name="松下_3" localSheetId="5">'[2]#REF!'!#REF!</definedName>
    <definedName name="松下_3">'[2]#REF!'!#REF!</definedName>
    <definedName name="部品分類" localSheetId="4">#REF!</definedName>
    <definedName name="部品分類" localSheetId="2">#REF!</definedName>
    <definedName name="部品分類" localSheetId="0">'[11]#REF!'!#REF!</definedName>
    <definedName name="部品分類" localSheetId="6">#REF!</definedName>
    <definedName name="部品分類" localSheetId="7">#REF!</definedName>
    <definedName name="部品分類" localSheetId="5">#REF!</definedName>
    <definedName name="部品分類">#REF!</definedName>
    <definedName name="部品分類_1" localSheetId="4">'[11]#REF!'!#REF!</definedName>
    <definedName name="部品分類_1" localSheetId="2">'[11]#REF!'!#REF!</definedName>
    <definedName name="部品分類_1" localSheetId="0">#REF!</definedName>
    <definedName name="部品分類_1" localSheetId="6">'[11]#REF!'!#REF!</definedName>
    <definedName name="部品分類_1" localSheetId="7">'[11]#REF!'!#REF!</definedName>
    <definedName name="部品分類_1" localSheetId="5">'[11]#REF!'!#REF!</definedName>
    <definedName name="部品分類_1">'[11]#REF!'!#REF!</definedName>
    <definedName name="部品分類_2" localSheetId="4">'[11]#REF!'!#REF!</definedName>
    <definedName name="部品分類_2" localSheetId="2">'[11]#REF!'!#REF!</definedName>
    <definedName name="部品分類_2" localSheetId="0">#REF!</definedName>
    <definedName name="部品分類_2" localSheetId="6">'[11]#REF!'!#REF!</definedName>
    <definedName name="部品分類_2" localSheetId="7">'[11]#REF!'!#REF!</definedName>
    <definedName name="部品分類_2" localSheetId="5">'[11]#REF!'!#REF!</definedName>
    <definedName name="部品分類_2">'[11]#REF!'!#REF!</definedName>
    <definedName name="部品分類_3" localSheetId="4">'[11]#REF!'!#REF!</definedName>
    <definedName name="部品分類_3" localSheetId="2">'[11]#REF!'!#REF!</definedName>
    <definedName name="部品分類_3" localSheetId="0">#REF!</definedName>
    <definedName name="部品分類_3" localSheetId="6">'[11]#REF!'!#REF!</definedName>
    <definedName name="部品分類_3" localSheetId="7">'[11]#REF!'!#REF!</definedName>
    <definedName name="部品分類_3" localSheetId="5">'[11]#REF!'!#REF!</definedName>
    <definedName name="部品分類_3">'[11]#REF!'!#REF!</definedName>
  </definedNames>
  <calcPr calcId="162913"/>
</workbook>
</file>

<file path=xl/calcChain.xml><?xml version="1.0" encoding="utf-8"?>
<calcChain xmlns="http://schemas.openxmlformats.org/spreadsheetml/2006/main">
  <c r="A2" i="11" l="1"/>
  <c r="AO198" i="11"/>
  <c r="AO194" i="11"/>
  <c r="AO208" i="11"/>
  <c r="AP195" i="11"/>
  <c r="AO195" i="11"/>
  <c r="AO129" i="11"/>
  <c r="AO128" i="11"/>
  <c r="AV72" i="11"/>
  <c r="A2" i="10"/>
  <c r="A2" i="6" l="1"/>
  <c r="AM163" i="6"/>
  <c r="AM76" i="6"/>
  <c r="AM102" i="6"/>
  <c r="A2" i="9" l="1"/>
  <c r="AO119" i="9"/>
  <c r="AO129" i="9"/>
  <c r="AN129" i="9"/>
  <c r="AO130" i="9"/>
  <c r="AO90" i="9"/>
  <c r="A2" i="16" l="1"/>
  <c r="AO153" i="16"/>
  <c r="A2" i="1" l="1"/>
  <c r="AK107" i="1"/>
  <c r="AL92" i="1"/>
  <c r="AL163" i="6" l="1"/>
  <c r="AN220" i="16"/>
  <c r="AG107" i="1"/>
  <c r="AJ107" i="1" l="1"/>
  <c r="AI107" i="1"/>
  <c r="AH107" i="1"/>
  <c r="AN161" i="16"/>
  <c r="AK161" i="16"/>
  <c r="AL161" i="16"/>
  <c r="AM161" i="16"/>
  <c r="AG141" i="1"/>
  <c r="AN208" i="11"/>
  <c r="AN195" i="11"/>
  <c r="AN129" i="11"/>
  <c r="AN128" i="11"/>
  <c r="AJ123" i="1" l="1"/>
  <c r="AN81" i="16" l="1"/>
  <c r="AM129" i="11" l="1"/>
  <c r="AM128" i="11"/>
  <c r="AM195" i="11" l="1"/>
  <c r="AM208" i="11"/>
  <c r="AK102" i="6" l="1"/>
  <c r="AL208" i="11" l="1"/>
  <c r="AL130" i="11"/>
  <c r="AL129" i="11"/>
  <c r="AL128" i="11"/>
  <c r="AH68" i="1"/>
  <c r="AH54" i="1"/>
  <c r="AV97" i="11" l="1"/>
  <c r="AV112" i="11"/>
  <c r="AV139" i="11"/>
  <c r="AV124" i="11"/>
  <c r="AG138" i="1" l="1"/>
  <c r="AG124" i="1"/>
  <c r="AG111" i="1"/>
  <c r="AG96" i="1"/>
  <c r="AG54" i="1"/>
  <c r="AG68" i="1"/>
  <c r="AG66" i="1"/>
  <c r="AK217" i="16"/>
  <c r="AK218" i="16" s="1"/>
  <c r="AK204" i="16"/>
  <c r="AK190" i="16"/>
  <c r="AK191" i="16" s="1"/>
  <c r="AK192" i="16" s="1"/>
  <c r="AK176" i="16"/>
  <c r="AK149" i="16"/>
  <c r="AK150" i="16" s="1"/>
  <c r="AK151" i="16" s="1"/>
  <c r="AK164" i="16"/>
  <c r="AK165" i="16" s="1"/>
  <c r="AK137" i="16"/>
  <c r="AK138" i="16" s="1"/>
  <c r="AK123" i="16"/>
  <c r="AK67" i="16"/>
  <c r="AK178" i="16" l="1"/>
  <c r="AK95" i="16"/>
  <c r="AK81" i="16"/>
  <c r="AI145" i="6"/>
  <c r="AI163" i="6"/>
  <c r="AV154" i="11"/>
  <c r="AV153" i="11"/>
  <c r="AK220" i="16" l="1"/>
  <c r="AK208" i="11"/>
  <c r="AK195" i="11"/>
  <c r="AK129" i="11"/>
  <c r="AK128" i="11"/>
  <c r="AK130" i="11"/>
  <c r="AK127" i="11" l="1"/>
  <c r="AK126" i="11"/>
  <c r="AK200" i="9" l="1"/>
  <c r="AK47" i="10"/>
  <c r="AK49" i="10"/>
  <c r="AK90" i="9" l="1"/>
  <c r="AK57" i="10" l="1"/>
  <c r="AT68" i="6" l="1"/>
  <c r="AJ67" i="9"/>
  <c r="AJ82" i="9"/>
  <c r="AJ97" i="9"/>
  <c r="I47" i="29" l="1"/>
  <c r="I46" i="29"/>
  <c r="K35" i="29"/>
  <c r="J35" i="29"/>
  <c r="K32" i="29"/>
  <c r="J32" i="29"/>
  <c r="F14" i="29"/>
  <c r="E14" i="29"/>
  <c r="G12" i="29"/>
  <c r="F9" i="29"/>
  <c r="E9" i="29"/>
  <c r="I8" i="29"/>
  <c r="I7" i="29"/>
  <c r="I6" i="29"/>
  <c r="I4" i="29"/>
  <c r="I5" i="29" s="1"/>
  <c r="AT155" i="9" l="1"/>
  <c r="AV155" i="9"/>
  <c r="AV84" i="9"/>
  <c r="AV99" i="9"/>
  <c r="AV68" i="9"/>
  <c r="AJ83" i="9"/>
  <c r="AK43" i="10"/>
  <c r="AL43" i="10" s="1"/>
  <c r="AL57" i="10"/>
  <c r="AM57" i="10"/>
  <c r="AN57" i="10"/>
  <c r="AO57" i="10"/>
  <c r="AP57" i="10"/>
  <c r="AQ57" i="10"/>
  <c r="AR57" i="10"/>
  <c r="AS57" i="10"/>
  <c r="AT57" i="10"/>
  <c r="AU57" i="10"/>
  <c r="AV57" i="10"/>
  <c r="AJ56" i="10"/>
  <c r="AJ55" i="10"/>
  <c r="AJ54" i="10"/>
  <c r="AJ53" i="10"/>
  <c r="AJ43" i="10"/>
  <c r="AJ42" i="10"/>
  <c r="AJ41" i="10"/>
  <c r="AJ40" i="10"/>
  <c r="AJ122" i="11"/>
  <c r="AJ98" i="11"/>
  <c r="AJ97" i="11"/>
  <c r="AJ96" i="11"/>
  <c r="AJ95" i="11"/>
  <c r="AJ84" i="11"/>
  <c r="AJ83" i="11"/>
  <c r="AJ82" i="11"/>
  <c r="AJ81" i="11"/>
  <c r="AJ71" i="11"/>
  <c r="AJ70" i="11"/>
  <c r="AJ69" i="11"/>
  <c r="AJ68" i="11"/>
  <c r="AJ57" i="11"/>
  <c r="AJ56" i="11"/>
  <c r="AJ55" i="11"/>
  <c r="AJ54" i="11"/>
  <c r="AH84" i="6"/>
  <c r="AF84" i="6" s="1"/>
  <c r="AJ84" i="6" s="1"/>
  <c r="AH83" i="6"/>
  <c r="AH82" i="6"/>
  <c r="AH81" i="6"/>
  <c r="AH70" i="6"/>
  <c r="AH69" i="6"/>
  <c r="AH68" i="6"/>
  <c r="AH67" i="6"/>
  <c r="AF47" i="1"/>
  <c r="AD47" i="1" s="1"/>
  <c r="AJ70" i="9"/>
  <c r="AJ69" i="9"/>
  <c r="AJ68" i="9"/>
  <c r="AJ74" i="16"/>
  <c r="AJ73" i="16"/>
  <c r="AJ72" i="16"/>
  <c r="AJ71" i="16"/>
  <c r="AJ60" i="16"/>
  <c r="AJ59" i="16"/>
  <c r="AJ58" i="16"/>
  <c r="AJ57" i="16"/>
  <c r="AH57" i="16" s="1"/>
  <c r="AF61" i="1"/>
  <c r="AF60" i="1"/>
  <c r="AF59" i="1"/>
  <c r="AF58" i="1"/>
  <c r="AF46" i="1"/>
  <c r="AF45" i="1"/>
  <c r="AF44" i="1"/>
  <c r="AD44" i="1" s="1"/>
  <c r="AF72" i="1"/>
  <c r="AH53" i="6"/>
  <c r="AF53" i="6" s="1"/>
  <c r="AJ190" i="9"/>
  <c r="AJ178" i="9"/>
  <c r="AJ177" i="9"/>
  <c r="AJ165" i="9"/>
  <c r="AJ124" i="9"/>
  <c r="AL77" i="9"/>
  <c r="AM77" i="9"/>
  <c r="AM185" i="9"/>
  <c r="AK186" i="9"/>
  <c r="AL186" i="9"/>
  <c r="AJ53" i="9"/>
  <c r="AH53" i="9" s="1"/>
  <c r="AJ54" i="9"/>
  <c r="AJ55" i="9"/>
  <c r="AH47" i="1" l="1"/>
  <c r="AV55" i="10" l="1"/>
  <c r="AV54" i="10"/>
  <c r="C13" i="5" l="1"/>
  <c r="AV128" i="16" l="1"/>
  <c r="AK223" i="11" l="1"/>
  <c r="AK224" i="11" s="1"/>
  <c r="AK157" i="11"/>
  <c r="AL157" i="11"/>
  <c r="AM157" i="11"/>
  <c r="AN157" i="11"/>
  <c r="AO157" i="11"/>
  <c r="AP157" i="11"/>
  <c r="AQ157" i="11"/>
  <c r="AR157" i="11"/>
  <c r="AS157" i="11"/>
  <c r="AT157" i="11"/>
  <c r="AU157" i="11"/>
  <c r="AV157" i="11"/>
  <c r="AK148" i="11"/>
  <c r="AL60" i="11"/>
  <c r="AV147" i="16" l="1"/>
  <c r="AP148" i="16"/>
  <c r="AM148" i="16"/>
  <c r="AN148" i="16"/>
  <c r="AO148" i="16"/>
  <c r="AL148" i="16"/>
  <c r="AM147" i="16"/>
  <c r="AN147" i="16"/>
  <c r="AO147" i="16"/>
  <c r="AP147" i="16"/>
  <c r="AV98" i="9" l="1"/>
  <c r="AL86" i="9"/>
  <c r="AK57" i="9"/>
  <c r="AL57" i="9" s="1"/>
  <c r="AP129" i="9"/>
  <c r="AQ129" i="9"/>
  <c r="AR129" i="9"/>
  <c r="AP130" i="9"/>
  <c r="AQ130" i="9"/>
  <c r="AR130" i="9"/>
  <c r="AV209" i="11"/>
  <c r="AU209" i="11"/>
  <c r="AT209" i="11"/>
  <c r="AS209" i="11"/>
  <c r="AR209" i="11"/>
  <c r="AQ209" i="11"/>
  <c r="AP209" i="11"/>
  <c r="AO209" i="11"/>
  <c r="AN209" i="11"/>
  <c r="AM209" i="11"/>
  <c r="AL209" i="11"/>
  <c r="AP208" i="11"/>
  <c r="AQ208" i="11"/>
  <c r="AR208" i="11"/>
  <c r="AS208" i="11"/>
  <c r="AT208" i="11"/>
  <c r="AU208" i="11"/>
  <c r="AV208" i="11"/>
  <c r="AK209" i="11"/>
  <c r="AV195" i="11"/>
  <c r="AU195" i="11"/>
  <c r="AT130" i="9"/>
  <c r="AU130" i="9"/>
  <c r="AV130" i="9"/>
  <c r="AV129" i="9"/>
  <c r="AV128" i="9" s="1"/>
  <c r="AV131" i="9" s="1"/>
  <c r="AV132" i="9" s="1"/>
  <c r="AV133" i="9" s="1"/>
  <c r="AU129" i="9"/>
  <c r="AT129" i="9"/>
  <c r="AV148" i="16"/>
  <c r="AV146" i="16" s="1"/>
  <c r="AV149" i="16" s="1"/>
  <c r="AV150" i="16" s="1"/>
  <c r="AV151" i="16" s="1"/>
  <c r="AU148" i="16"/>
  <c r="AT148" i="16"/>
  <c r="AS148" i="16"/>
  <c r="AU147" i="16"/>
  <c r="AT147" i="16"/>
  <c r="AS147" i="16"/>
  <c r="AR92" i="1"/>
  <c r="AR93" i="1"/>
  <c r="AS130" i="9"/>
  <c r="AS129" i="9"/>
  <c r="AU76" i="9"/>
  <c r="AU77" i="9" s="1"/>
  <c r="AT76" i="9"/>
  <c r="AT77" i="9" s="1"/>
  <c r="AS76" i="9"/>
  <c r="AS77" i="9" s="1"/>
  <c r="AR76" i="9"/>
  <c r="AR77" i="9" s="1"/>
  <c r="AQ76" i="9"/>
  <c r="AQ77" i="9" s="1"/>
  <c r="AP76" i="9"/>
  <c r="AP77" i="9" s="1"/>
  <c r="AO76" i="9"/>
  <c r="AO77" i="9" s="1"/>
  <c r="AN76" i="9"/>
  <c r="AN77" i="9" s="1"/>
  <c r="AR148" i="16"/>
  <c r="AR147" i="16"/>
  <c r="AP98" i="6"/>
  <c r="AN129" i="6"/>
  <c r="AQ148" i="16"/>
  <c r="AQ147" i="16"/>
  <c r="AK87" i="11"/>
  <c r="AK85" i="11" s="1"/>
  <c r="AN98" i="6"/>
  <c r="AP86" i="9"/>
  <c r="AP146" i="16"/>
  <c r="AM92" i="1"/>
  <c r="AL148" i="11"/>
  <c r="AM148" i="11"/>
  <c r="AN148" i="11"/>
  <c r="AN156" i="11" s="1"/>
  <c r="AO148" i="11"/>
  <c r="AO156" i="11" s="1"/>
  <c r="AQ148" i="11"/>
  <c r="AQ156" i="11" s="1"/>
  <c r="AR148" i="11"/>
  <c r="AS148" i="11"/>
  <c r="AT148" i="11"/>
  <c r="AT156" i="11" s="1"/>
  <c r="AU148" i="11"/>
  <c r="AU156" i="11" s="1"/>
  <c r="AV148" i="11"/>
  <c r="AV76" i="9"/>
  <c r="AV77" i="9" s="1"/>
  <c r="AO62" i="9"/>
  <c r="AO63" i="9" s="1"/>
  <c r="AP62" i="9"/>
  <c r="AP63" i="9" s="1"/>
  <c r="AQ62" i="9"/>
  <c r="AQ63" i="9" s="1"/>
  <c r="AR62" i="9"/>
  <c r="AR63" i="9" s="1"/>
  <c r="AS62" i="9"/>
  <c r="AS63" i="9" s="1"/>
  <c r="AT62" i="9"/>
  <c r="AT63" i="9" s="1"/>
  <c r="AU62" i="9"/>
  <c r="AU63" i="9" s="1"/>
  <c r="AV62" i="9"/>
  <c r="AV63" i="9" s="1"/>
  <c r="AO185" i="9"/>
  <c r="AO186" i="9" s="1"/>
  <c r="AP185" i="9"/>
  <c r="AP186" i="9" s="1"/>
  <c r="AQ185" i="9"/>
  <c r="AQ186" i="9" s="1"/>
  <c r="AR185" i="9"/>
  <c r="AR186" i="9" s="1"/>
  <c r="AS185" i="9"/>
  <c r="AS186" i="9" s="1"/>
  <c r="AT185" i="9"/>
  <c r="AT186" i="9" s="1"/>
  <c r="AU185" i="9"/>
  <c r="AU186" i="9" s="1"/>
  <c r="AO199" i="9"/>
  <c r="AO200" i="9" s="1"/>
  <c r="AP199" i="9"/>
  <c r="AP200" i="9" s="1"/>
  <c r="AQ199" i="9"/>
  <c r="AQ200" i="9" s="1"/>
  <c r="AR199" i="9"/>
  <c r="AR200" i="9" s="1"/>
  <c r="AS199" i="9"/>
  <c r="AS200" i="9" s="1"/>
  <c r="AT199" i="9"/>
  <c r="AT200" i="9" s="1"/>
  <c r="AU199" i="9"/>
  <c r="AU200" i="9" s="1"/>
  <c r="AV199" i="9"/>
  <c r="AV200" i="9" s="1"/>
  <c r="AN130" i="9"/>
  <c r="AN62" i="9"/>
  <c r="AN63" i="9" s="1"/>
  <c r="AN223" i="11"/>
  <c r="AN221" i="11" s="1"/>
  <c r="AO223" i="11"/>
  <c r="AO221" i="11" s="1"/>
  <c r="AV61" i="10"/>
  <c r="AV62" i="10" s="1"/>
  <c r="AM43" i="10"/>
  <c r="AN43" i="10" s="1"/>
  <c r="AO43" i="10" s="1"/>
  <c r="AP43" i="10" s="1"/>
  <c r="AQ43" i="10" s="1"/>
  <c r="AR43" i="10" s="1"/>
  <c r="AS43" i="10" s="1"/>
  <c r="AT43" i="10" s="1"/>
  <c r="AU43" i="10" s="1"/>
  <c r="AV43" i="10" s="1"/>
  <c r="AV47" i="10" s="1"/>
  <c r="AV48" i="10" s="1"/>
  <c r="AV49" i="10" s="1"/>
  <c r="AM130" i="9"/>
  <c r="AM129" i="9"/>
  <c r="AM113" i="9"/>
  <c r="AM86" i="9"/>
  <c r="AK98" i="6"/>
  <c r="AL223" i="11"/>
  <c r="AL221" i="11" s="1"/>
  <c r="AK221" i="11"/>
  <c r="AL147" i="16"/>
  <c r="AL146" i="16" s="1"/>
  <c r="AL129" i="9"/>
  <c r="AL130" i="9"/>
  <c r="AK63" i="9"/>
  <c r="AK130" i="9"/>
  <c r="AK129" i="9"/>
  <c r="AX148" i="16"/>
  <c r="AH39" i="10"/>
  <c r="AK39" i="10" s="1"/>
  <c r="AV40" i="10"/>
  <c r="AH40" i="10" s="1"/>
  <c r="AK40" i="10" s="1"/>
  <c r="AL40" i="10" s="1"/>
  <c r="AM40" i="10" s="1"/>
  <c r="AN40" i="10" s="1"/>
  <c r="AO40" i="10" s="1"/>
  <c r="AP40" i="10" s="1"/>
  <c r="AQ40" i="10" s="1"/>
  <c r="AR40" i="10" s="1"/>
  <c r="AS40" i="10" s="1"/>
  <c r="AT40" i="10" s="1"/>
  <c r="AU40" i="10" s="1"/>
  <c r="AV41" i="10"/>
  <c r="AH41" i="10" s="1"/>
  <c r="AK41" i="10" s="1"/>
  <c r="AL41" i="10" s="1"/>
  <c r="AM41" i="10" s="1"/>
  <c r="AN41" i="10" s="1"/>
  <c r="AO41" i="10" s="1"/>
  <c r="AP41" i="10" s="1"/>
  <c r="AQ41" i="10" s="1"/>
  <c r="AR41" i="10" s="1"/>
  <c r="AS41" i="10" s="1"/>
  <c r="AT41" i="10" s="1"/>
  <c r="AU41" i="10" s="1"/>
  <c r="AH53" i="10"/>
  <c r="AK53" i="10" s="1"/>
  <c r="AH56" i="10"/>
  <c r="AK56" i="10" s="1"/>
  <c r="AK53" i="9"/>
  <c r="AL53" i="9" s="1"/>
  <c r="AM53" i="9" s="1"/>
  <c r="AN53" i="9" s="1"/>
  <c r="AO53" i="9" s="1"/>
  <c r="AP53" i="9" s="1"/>
  <c r="AQ53" i="9" s="1"/>
  <c r="AR53" i="9" s="1"/>
  <c r="AS53" i="9" s="1"/>
  <c r="AT53" i="9" s="1"/>
  <c r="AU53" i="9" s="1"/>
  <c r="AV54" i="9"/>
  <c r="AV55" i="9"/>
  <c r="AJ56" i="9"/>
  <c r="AH56" i="9" s="1"/>
  <c r="AK56" i="9" s="1"/>
  <c r="AL56" i="9" s="1"/>
  <c r="AM56" i="9" s="1"/>
  <c r="AN56" i="9" s="1"/>
  <c r="AO56" i="9" s="1"/>
  <c r="AP56" i="9" s="1"/>
  <c r="AQ56" i="9" s="1"/>
  <c r="AR56" i="9" s="1"/>
  <c r="AS56" i="9" s="1"/>
  <c r="AT56" i="9" s="1"/>
  <c r="AU56" i="9" s="1"/>
  <c r="AK60" i="9"/>
  <c r="AL60" i="9"/>
  <c r="AM60" i="9"/>
  <c r="AN60" i="9"/>
  <c r="AO60" i="9"/>
  <c r="AP60" i="9"/>
  <c r="AQ60" i="9"/>
  <c r="AR60" i="9"/>
  <c r="AS60" i="9"/>
  <c r="AT60" i="9"/>
  <c r="AU60" i="9"/>
  <c r="AV60" i="9"/>
  <c r="AH67" i="9"/>
  <c r="AK67" i="9" s="1"/>
  <c r="AL67" i="9" s="1"/>
  <c r="AM67" i="9" s="1"/>
  <c r="AN67" i="9" s="1"/>
  <c r="AO67" i="9" s="1"/>
  <c r="AP67" i="9" s="1"/>
  <c r="AQ67" i="9" s="1"/>
  <c r="AR67" i="9" s="1"/>
  <c r="AS67" i="9" s="1"/>
  <c r="AT67" i="9" s="1"/>
  <c r="AU67" i="9" s="1"/>
  <c r="AH68" i="9"/>
  <c r="AK68" i="9" s="1"/>
  <c r="AL68" i="9" s="1"/>
  <c r="AM68" i="9" s="1"/>
  <c r="AN68" i="9" s="1"/>
  <c r="AO68" i="9" s="1"/>
  <c r="AP68" i="9" s="1"/>
  <c r="AQ68" i="9" s="1"/>
  <c r="AR68" i="9" s="1"/>
  <c r="AS68" i="9" s="1"/>
  <c r="AT68" i="9" s="1"/>
  <c r="AU68" i="9" s="1"/>
  <c r="AV69" i="9"/>
  <c r="AH69" i="9" s="1"/>
  <c r="AK69" i="9" s="1"/>
  <c r="AL69" i="9" s="1"/>
  <c r="AM69" i="9" s="1"/>
  <c r="AN69" i="9" s="1"/>
  <c r="AO69" i="9" s="1"/>
  <c r="AP69" i="9" s="1"/>
  <c r="AQ69" i="9" s="1"/>
  <c r="AR69" i="9" s="1"/>
  <c r="AS69" i="9" s="1"/>
  <c r="AT69" i="9" s="1"/>
  <c r="AU69" i="9" s="1"/>
  <c r="AH70" i="9"/>
  <c r="AK70" i="9" s="1"/>
  <c r="AL70" i="9" s="1"/>
  <c r="AM70" i="9" s="1"/>
  <c r="AN70" i="9" s="1"/>
  <c r="AO70" i="9" s="1"/>
  <c r="AP70" i="9" s="1"/>
  <c r="AQ70" i="9" s="1"/>
  <c r="AR70" i="9" s="1"/>
  <c r="AS70" i="9" s="1"/>
  <c r="AT70" i="9" s="1"/>
  <c r="AU70" i="9" s="1"/>
  <c r="AK71" i="9"/>
  <c r="AL71" i="9" s="1"/>
  <c r="AM71" i="9" s="1"/>
  <c r="AN71" i="9" s="1"/>
  <c r="AO71" i="9" s="1"/>
  <c r="AP71" i="9" s="1"/>
  <c r="AQ71" i="9" s="1"/>
  <c r="AR71" i="9" s="1"/>
  <c r="AS71" i="9" s="1"/>
  <c r="AT71" i="9" s="1"/>
  <c r="AU71" i="9" s="1"/>
  <c r="AV71" i="9" s="1"/>
  <c r="AK74" i="9"/>
  <c r="AL74" i="9"/>
  <c r="AM74" i="9"/>
  <c r="AN74" i="9"/>
  <c r="AO74" i="9"/>
  <c r="AP74" i="9"/>
  <c r="AQ74" i="9"/>
  <c r="AR74" i="9"/>
  <c r="AS74" i="9"/>
  <c r="AT74" i="9"/>
  <c r="AU74" i="9"/>
  <c r="AV74" i="9"/>
  <c r="AV83" i="9"/>
  <c r="AJ84" i="9"/>
  <c r="AJ85" i="9"/>
  <c r="AH85" i="9" s="1"/>
  <c r="AK85" i="9" s="1"/>
  <c r="AK86" i="9"/>
  <c r="AN86" i="9"/>
  <c r="AO86" i="9"/>
  <c r="AQ86" i="9"/>
  <c r="AR86" i="9"/>
  <c r="AS86" i="9"/>
  <c r="AT86" i="9"/>
  <c r="AU86" i="9"/>
  <c r="AV86" i="9"/>
  <c r="AV91" i="9" s="1"/>
  <c r="AV92" i="9" s="1"/>
  <c r="AV93" i="9" s="1"/>
  <c r="AK87" i="9"/>
  <c r="AL87" i="9"/>
  <c r="AM87" i="9"/>
  <c r="AN87" i="9"/>
  <c r="AO87" i="9"/>
  <c r="AP87" i="9"/>
  <c r="AQ87" i="9"/>
  <c r="AR87" i="9"/>
  <c r="AS87" i="9"/>
  <c r="AT87" i="9"/>
  <c r="AU87" i="9"/>
  <c r="AV87" i="9"/>
  <c r="AH97" i="9"/>
  <c r="AK97" i="9" s="1"/>
  <c r="AL97" i="9" s="1"/>
  <c r="AM97" i="9" s="1"/>
  <c r="AN97" i="9" s="1"/>
  <c r="AO97" i="9" s="1"/>
  <c r="AP97" i="9" s="1"/>
  <c r="AQ97" i="9" s="1"/>
  <c r="AR97" i="9" s="1"/>
  <c r="AS97" i="9" s="1"/>
  <c r="AT97" i="9" s="1"/>
  <c r="AU97" i="9" s="1"/>
  <c r="AJ98" i="9"/>
  <c r="AJ99" i="9"/>
  <c r="AJ100" i="9"/>
  <c r="AH100" i="9" s="1"/>
  <c r="AK100" i="9" s="1"/>
  <c r="AL100" i="9" s="1"/>
  <c r="AK102" i="9"/>
  <c r="AL102" i="9"/>
  <c r="AM102" i="9"/>
  <c r="AN102" i="9"/>
  <c r="AO102" i="9"/>
  <c r="AP102" i="9"/>
  <c r="AQ102" i="9"/>
  <c r="AR102" i="9"/>
  <c r="AS102" i="9"/>
  <c r="AT102" i="9"/>
  <c r="AU102" i="9"/>
  <c r="AV102" i="9"/>
  <c r="AK103" i="9"/>
  <c r="AL103" i="9"/>
  <c r="AM103" i="9"/>
  <c r="AN103" i="9"/>
  <c r="AO103" i="9"/>
  <c r="AP103" i="9"/>
  <c r="AQ103" i="9"/>
  <c r="AQ101" i="9" s="1"/>
  <c r="AR103" i="9"/>
  <c r="AS103" i="9"/>
  <c r="AT103" i="9"/>
  <c r="AU103" i="9"/>
  <c r="AV103" i="9"/>
  <c r="AJ109" i="9"/>
  <c r="AH109" i="9" s="1"/>
  <c r="AJ110" i="9"/>
  <c r="AV110" i="9"/>
  <c r="AJ111" i="9"/>
  <c r="AV111" i="9"/>
  <c r="AJ112" i="9"/>
  <c r="AH112" i="9" s="1"/>
  <c r="AK112" i="9" s="1"/>
  <c r="AK113" i="9"/>
  <c r="AL113" i="9"/>
  <c r="AN113" i="9"/>
  <c r="AO113" i="9"/>
  <c r="AP113" i="9"/>
  <c r="AQ113" i="9"/>
  <c r="AR113" i="9"/>
  <c r="AS113" i="9"/>
  <c r="AT113" i="9"/>
  <c r="AU113" i="9"/>
  <c r="AV113" i="9"/>
  <c r="AV118" i="9" s="1"/>
  <c r="AV119" i="9" s="1"/>
  <c r="AV120" i="9" s="1"/>
  <c r="AK114" i="9"/>
  <c r="AL114" i="9"/>
  <c r="AM114" i="9"/>
  <c r="AN114" i="9"/>
  <c r="AO114" i="9"/>
  <c r="AP114" i="9"/>
  <c r="AQ114" i="9"/>
  <c r="AR114" i="9"/>
  <c r="AS114" i="9"/>
  <c r="AT114" i="9"/>
  <c r="AU114" i="9"/>
  <c r="AV114" i="9"/>
  <c r="AH124" i="9"/>
  <c r="AJ125" i="9"/>
  <c r="AV125" i="9"/>
  <c r="AJ126" i="9"/>
  <c r="AV126" i="9"/>
  <c r="AJ127" i="9"/>
  <c r="AH127" i="9" s="1"/>
  <c r="AK127" i="9" s="1"/>
  <c r="AJ139" i="9"/>
  <c r="AH139" i="9" s="1"/>
  <c r="AK139" i="9" s="1"/>
  <c r="AJ140" i="9"/>
  <c r="AV140" i="9"/>
  <c r="AJ141" i="9"/>
  <c r="AV141" i="9"/>
  <c r="AJ142" i="9"/>
  <c r="AH142" i="9" s="1"/>
  <c r="AK142" i="9" s="1"/>
  <c r="AK143" i="9"/>
  <c r="AL143" i="9"/>
  <c r="AM143" i="9"/>
  <c r="AN143" i="9"/>
  <c r="AO143" i="9"/>
  <c r="AP143" i="9"/>
  <c r="AQ143" i="9"/>
  <c r="AR143" i="9"/>
  <c r="AS143" i="9"/>
  <c r="AT143" i="9"/>
  <c r="AU143" i="9"/>
  <c r="AV143" i="9"/>
  <c r="AV145" i="9" s="1"/>
  <c r="AV146" i="9" s="1"/>
  <c r="AV147" i="9" s="1"/>
  <c r="AJ151" i="9"/>
  <c r="AH151" i="9" s="1"/>
  <c r="AJ152" i="9"/>
  <c r="AV152" i="9"/>
  <c r="AJ153" i="9"/>
  <c r="AV153" i="9"/>
  <c r="AJ154" i="9"/>
  <c r="AH154" i="9" s="1"/>
  <c r="AK155" i="9"/>
  <c r="AL155" i="9"/>
  <c r="AM155" i="9"/>
  <c r="AN155" i="9"/>
  <c r="AO155" i="9"/>
  <c r="AP155" i="9"/>
  <c r="AQ155" i="9"/>
  <c r="AR155" i="9"/>
  <c r="AS155" i="9"/>
  <c r="AU155" i="9"/>
  <c r="AV158" i="9"/>
  <c r="AV159" i="9" s="1"/>
  <c r="AV160" i="9" s="1"/>
  <c r="AJ164" i="9"/>
  <c r="AH164" i="9" s="1"/>
  <c r="AK164" i="9"/>
  <c r="AL164" i="9"/>
  <c r="AM164" i="9"/>
  <c r="AN164" i="9"/>
  <c r="AO164" i="9"/>
  <c r="AP164" i="9"/>
  <c r="AQ164" i="9"/>
  <c r="AR164" i="9"/>
  <c r="AS164" i="9"/>
  <c r="AT164" i="9"/>
  <c r="AU164" i="9"/>
  <c r="AV165" i="9"/>
  <c r="AJ166" i="9"/>
  <c r="AV166" i="9"/>
  <c r="AJ167" i="9"/>
  <c r="AH167" i="9" s="1"/>
  <c r="AK168" i="9"/>
  <c r="AL168" i="9"/>
  <c r="AM168" i="9"/>
  <c r="AN168" i="9"/>
  <c r="AO168" i="9"/>
  <c r="AP168" i="9"/>
  <c r="AQ168" i="9"/>
  <c r="AR168" i="9"/>
  <c r="AS168" i="9"/>
  <c r="AT168" i="9"/>
  <c r="AU168" i="9"/>
  <c r="AV168" i="9"/>
  <c r="AV172" i="9" s="1"/>
  <c r="AV173" i="9" s="1"/>
  <c r="AV174" i="9" s="1"/>
  <c r="AH177" i="9"/>
  <c r="AK177" i="9" s="1"/>
  <c r="AL177" i="9" s="1"/>
  <c r="AM177" i="9" s="1"/>
  <c r="AN177" i="9" s="1"/>
  <c r="AO177" i="9" s="1"/>
  <c r="AP177" i="9" s="1"/>
  <c r="AQ177" i="9" s="1"/>
  <c r="AR177" i="9" s="1"/>
  <c r="AS177" i="9" s="1"/>
  <c r="AT177" i="9" s="1"/>
  <c r="AU177" i="9" s="1"/>
  <c r="AV178" i="9"/>
  <c r="AJ179" i="9"/>
  <c r="AV179" i="9"/>
  <c r="AJ180" i="9"/>
  <c r="AH180" i="9" s="1"/>
  <c r="AK180" i="9"/>
  <c r="AL180" i="9"/>
  <c r="AM180" i="9"/>
  <c r="AN180" i="9"/>
  <c r="AO180" i="9"/>
  <c r="AP180" i="9"/>
  <c r="AQ180" i="9"/>
  <c r="AR180" i="9"/>
  <c r="AS180" i="9"/>
  <c r="AT180" i="9"/>
  <c r="AU180" i="9"/>
  <c r="AK181" i="9"/>
  <c r="AL181" i="9"/>
  <c r="AM181" i="9"/>
  <c r="AN181" i="9"/>
  <c r="AN185" i="9"/>
  <c r="AN186" i="9" s="1"/>
  <c r="AO181" i="9"/>
  <c r="AP181" i="9"/>
  <c r="AQ181" i="9"/>
  <c r="AR181" i="9"/>
  <c r="AS181" i="9"/>
  <c r="AT181" i="9"/>
  <c r="AU181" i="9"/>
  <c r="AV181" i="9"/>
  <c r="AV185" i="9"/>
  <c r="AV186" i="9" s="1"/>
  <c r="AH190" i="9"/>
  <c r="AK190" i="9"/>
  <c r="AL190" i="9"/>
  <c r="AM190" i="9"/>
  <c r="AN190" i="9"/>
  <c r="AO190" i="9"/>
  <c r="AP190" i="9"/>
  <c r="AQ190" i="9"/>
  <c r="AR190" i="9"/>
  <c r="AS190" i="9"/>
  <c r="AT190" i="9"/>
  <c r="AU190" i="9"/>
  <c r="AJ191" i="9"/>
  <c r="AV191" i="9"/>
  <c r="AJ192" i="9"/>
  <c r="AV192" i="9"/>
  <c r="AJ193" i="9"/>
  <c r="AH193" i="9" s="1"/>
  <c r="AK193" i="9" s="1"/>
  <c r="AL193" i="9" s="1"/>
  <c r="AM193" i="9" s="1"/>
  <c r="AN193" i="9" s="1"/>
  <c r="AO193" i="9" s="1"/>
  <c r="AP193" i="9" s="1"/>
  <c r="AQ193" i="9" s="1"/>
  <c r="AR193" i="9" s="1"/>
  <c r="AS193" i="9" s="1"/>
  <c r="AT193" i="9" s="1"/>
  <c r="AU193" i="9" s="1"/>
  <c r="AK194" i="9"/>
  <c r="AL194" i="9"/>
  <c r="AM194" i="9"/>
  <c r="AN194" i="9"/>
  <c r="AO194" i="9"/>
  <c r="AP194" i="9"/>
  <c r="AQ194" i="9"/>
  <c r="AR194" i="9"/>
  <c r="AS194" i="9"/>
  <c r="AT194" i="9"/>
  <c r="AU194" i="9"/>
  <c r="AV194" i="9"/>
  <c r="AJ60" i="6"/>
  <c r="AK60" i="6"/>
  <c r="AL60" i="6"/>
  <c r="AM60" i="6"/>
  <c r="AN60" i="6"/>
  <c r="AO60" i="6"/>
  <c r="AP60" i="6"/>
  <c r="AQ60" i="6"/>
  <c r="AR60" i="6"/>
  <c r="AS60" i="6"/>
  <c r="AT60" i="6"/>
  <c r="AF67" i="6"/>
  <c r="AF68" i="6"/>
  <c r="AT69" i="6"/>
  <c r="AF69" i="6" s="1"/>
  <c r="AF70" i="6"/>
  <c r="AJ71" i="6"/>
  <c r="AK71" i="6" s="1"/>
  <c r="AL71" i="6" s="1"/>
  <c r="AM71" i="6" s="1"/>
  <c r="AN71" i="6" s="1"/>
  <c r="AO71" i="6" s="1"/>
  <c r="AP71" i="6" s="1"/>
  <c r="AQ71" i="6" s="1"/>
  <c r="AR71" i="6" s="1"/>
  <c r="AS71" i="6" s="1"/>
  <c r="AT71" i="6" s="1"/>
  <c r="AT75" i="6" s="1"/>
  <c r="AT76" i="6" s="1"/>
  <c r="AT77" i="6" s="1"/>
  <c r="AJ74" i="6"/>
  <c r="AK74" i="6"/>
  <c r="AL74" i="6"/>
  <c r="AM74" i="6"/>
  <c r="AN74" i="6"/>
  <c r="AO74" i="6"/>
  <c r="AP74" i="6"/>
  <c r="AQ74" i="6"/>
  <c r="AR74" i="6"/>
  <c r="AS74" i="6"/>
  <c r="AT74" i="6"/>
  <c r="AF81" i="6"/>
  <c r="AJ81" i="6" s="1"/>
  <c r="AT82" i="6"/>
  <c r="AF82" i="6" s="1"/>
  <c r="AJ82" i="6" s="1"/>
  <c r="AK82" i="6" s="1"/>
  <c r="AL82" i="6" s="1"/>
  <c r="AM82" i="6" s="1"/>
  <c r="AN82" i="6" s="1"/>
  <c r="AO82" i="6" s="1"/>
  <c r="AP82" i="6" s="1"/>
  <c r="AQ82" i="6" s="1"/>
  <c r="AR82" i="6" s="1"/>
  <c r="AS82" i="6" s="1"/>
  <c r="AT83" i="6"/>
  <c r="AF83" i="6" s="1"/>
  <c r="AJ83" i="6" s="1"/>
  <c r="AK83" i="6" s="1"/>
  <c r="AL83" i="6" s="1"/>
  <c r="AM83" i="6" s="1"/>
  <c r="AN83" i="6" s="1"/>
  <c r="AO83" i="6" s="1"/>
  <c r="AP83" i="6" s="1"/>
  <c r="AQ83" i="6" s="1"/>
  <c r="AR83" i="6" s="1"/>
  <c r="AS83" i="6" s="1"/>
  <c r="AJ85" i="6"/>
  <c r="AK85" i="6" s="1"/>
  <c r="AL85" i="6" s="1"/>
  <c r="AM85" i="6" s="1"/>
  <c r="AN85" i="6" s="1"/>
  <c r="AO85" i="6" s="1"/>
  <c r="AP85" i="6" s="1"/>
  <c r="AQ85" i="6" s="1"/>
  <c r="AR85" i="6" s="1"/>
  <c r="AS85" i="6" s="1"/>
  <c r="AT85" i="6" s="1"/>
  <c r="AT89" i="6" s="1"/>
  <c r="AT90" i="6" s="1"/>
  <c r="AT91" i="6" s="1"/>
  <c r="AJ88" i="6"/>
  <c r="AK88" i="6"/>
  <c r="AL88" i="6"/>
  <c r="AM88" i="6"/>
  <c r="AN88" i="6"/>
  <c r="AO88" i="6"/>
  <c r="AP88" i="6"/>
  <c r="AQ88" i="6"/>
  <c r="AR88" i="6"/>
  <c r="AS88" i="6"/>
  <c r="AT88" i="6"/>
  <c r="AH94" i="6"/>
  <c r="AF94" i="6" s="1"/>
  <c r="AJ94" i="6" s="1"/>
  <c r="AK94" i="6" s="1"/>
  <c r="AL94" i="6" s="1"/>
  <c r="AM94" i="6" s="1"/>
  <c r="AN94" i="6" s="1"/>
  <c r="AH95" i="6"/>
  <c r="AH96" i="6"/>
  <c r="AH97" i="6"/>
  <c r="AF97" i="6" s="1"/>
  <c r="AJ97" i="6"/>
  <c r="AK97" i="6"/>
  <c r="AL97" i="6"/>
  <c r="AM97" i="6"/>
  <c r="AN97" i="6"/>
  <c r="AO97" i="6"/>
  <c r="AP97" i="6"/>
  <c r="AQ97" i="6"/>
  <c r="AR97" i="6"/>
  <c r="AS97" i="6"/>
  <c r="AJ98" i="6"/>
  <c r="AL98" i="6"/>
  <c r="AM98" i="6"/>
  <c r="AO98" i="6"/>
  <c r="AQ98" i="6"/>
  <c r="AR98" i="6"/>
  <c r="AS98" i="6"/>
  <c r="AT98" i="6"/>
  <c r="AT103" i="6" s="1"/>
  <c r="AT104" i="6" s="1"/>
  <c r="AT105" i="6" s="1"/>
  <c r="AJ99" i="6"/>
  <c r="AK99" i="6"/>
  <c r="AL99" i="6"/>
  <c r="AM99" i="6"/>
  <c r="AN99" i="6"/>
  <c r="AO99" i="6"/>
  <c r="AP99" i="6"/>
  <c r="AQ99" i="6"/>
  <c r="AR99" i="6"/>
  <c r="AS99" i="6"/>
  <c r="AT99" i="6"/>
  <c r="AH109" i="6"/>
  <c r="AF109" i="6" s="1"/>
  <c r="AJ109" i="6" s="1"/>
  <c r="AK109" i="6" s="1"/>
  <c r="AL109" i="6" s="1"/>
  <c r="AM109" i="6" s="1"/>
  <c r="AN109" i="6" s="1"/>
  <c r="AO109" i="6" s="1"/>
  <c r="AH110" i="6"/>
  <c r="AT110" i="6"/>
  <c r="AH111" i="6"/>
  <c r="AT111" i="6"/>
  <c r="AH112" i="6"/>
  <c r="AF112" i="6" s="1"/>
  <c r="AJ112" i="6"/>
  <c r="AK112" i="6"/>
  <c r="AL112" i="6"/>
  <c r="AM112" i="6"/>
  <c r="AN112" i="6"/>
  <c r="AO112" i="6"/>
  <c r="AP112" i="6"/>
  <c r="AQ112" i="6"/>
  <c r="AR112" i="6"/>
  <c r="AS112" i="6"/>
  <c r="AJ114" i="6"/>
  <c r="AK114" i="6"/>
  <c r="AL114" i="6"/>
  <c r="AM114" i="6"/>
  <c r="AN114" i="6"/>
  <c r="AO114" i="6"/>
  <c r="AP114" i="6"/>
  <c r="AQ114" i="6"/>
  <c r="AR114" i="6"/>
  <c r="AS114" i="6"/>
  <c r="AT114" i="6"/>
  <c r="AJ115" i="6"/>
  <c r="AK115" i="6"/>
  <c r="AL115" i="6"/>
  <c r="AM115" i="6"/>
  <c r="AN115" i="6"/>
  <c r="AO115" i="6"/>
  <c r="AP115" i="6"/>
  <c r="AQ115" i="6"/>
  <c r="AR115" i="6"/>
  <c r="AM140" i="6" s="1"/>
  <c r="AS115" i="6"/>
  <c r="AT115" i="6"/>
  <c r="AH125" i="6"/>
  <c r="AF125" i="6" s="1"/>
  <c r="AJ125" i="6"/>
  <c r="AK125" i="6"/>
  <c r="AL125" i="6"/>
  <c r="AM125" i="6"/>
  <c r="AN125" i="6"/>
  <c r="AO125" i="6"/>
  <c r="AP125" i="6"/>
  <c r="AQ125" i="6"/>
  <c r="AR125" i="6"/>
  <c r="AS125" i="6"/>
  <c r="AH126" i="6"/>
  <c r="AH127" i="6"/>
  <c r="AH128" i="6"/>
  <c r="AF128" i="6" s="1"/>
  <c r="AJ129" i="6"/>
  <c r="AK129" i="6"/>
  <c r="AL129" i="6"/>
  <c r="AM129" i="6"/>
  <c r="AO129" i="6"/>
  <c r="AP129" i="6"/>
  <c r="AQ129" i="6"/>
  <c r="AR129" i="6"/>
  <c r="AS129" i="6"/>
  <c r="AT129" i="6"/>
  <c r="AT131" i="6" s="1"/>
  <c r="AT132" i="6" s="1"/>
  <c r="AT133" i="6" s="1"/>
  <c r="AH137" i="6"/>
  <c r="AF137" i="6" s="1"/>
  <c r="AJ137" i="6" s="1"/>
  <c r="AK137" i="6" s="1"/>
  <c r="AL137" i="6" s="1"/>
  <c r="AM137" i="6" s="1"/>
  <c r="AN137" i="6" s="1"/>
  <c r="AO137" i="6" s="1"/>
  <c r="AP137" i="6" s="1"/>
  <c r="AQ137" i="6" s="1"/>
  <c r="AR137" i="6" s="1"/>
  <c r="AS137" i="6" s="1"/>
  <c r="AH138" i="6"/>
  <c r="AH139" i="6"/>
  <c r="AF139" i="6" s="1"/>
  <c r="AJ139" i="6" s="1"/>
  <c r="AK139" i="6" s="1"/>
  <c r="AL139" i="6" s="1"/>
  <c r="AM139" i="6" s="1"/>
  <c r="AN139" i="6" s="1"/>
  <c r="AO139" i="6" s="1"/>
  <c r="AP139" i="6" s="1"/>
  <c r="AQ139" i="6" s="1"/>
  <c r="AR139" i="6" s="1"/>
  <c r="AS139" i="6" s="1"/>
  <c r="AH140" i="6"/>
  <c r="AF140" i="6" s="1"/>
  <c r="AJ141" i="6"/>
  <c r="AK141" i="6"/>
  <c r="AL141" i="6"/>
  <c r="AM141" i="6"/>
  <c r="AN141" i="6"/>
  <c r="AO141" i="6"/>
  <c r="AP141" i="6"/>
  <c r="AQ141" i="6"/>
  <c r="AR141" i="6"/>
  <c r="AS141" i="6"/>
  <c r="AT141" i="6"/>
  <c r="AT144" i="6" s="1"/>
  <c r="AT145" i="6" s="1"/>
  <c r="AT146" i="6" s="1"/>
  <c r="AH150" i="6"/>
  <c r="AF150" i="6" s="1"/>
  <c r="AJ150" i="6" s="1"/>
  <c r="AH151" i="6"/>
  <c r="AT151" i="6"/>
  <c r="AH152" i="6"/>
  <c r="AT152" i="6"/>
  <c r="AH153" i="6"/>
  <c r="AF153" i="6" s="1"/>
  <c r="AJ154" i="6"/>
  <c r="AK154" i="6"/>
  <c r="AL154" i="6"/>
  <c r="AM154" i="6"/>
  <c r="AN154" i="6"/>
  <c r="AO154" i="6"/>
  <c r="AP154" i="6"/>
  <c r="AQ154" i="6"/>
  <c r="AR154" i="6"/>
  <c r="AS154" i="6"/>
  <c r="AT154" i="6"/>
  <c r="AT158" i="6" s="1"/>
  <c r="AT159" i="6" s="1"/>
  <c r="AT160" i="6" s="1"/>
  <c r="AT163" i="6" s="1"/>
  <c r="AV58" i="16"/>
  <c r="AH58" i="16" s="1"/>
  <c r="AL58" i="16" s="1"/>
  <c r="AM58" i="16" s="1"/>
  <c r="AN58" i="16" s="1"/>
  <c r="AO58" i="16" s="1"/>
  <c r="AP58" i="16" s="1"/>
  <c r="AQ58" i="16" s="1"/>
  <c r="AR58" i="16" s="1"/>
  <c r="AS58" i="16" s="1"/>
  <c r="AT58" i="16" s="1"/>
  <c r="AU58" i="16" s="1"/>
  <c r="AV59" i="16"/>
  <c r="AH59" i="16" s="1"/>
  <c r="AL59" i="16" s="1"/>
  <c r="AM59" i="16" s="1"/>
  <c r="AN59" i="16" s="1"/>
  <c r="AO59" i="16" s="1"/>
  <c r="AP59" i="16" s="1"/>
  <c r="AQ59" i="16" s="1"/>
  <c r="AR59" i="16" s="1"/>
  <c r="AS59" i="16" s="1"/>
  <c r="AT59" i="16" s="1"/>
  <c r="AU59" i="16" s="1"/>
  <c r="AH60" i="16"/>
  <c r="AL60" i="16" s="1"/>
  <c r="AM60" i="16" s="1"/>
  <c r="AN60" i="16" s="1"/>
  <c r="AO60" i="16" s="1"/>
  <c r="AP60" i="16" s="1"/>
  <c r="AQ60" i="16" s="1"/>
  <c r="AR60" i="16" s="1"/>
  <c r="AS60" i="16" s="1"/>
  <c r="AT60" i="16" s="1"/>
  <c r="AU60" i="16" s="1"/>
  <c r="AL61" i="16"/>
  <c r="AM61" i="16" s="1"/>
  <c r="AN61" i="16" s="1"/>
  <c r="AO61" i="16" s="1"/>
  <c r="AP61" i="16" s="1"/>
  <c r="AQ61" i="16" s="1"/>
  <c r="AR61" i="16" s="1"/>
  <c r="AS61" i="16" s="1"/>
  <c r="AT61" i="16" s="1"/>
  <c r="AU61" i="16" s="1"/>
  <c r="AV61" i="16" s="1"/>
  <c r="AV65" i="16" s="1"/>
  <c r="AV66" i="16" s="1"/>
  <c r="AV67" i="16" s="1"/>
  <c r="AL64" i="16"/>
  <c r="AM64" i="16"/>
  <c r="AN64" i="16"/>
  <c r="AO64" i="16"/>
  <c r="AP64" i="16"/>
  <c r="AQ64" i="16"/>
  <c r="AR64" i="16"/>
  <c r="AS64" i="16"/>
  <c r="AT64" i="16"/>
  <c r="AU64" i="16"/>
  <c r="AV64" i="16"/>
  <c r="AH71" i="16"/>
  <c r="AL71" i="16" s="1"/>
  <c r="AM71" i="16" s="1"/>
  <c r="AN71" i="16" s="1"/>
  <c r="AO71" i="16" s="1"/>
  <c r="AP71" i="16" s="1"/>
  <c r="AV72" i="16"/>
  <c r="AH72" i="16" s="1"/>
  <c r="AL72" i="16" s="1"/>
  <c r="AM72" i="16" s="1"/>
  <c r="AN72" i="16" s="1"/>
  <c r="AO72" i="16" s="1"/>
  <c r="AP72" i="16" s="1"/>
  <c r="AQ72" i="16" s="1"/>
  <c r="AR72" i="16" s="1"/>
  <c r="AS72" i="16" s="1"/>
  <c r="AT72" i="16" s="1"/>
  <c r="AU72" i="16" s="1"/>
  <c r="AV73" i="16"/>
  <c r="AH73" i="16" s="1"/>
  <c r="AL73" i="16" s="1"/>
  <c r="AM73" i="16" s="1"/>
  <c r="AN73" i="16" s="1"/>
  <c r="AO73" i="16" s="1"/>
  <c r="AP73" i="16" s="1"/>
  <c r="AQ73" i="16" s="1"/>
  <c r="AR73" i="16" s="1"/>
  <c r="AS73" i="16" s="1"/>
  <c r="AT73" i="16" s="1"/>
  <c r="AU73" i="16" s="1"/>
  <c r="AL75" i="16"/>
  <c r="AM75" i="16" s="1"/>
  <c r="AL78" i="16"/>
  <c r="AM78" i="16"/>
  <c r="AN78" i="16"/>
  <c r="AO78" i="16"/>
  <c r="AP78" i="16"/>
  <c r="AQ78" i="16"/>
  <c r="AR78" i="16"/>
  <c r="AS78" i="16"/>
  <c r="AU78" i="16"/>
  <c r="AV78" i="16"/>
  <c r="AV86" i="16"/>
  <c r="AH86" i="16" s="1"/>
  <c r="AL86" i="16" s="1"/>
  <c r="AM86" i="16" s="1"/>
  <c r="AN86" i="16" s="1"/>
  <c r="AO86" i="16" s="1"/>
  <c r="AP86" i="16" s="1"/>
  <c r="AQ86" i="16" s="1"/>
  <c r="AR86" i="16" s="1"/>
  <c r="AS86" i="16" s="1"/>
  <c r="AT86" i="16" s="1"/>
  <c r="AU86" i="16" s="1"/>
  <c r="AV87" i="16"/>
  <c r="AH87" i="16" s="1"/>
  <c r="AL87" i="16" s="1"/>
  <c r="AM87" i="16" s="1"/>
  <c r="AN87" i="16" s="1"/>
  <c r="AO87" i="16" s="1"/>
  <c r="AP87" i="16" s="1"/>
  <c r="AQ87" i="16" s="1"/>
  <c r="AR87" i="16" s="1"/>
  <c r="AS87" i="16" s="1"/>
  <c r="AT87" i="16" s="1"/>
  <c r="AU87" i="16" s="1"/>
  <c r="AH88" i="16"/>
  <c r="AL88" i="16" s="1"/>
  <c r="AL89" i="16"/>
  <c r="AM89" i="16" s="1"/>
  <c r="AN89" i="16" s="1"/>
  <c r="AO89" i="16" s="1"/>
  <c r="AP89" i="16" s="1"/>
  <c r="AQ89" i="16" s="1"/>
  <c r="AL92" i="16"/>
  <c r="AM92" i="16"/>
  <c r="AN92" i="16"/>
  <c r="AO92" i="16"/>
  <c r="AP92" i="16"/>
  <c r="AQ92" i="16"/>
  <c r="AR92" i="16"/>
  <c r="AS92" i="16"/>
  <c r="AT92" i="16"/>
  <c r="AU92" i="16"/>
  <c r="AV92" i="16"/>
  <c r="AJ99" i="16"/>
  <c r="AH99" i="16" s="1"/>
  <c r="AJ100" i="16"/>
  <c r="AV100" i="16"/>
  <c r="AJ101" i="16"/>
  <c r="AV101" i="16"/>
  <c r="AJ102" i="16"/>
  <c r="AH102" i="16" s="1"/>
  <c r="AL103" i="16"/>
  <c r="AM103" i="16"/>
  <c r="AN103" i="16"/>
  <c r="AO103" i="16"/>
  <c r="AP103" i="16"/>
  <c r="AQ103" i="16"/>
  <c r="AR103" i="16"/>
  <c r="AS103" i="16"/>
  <c r="AT103" i="16"/>
  <c r="AU103" i="16"/>
  <c r="AV103" i="16"/>
  <c r="AV108" i="16" s="1"/>
  <c r="AV109" i="16" s="1"/>
  <c r="AV110" i="16" s="1"/>
  <c r="AL104" i="16"/>
  <c r="AM104" i="16"/>
  <c r="AN104" i="16"/>
  <c r="AO104" i="16"/>
  <c r="AP104" i="16"/>
  <c r="AQ104" i="16"/>
  <c r="AR104" i="16"/>
  <c r="AS104" i="16"/>
  <c r="AT104" i="16"/>
  <c r="AU104" i="16"/>
  <c r="AV104" i="16"/>
  <c r="AX105" i="16"/>
  <c r="AX106" i="16"/>
  <c r="AX107" i="16"/>
  <c r="AJ114" i="16"/>
  <c r="AH114" i="16" s="1"/>
  <c r="AL114" i="16" s="1"/>
  <c r="AM114" i="16" s="1"/>
  <c r="AN114" i="16" s="1"/>
  <c r="AO114" i="16" s="1"/>
  <c r="AP114" i="16" s="1"/>
  <c r="AQ114" i="16" s="1"/>
  <c r="AR114" i="16" s="1"/>
  <c r="AS114" i="16" s="1"/>
  <c r="AT114" i="16" s="1"/>
  <c r="AU114" i="16" s="1"/>
  <c r="AJ115" i="16"/>
  <c r="AV115" i="16"/>
  <c r="AJ116" i="16"/>
  <c r="AV116" i="16"/>
  <c r="AJ117" i="16"/>
  <c r="AH117" i="16" s="1"/>
  <c r="AL119" i="16"/>
  <c r="AM119" i="16"/>
  <c r="AN119" i="16"/>
  <c r="AO119" i="16"/>
  <c r="AP119" i="16"/>
  <c r="AQ119" i="16"/>
  <c r="AR119" i="16"/>
  <c r="AS119" i="16"/>
  <c r="AT119" i="16"/>
  <c r="AU119" i="16"/>
  <c r="AV119" i="16"/>
  <c r="AL120" i="16"/>
  <c r="AM120" i="16"/>
  <c r="AN120" i="16"/>
  <c r="AO120" i="16"/>
  <c r="AP120" i="16"/>
  <c r="AQ120" i="16"/>
  <c r="AR120" i="16"/>
  <c r="AS120" i="16"/>
  <c r="AT120" i="16"/>
  <c r="AU120" i="16"/>
  <c r="AV120" i="16"/>
  <c r="AJ127" i="16"/>
  <c r="AH127" i="16" s="1"/>
  <c r="AL127" i="16" s="1"/>
  <c r="AM127" i="16" s="1"/>
  <c r="AN127" i="16" s="1"/>
  <c r="AO127" i="16" s="1"/>
  <c r="AP127" i="16" s="1"/>
  <c r="AQ127" i="16" s="1"/>
  <c r="AR127" i="16" s="1"/>
  <c r="AS127" i="16" s="1"/>
  <c r="AT127" i="16" s="1"/>
  <c r="AU127" i="16" s="1"/>
  <c r="AJ128" i="16"/>
  <c r="AJ129" i="16"/>
  <c r="AV129" i="16"/>
  <c r="AJ130" i="16"/>
  <c r="AH130" i="16" s="1"/>
  <c r="AL130" i="16" s="1"/>
  <c r="AL131" i="16"/>
  <c r="AM131" i="16"/>
  <c r="AN131" i="16"/>
  <c r="AO131" i="16"/>
  <c r="AP131" i="16"/>
  <c r="AQ131" i="16"/>
  <c r="AR131" i="16"/>
  <c r="AS131" i="16"/>
  <c r="AT131" i="16"/>
  <c r="AU131" i="16"/>
  <c r="AV131" i="16"/>
  <c r="AV136" i="16" s="1"/>
  <c r="AV137" i="16" s="1"/>
  <c r="AV138" i="16" s="1"/>
  <c r="AL132" i="16"/>
  <c r="AM132" i="16"/>
  <c r="AN132" i="16"/>
  <c r="AO132" i="16"/>
  <c r="AP132" i="16"/>
  <c r="AQ132" i="16"/>
  <c r="AR132" i="16"/>
  <c r="AS132" i="16"/>
  <c r="AT132" i="16"/>
  <c r="AU132" i="16"/>
  <c r="AV132" i="16"/>
  <c r="AX133" i="16"/>
  <c r="AX134" i="16"/>
  <c r="AX135" i="16"/>
  <c r="AJ142" i="16"/>
  <c r="AH142" i="16" s="1"/>
  <c r="AJ143" i="16"/>
  <c r="AV143" i="16"/>
  <c r="AJ144" i="16"/>
  <c r="AV144" i="16"/>
  <c r="AJ145" i="16"/>
  <c r="AH145" i="16" s="1"/>
  <c r="AL145" i="16"/>
  <c r="AM145" i="16"/>
  <c r="AN145" i="16"/>
  <c r="AO145" i="16"/>
  <c r="AP145" i="16"/>
  <c r="AQ145" i="16"/>
  <c r="AR145" i="16"/>
  <c r="AS145" i="16"/>
  <c r="AT145" i="16"/>
  <c r="AU145" i="16"/>
  <c r="AM146" i="16"/>
  <c r="AN146" i="16"/>
  <c r="AO146" i="16"/>
  <c r="AJ157" i="16"/>
  <c r="AH157" i="16" s="1"/>
  <c r="AJ158" i="16"/>
  <c r="AV158" i="16"/>
  <c r="AJ159" i="16"/>
  <c r="AV159" i="16"/>
  <c r="AJ160" i="16"/>
  <c r="AH160" i="16" s="1"/>
  <c r="AO161" i="16"/>
  <c r="AQ161" i="16"/>
  <c r="AR161" i="16"/>
  <c r="AS161" i="16"/>
  <c r="AT161" i="16"/>
  <c r="AU161" i="16"/>
  <c r="AV161" i="16"/>
  <c r="AV163" i="16" s="1"/>
  <c r="AV164" i="16" s="1"/>
  <c r="AV165" i="16" s="1"/>
  <c r="AX162" i="16"/>
  <c r="AX163" i="16"/>
  <c r="AJ169" i="16"/>
  <c r="AH169" i="16" s="1"/>
  <c r="AJ170" i="16"/>
  <c r="AV170" i="16"/>
  <c r="AJ171" i="16"/>
  <c r="AV171" i="16"/>
  <c r="AJ172" i="16"/>
  <c r="AH172" i="16" s="1"/>
  <c r="AL172" i="16"/>
  <c r="AM172" i="16"/>
  <c r="AN172" i="16"/>
  <c r="AO172" i="16"/>
  <c r="AP172" i="16"/>
  <c r="AQ172" i="16"/>
  <c r="AR172" i="16"/>
  <c r="AS172" i="16"/>
  <c r="AT172" i="16"/>
  <c r="AU172" i="16"/>
  <c r="AL173" i="16"/>
  <c r="AM173" i="16"/>
  <c r="AN173" i="16"/>
  <c r="AO173" i="16"/>
  <c r="AP173" i="16"/>
  <c r="AQ173" i="16"/>
  <c r="AR173" i="16"/>
  <c r="AS173" i="16"/>
  <c r="AT173" i="16"/>
  <c r="AU173" i="16"/>
  <c r="AV173" i="16"/>
  <c r="AV176" i="16" s="1"/>
  <c r="AV177" i="16" s="1"/>
  <c r="AV178" i="16" s="1"/>
  <c r="AX174" i="16"/>
  <c r="AX175" i="16"/>
  <c r="AJ182" i="16"/>
  <c r="AH182" i="16" s="1"/>
  <c r="AL182" i="16"/>
  <c r="AM182" i="16"/>
  <c r="AN182" i="16"/>
  <c r="AO182" i="16"/>
  <c r="AP182" i="16"/>
  <c r="AQ182" i="16"/>
  <c r="AR182" i="16"/>
  <c r="AS182" i="16"/>
  <c r="AT182" i="16"/>
  <c r="AU182" i="16"/>
  <c r="AJ183" i="16"/>
  <c r="AV183" i="16"/>
  <c r="AJ184" i="16"/>
  <c r="AV184" i="16"/>
  <c r="AJ185" i="16"/>
  <c r="AH185" i="16" s="1"/>
  <c r="AL186" i="16"/>
  <c r="AM186" i="16"/>
  <c r="AN186" i="16"/>
  <c r="AO186" i="16"/>
  <c r="AP186" i="16"/>
  <c r="AQ186" i="16"/>
  <c r="AR186" i="16"/>
  <c r="AS186" i="16"/>
  <c r="AT186" i="16"/>
  <c r="AU186" i="16"/>
  <c r="AV186" i="16"/>
  <c r="AV190" i="16" s="1"/>
  <c r="AV191" i="16" s="1"/>
  <c r="AV192" i="16" s="1"/>
  <c r="AX187" i="16"/>
  <c r="AX188" i="16"/>
  <c r="AJ195" i="16"/>
  <c r="AH195" i="16" s="1"/>
  <c r="AL195" i="16" s="1"/>
  <c r="AJ196" i="16"/>
  <c r="AV196" i="16"/>
  <c r="AJ197" i="16"/>
  <c r="AV197" i="16"/>
  <c r="AJ198" i="16"/>
  <c r="AH198" i="16" s="1"/>
  <c r="AL198" i="16"/>
  <c r="AM198" i="16"/>
  <c r="AN198" i="16"/>
  <c r="AO198" i="16"/>
  <c r="AP198" i="16"/>
  <c r="AQ198" i="16"/>
  <c r="AR198" i="16"/>
  <c r="AS198" i="16"/>
  <c r="AT198" i="16"/>
  <c r="AU198" i="16"/>
  <c r="AL199" i="16"/>
  <c r="AM199" i="16"/>
  <c r="AN199" i="16"/>
  <c r="AO199" i="16"/>
  <c r="AP199" i="16"/>
  <c r="AQ199" i="16"/>
  <c r="AR199" i="16"/>
  <c r="AS199" i="16"/>
  <c r="AT199" i="16"/>
  <c r="AU199" i="16"/>
  <c r="AV199" i="16"/>
  <c r="AV202" i="16" s="1"/>
  <c r="AV203" i="16" s="1"/>
  <c r="AV204" i="16" s="1"/>
  <c r="AX200" i="16"/>
  <c r="AX201" i="16"/>
  <c r="AJ208" i="16"/>
  <c r="AH208" i="16" s="1"/>
  <c r="AL208" i="16"/>
  <c r="AM208" i="16"/>
  <c r="AN208" i="16"/>
  <c r="AO208" i="16"/>
  <c r="AP208" i="16"/>
  <c r="AQ208" i="16"/>
  <c r="AR208" i="16"/>
  <c r="AS208" i="16"/>
  <c r="AT208" i="16"/>
  <c r="AU208" i="16"/>
  <c r="AJ209" i="16"/>
  <c r="AV209" i="16"/>
  <c r="AJ210" i="16"/>
  <c r="AV210" i="16"/>
  <c r="AJ211" i="16"/>
  <c r="AH211" i="16" s="1"/>
  <c r="AL211" i="16" s="1"/>
  <c r="AL212" i="16"/>
  <c r="AM212" i="16"/>
  <c r="AN212" i="16"/>
  <c r="AO212" i="16"/>
  <c r="AP212" i="16"/>
  <c r="AQ212" i="16"/>
  <c r="AR212" i="16"/>
  <c r="AS212" i="16"/>
  <c r="AT212" i="16"/>
  <c r="AU212" i="16"/>
  <c r="AV212" i="16"/>
  <c r="AV216" i="16" s="1"/>
  <c r="AV217" i="16" s="1"/>
  <c r="AV218" i="16" s="1"/>
  <c r="AX213" i="16"/>
  <c r="AX214" i="16"/>
  <c r="AR45" i="1"/>
  <c r="AR46" i="1"/>
  <c r="AI47" i="1"/>
  <c r="AJ47" i="1" s="1"/>
  <c r="AK47" i="1" s="1"/>
  <c r="AL47" i="1" s="1"/>
  <c r="AM47" i="1" s="1"/>
  <c r="AN47" i="1" s="1"/>
  <c r="AO47" i="1" s="1"/>
  <c r="AP47" i="1" s="1"/>
  <c r="AQ47" i="1" s="1"/>
  <c r="AH48" i="1"/>
  <c r="AI48" i="1" s="1"/>
  <c r="AJ48" i="1" s="1"/>
  <c r="AK48" i="1" s="1"/>
  <c r="AL48" i="1" s="1"/>
  <c r="AM48" i="1" s="1"/>
  <c r="AN48" i="1" s="1"/>
  <c r="AO48" i="1" s="1"/>
  <c r="AP48" i="1" s="1"/>
  <c r="AQ48" i="1" s="1"/>
  <c r="AR48" i="1" s="1"/>
  <c r="AR52" i="1" s="1"/>
  <c r="AR53" i="1" s="1"/>
  <c r="AR54" i="1" s="1"/>
  <c r="AR141" i="1" s="1"/>
  <c r="AH51" i="1"/>
  <c r="AI51" i="1"/>
  <c r="AJ51" i="1"/>
  <c r="AK51" i="1"/>
  <c r="AL51" i="1"/>
  <c r="AM51" i="1"/>
  <c r="AN51" i="1"/>
  <c r="AO51" i="1"/>
  <c r="AP51" i="1"/>
  <c r="AQ51" i="1"/>
  <c r="AR51" i="1"/>
  <c r="AD58" i="1"/>
  <c r="AR59" i="1"/>
  <c r="AD59" i="1" s="1"/>
  <c r="AH59" i="1" s="1"/>
  <c r="AI59" i="1" s="1"/>
  <c r="AJ59" i="1" s="1"/>
  <c r="AK59" i="1" s="1"/>
  <c r="AL59" i="1" s="1"/>
  <c r="AM59" i="1" s="1"/>
  <c r="AN59" i="1" s="1"/>
  <c r="AO59" i="1" s="1"/>
  <c r="AP59" i="1" s="1"/>
  <c r="AQ59" i="1" s="1"/>
  <c r="AR60" i="1"/>
  <c r="AD60" i="1" s="1"/>
  <c r="AH60" i="1" s="1"/>
  <c r="AI60" i="1" s="1"/>
  <c r="AJ60" i="1" s="1"/>
  <c r="AK60" i="1" s="1"/>
  <c r="AL60" i="1" s="1"/>
  <c r="AM60" i="1" s="1"/>
  <c r="AN60" i="1" s="1"/>
  <c r="AO60" i="1" s="1"/>
  <c r="AP60" i="1" s="1"/>
  <c r="AQ60" i="1" s="1"/>
  <c r="AH62" i="1"/>
  <c r="AI62" i="1" s="1"/>
  <c r="AJ62" i="1" s="1"/>
  <c r="AK62" i="1" s="1"/>
  <c r="AL62" i="1" s="1"/>
  <c r="AH65" i="1"/>
  <c r="AI65" i="1"/>
  <c r="AJ65" i="1"/>
  <c r="AK65" i="1"/>
  <c r="AL65" i="1"/>
  <c r="AM65" i="1"/>
  <c r="AN65" i="1"/>
  <c r="AO65" i="1"/>
  <c r="AP65" i="1"/>
  <c r="AQ65" i="1"/>
  <c r="AR65" i="1"/>
  <c r="AD72" i="1"/>
  <c r="AH72" i="1" s="1"/>
  <c r="AF73" i="1"/>
  <c r="AR73" i="1"/>
  <c r="AF74" i="1"/>
  <c r="AR74" i="1"/>
  <c r="AF75" i="1"/>
  <c r="AD75" i="1" s="1"/>
  <c r="AH75" i="1"/>
  <c r="AI75" i="1"/>
  <c r="AJ75" i="1"/>
  <c r="AK75" i="1"/>
  <c r="AL75" i="1"/>
  <c r="AM75" i="1"/>
  <c r="AN75" i="1"/>
  <c r="AO75" i="1"/>
  <c r="AP75" i="1"/>
  <c r="AQ75" i="1"/>
  <c r="AH76" i="1"/>
  <c r="AI76" i="1"/>
  <c r="AJ76" i="1"/>
  <c r="AK76" i="1"/>
  <c r="AL76" i="1"/>
  <c r="AM76" i="1"/>
  <c r="AN76" i="1"/>
  <c r="AO76" i="1"/>
  <c r="AP76" i="1"/>
  <c r="AQ76" i="1"/>
  <c r="AR76" i="1"/>
  <c r="AR81" i="1" s="1"/>
  <c r="AR82" i="1" s="1"/>
  <c r="AR83" i="1" s="1"/>
  <c r="AH77" i="1"/>
  <c r="AI77" i="1"/>
  <c r="AJ77" i="1"/>
  <c r="AK77" i="1"/>
  <c r="AL77" i="1"/>
  <c r="AM77" i="1"/>
  <c r="AN77" i="1"/>
  <c r="AO77" i="1"/>
  <c r="AP77" i="1"/>
  <c r="AQ77" i="1"/>
  <c r="AR77" i="1"/>
  <c r="AF87" i="1"/>
  <c r="AF88" i="1"/>
  <c r="AR88" i="1"/>
  <c r="AF89" i="1"/>
  <c r="AR89" i="1"/>
  <c r="AF90" i="1"/>
  <c r="AD90" i="1" s="1"/>
  <c r="AH90" i="1"/>
  <c r="AI90" i="1"/>
  <c r="AJ90" i="1"/>
  <c r="AK90" i="1"/>
  <c r="AL90" i="1"/>
  <c r="AM90" i="1"/>
  <c r="AN90" i="1"/>
  <c r="AO90" i="1"/>
  <c r="AP90" i="1"/>
  <c r="AQ90" i="1"/>
  <c r="AH92" i="1"/>
  <c r="AI92" i="1"/>
  <c r="AJ92" i="1"/>
  <c r="AK92" i="1"/>
  <c r="AN92" i="1"/>
  <c r="AO92" i="1"/>
  <c r="AP92" i="1"/>
  <c r="AQ92" i="1"/>
  <c r="AH93" i="1"/>
  <c r="AI93" i="1"/>
  <c r="AJ93" i="1"/>
  <c r="AK93" i="1"/>
  <c r="AL93" i="1"/>
  <c r="AM93" i="1"/>
  <c r="AN93" i="1"/>
  <c r="AO93" i="1"/>
  <c r="AP93" i="1"/>
  <c r="AQ93" i="1"/>
  <c r="AF103" i="1"/>
  <c r="AD103" i="1" s="1"/>
  <c r="AH103" i="1"/>
  <c r="AI103" i="1"/>
  <c r="AJ103" i="1"/>
  <c r="AK103" i="1"/>
  <c r="AL103" i="1"/>
  <c r="AM103" i="1"/>
  <c r="AN103" i="1"/>
  <c r="AO103" i="1"/>
  <c r="AP103" i="1"/>
  <c r="AQ103" i="1"/>
  <c r="AF104" i="1"/>
  <c r="AR104" i="1"/>
  <c r="AF105" i="1"/>
  <c r="AR105" i="1"/>
  <c r="AF106" i="1"/>
  <c r="AD106" i="1" s="1"/>
  <c r="AL107" i="1"/>
  <c r="AM107" i="1"/>
  <c r="AN107" i="1"/>
  <c r="AO107" i="1"/>
  <c r="AP107" i="1"/>
  <c r="AQ107" i="1"/>
  <c r="AR107" i="1"/>
  <c r="AR109" i="1" s="1"/>
  <c r="AR110" i="1" s="1"/>
  <c r="AR111" i="1" s="1"/>
  <c r="AF115" i="1"/>
  <c r="AD115" i="1" s="1"/>
  <c r="AF116" i="1"/>
  <c r="AR116" i="1"/>
  <c r="AF117" i="1"/>
  <c r="AR117" i="1"/>
  <c r="AF118" i="1"/>
  <c r="AD118" i="1" s="1"/>
  <c r="AH118" i="1"/>
  <c r="AI118" i="1"/>
  <c r="AJ118" i="1"/>
  <c r="AK118" i="1"/>
  <c r="AL118" i="1"/>
  <c r="AM118" i="1"/>
  <c r="AN118" i="1"/>
  <c r="AO118" i="1"/>
  <c r="AP118" i="1"/>
  <c r="AQ118" i="1"/>
  <c r="AH119" i="1"/>
  <c r="AI119" i="1"/>
  <c r="AJ119" i="1"/>
  <c r="AK119" i="1"/>
  <c r="AL119" i="1"/>
  <c r="AM119" i="1"/>
  <c r="AN119" i="1"/>
  <c r="AO119" i="1"/>
  <c r="AP119" i="1"/>
  <c r="AQ119" i="1"/>
  <c r="AR119" i="1"/>
  <c r="AR122" i="1" s="1"/>
  <c r="AR123" i="1" s="1"/>
  <c r="AR124" i="1" s="1"/>
  <c r="AF128" i="1"/>
  <c r="AD128" i="1" s="1"/>
  <c r="AF129" i="1"/>
  <c r="AR129" i="1"/>
  <c r="AF130" i="1"/>
  <c r="AR130" i="1"/>
  <c r="AF131" i="1"/>
  <c r="AD131" i="1" s="1"/>
  <c r="AH132" i="1"/>
  <c r="AI132" i="1"/>
  <c r="AJ132" i="1"/>
  <c r="AK132" i="1"/>
  <c r="AL132" i="1"/>
  <c r="AM132" i="1"/>
  <c r="AN132" i="1"/>
  <c r="AO132" i="1"/>
  <c r="AP132" i="1"/>
  <c r="AQ132" i="1"/>
  <c r="AR132" i="1"/>
  <c r="AR136" i="1" s="1"/>
  <c r="AR137" i="1" s="1"/>
  <c r="AR138" i="1" s="1"/>
  <c r="AH54" i="11"/>
  <c r="AK54" i="11" s="1"/>
  <c r="AL54" i="11" s="1"/>
  <c r="AM54" i="11" s="1"/>
  <c r="AN54" i="11" s="1"/>
  <c r="AO54" i="11" s="1"/>
  <c r="AP54" i="11" s="1"/>
  <c r="AQ54" i="11" s="1"/>
  <c r="AR54" i="11" s="1"/>
  <c r="AS54" i="11" s="1"/>
  <c r="AT54" i="11" s="1"/>
  <c r="AU54" i="11" s="1"/>
  <c r="AV55" i="11"/>
  <c r="AH55" i="11" s="1"/>
  <c r="AK55" i="11" s="1"/>
  <c r="AL55" i="11" s="1"/>
  <c r="AM55" i="11" s="1"/>
  <c r="AN55" i="11" s="1"/>
  <c r="AO55" i="11" s="1"/>
  <c r="AP55" i="11" s="1"/>
  <c r="AQ55" i="11" s="1"/>
  <c r="AR55" i="11" s="1"/>
  <c r="AS55" i="11" s="1"/>
  <c r="AT55" i="11" s="1"/>
  <c r="AU55" i="11" s="1"/>
  <c r="AV56" i="11"/>
  <c r="AH56" i="11" s="1"/>
  <c r="AK56" i="11" s="1"/>
  <c r="AL56" i="11" s="1"/>
  <c r="AM56" i="11" s="1"/>
  <c r="AN56" i="11" s="1"/>
  <c r="AO56" i="11" s="1"/>
  <c r="AP56" i="11" s="1"/>
  <c r="AQ56" i="11" s="1"/>
  <c r="AR56" i="11" s="1"/>
  <c r="AS56" i="11" s="1"/>
  <c r="AT56" i="11" s="1"/>
  <c r="AU56" i="11" s="1"/>
  <c r="AK60" i="11"/>
  <c r="AK61" i="11" s="1"/>
  <c r="AL61" i="11"/>
  <c r="AM60" i="11"/>
  <c r="AM61" i="11" s="1"/>
  <c r="AN60" i="11"/>
  <c r="AN61" i="11" s="1"/>
  <c r="AO60" i="11"/>
  <c r="AO61" i="11" s="1"/>
  <c r="AP60" i="11"/>
  <c r="AP61" i="11" s="1"/>
  <c r="AQ60" i="11"/>
  <c r="AQ61" i="11" s="1"/>
  <c r="AR60" i="11"/>
  <c r="AR61" i="11" s="1"/>
  <c r="AS60" i="11"/>
  <c r="AS61" i="11" s="1"/>
  <c r="AT60" i="11"/>
  <c r="AT61" i="11" s="1"/>
  <c r="AU60" i="11"/>
  <c r="AU61" i="11" s="1"/>
  <c r="AV60" i="11"/>
  <c r="AV61" i="11" s="1"/>
  <c r="AH68" i="11"/>
  <c r="AK68" i="11" s="1"/>
  <c r="AL68" i="11" s="1"/>
  <c r="AM68" i="11" s="1"/>
  <c r="AN68" i="11" s="1"/>
  <c r="AO68" i="11" s="1"/>
  <c r="AP68" i="11" s="1"/>
  <c r="AQ68" i="11" s="1"/>
  <c r="AR68" i="11" s="1"/>
  <c r="AS68" i="11" s="1"/>
  <c r="AT68" i="11" s="1"/>
  <c r="AU68" i="11" s="1"/>
  <c r="AV69" i="11"/>
  <c r="AH69" i="11" s="1"/>
  <c r="AK69" i="11" s="1"/>
  <c r="AL69" i="11" s="1"/>
  <c r="AM69" i="11" s="1"/>
  <c r="AN69" i="11" s="1"/>
  <c r="AO69" i="11" s="1"/>
  <c r="AP69" i="11" s="1"/>
  <c r="AQ69" i="11" s="1"/>
  <c r="AR69" i="11" s="1"/>
  <c r="AS69" i="11" s="1"/>
  <c r="AT69" i="11" s="1"/>
  <c r="AU69" i="11" s="1"/>
  <c r="AV70" i="11"/>
  <c r="AH70" i="11" s="1"/>
  <c r="AK70" i="11" s="1"/>
  <c r="AL70" i="11" s="1"/>
  <c r="AM70" i="11" s="1"/>
  <c r="AN70" i="11" s="1"/>
  <c r="AO70" i="11" s="1"/>
  <c r="AP70" i="11" s="1"/>
  <c r="AQ70" i="11" s="1"/>
  <c r="AR70" i="11" s="1"/>
  <c r="AS70" i="11" s="1"/>
  <c r="AT70" i="11" s="1"/>
  <c r="AU70" i="11" s="1"/>
  <c r="AH71" i="11"/>
  <c r="AK71" i="11" s="1"/>
  <c r="AL71" i="11" s="1"/>
  <c r="AM71" i="11" s="1"/>
  <c r="AN71" i="11" s="1"/>
  <c r="AO71" i="11" s="1"/>
  <c r="AP71" i="11" s="1"/>
  <c r="AQ71" i="11" s="1"/>
  <c r="AR71" i="11" s="1"/>
  <c r="AS71" i="11" s="1"/>
  <c r="AT71" i="11" s="1"/>
  <c r="AU71" i="11" s="1"/>
  <c r="AK74" i="11"/>
  <c r="AK75" i="11" s="1"/>
  <c r="AL74" i="11"/>
  <c r="AL75" i="11" s="1"/>
  <c r="AM74" i="11"/>
  <c r="AM75" i="11" s="1"/>
  <c r="AN74" i="11"/>
  <c r="AN75" i="11" s="1"/>
  <c r="AO74" i="11"/>
  <c r="AO75" i="11" s="1"/>
  <c r="AP74" i="11"/>
  <c r="AP75" i="11" s="1"/>
  <c r="AQ74" i="11"/>
  <c r="AQ75" i="11" s="1"/>
  <c r="AR74" i="11"/>
  <c r="AR75" i="11" s="1"/>
  <c r="AS74" i="11"/>
  <c r="AS75" i="11" s="1"/>
  <c r="AT74" i="11"/>
  <c r="AT75" i="11" s="1"/>
  <c r="AU74" i="11"/>
  <c r="AU75" i="11" s="1"/>
  <c r="AV74" i="11"/>
  <c r="AV75" i="11" s="1"/>
  <c r="AH81" i="11"/>
  <c r="AK81" i="11" s="1"/>
  <c r="AL81" i="11" s="1"/>
  <c r="AM81" i="11" s="1"/>
  <c r="AN81" i="11" s="1"/>
  <c r="AO81" i="11" s="1"/>
  <c r="AP81" i="11" s="1"/>
  <c r="AQ81" i="11" s="1"/>
  <c r="AR81" i="11" s="1"/>
  <c r="AS81" i="11" s="1"/>
  <c r="AT81" i="11" s="1"/>
  <c r="AU81" i="11" s="1"/>
  <c r="AV82" i="11"/>
  <c r="AH82" i="11" s="1"/>
  <c r="AK82" i="11" s="1"/>
  <c r="AL82" i="11" s="1"/>
  <c r="AM82" i="11" s="1"/>
  <c r="AN82" i="11" s="1"/>
  <c r="AO82" i="11" s="1"/>
  <c r="AP82" i="11" s="1"/>
  <c r="AQ82" i="11" s="1"/>
  <c r="AR82" i="11" s="1"/>
  <c r="AS82" i="11" s="1"/>
  <c r="AT82" i="11" s="1"/>
  <c r="AU82" i="11" s="1"/>
  <c r="AV83" i="11"/>
  <c r="AH83" i="11" s="1"/>
  <c r="AK83" i="11" s="1"/>
  <c r="AL83" i="11" s="1"/>
  <c r="AM83" i="11" s="1"/>
  <c r="AN83" i="11" s="1"/>
  <c r="AO83" i="11" s="1"/>
  <c r="AP83" i="11" s="1"/>
  <c r="AQ83" i="11" s="1"/>
  <c r="AR83" i="11" s="1"/>
  <c r="AS83" i="11" s="1"/>
  <c r="AT83" i="11" s="1"/>
  <c r="AU83" i="11" s="1"/>
  <c r="AH84" i="11"/>
  <c r="AK84" i="11" s="1"/>
  <c r="AL84" i="11" s="1"/>
  <c r="AM84" i="11" s="1"/>
  <c r="AN84" i="11" s="1"/>
  <c r="AO84" i="11" s="1"/>
  <c r="AP84" i="11" s="1"/>
  <c r="AQ84" i="11" s="1"/>
  <c r="AR84" i="11" s="1"/>
  <c r="AS84" i="11" s="1"/>
  <c r="AT84" i="11" s="1"/>
  <c r="AU84" i="11" s="1"/>
  <c r="AL87" i="11"/>
  <c r="AL88" i="11" s="1"/>
  <c r="AM87" i="11"/>
  <c r="AM88" i="11" s="1"/>
  <c r="AN87" i="11"/>
  <c r="AN88" i="11" s="1"/>
  <c r="AO87" i="11"/>
  <c r="AO88" i="11" s="1"/>
  <c r="AP87" i="11"/>
  <c r="AP88" i="11" s="1"/>
  <c r="AQ87" i="11"/>
  <c r="AQ88" i="11" s="1"/>
  <c r="AR87" i="11"/>
  <c r="AR88" i="11" s="1"/>
  <c r="AS87" i="11"/>
  <c r="AS88" i="11" s="1"/>
  <c r="AT87" i="11"/>
  <c r="AT88" i="11" s="1"/>
  <c r="AU87" i="11"/>
  <c r="AU88" i="11" s="1"/>
  <c r="AV87" i="11"/>
  <c r="AV88" i="11" s="1"/>
  <c r="AH95" i="11"/>
  <c r="AK95" i="11" s="1"/>
  <c r="AL95" i="11" s="1"/>
  <c r="AM95" i="11" s="1"/>
  <c r="AN95" i="11" s="1"/>
  <c r="AO95" i="11" s="1"/>
  <c r="AP95" i="11" s="1"/>
  <c r="AQ95" i="11" s="1"/>
  <c r="AR95" i="11" s="1"/>
  <c r="AS95" i="11" s="1"/>
  <c r="AT95" i="11" s="1"/>
  <c r="AU95" i="11" s="1"/>
  <c r="AV96" i="11"/>
  <c r="AH98" i="11"/>
  <c r="AK98" i="11"/>
  <c r="AL98" i="11"/>
  <c r="AM98" i="11"/>
  <c r="AN98" i="11"/>
  <c r="AO98" i="11"/>
  <c r="AP98" i="11"/>
  <c r="AQ98" i="11"/>
  <c r="AR98" i="11"/>
  <c r="AS98" i="11"/>
  <c r="AT98" i="11"/>
  <c r="AU98" i="11"/>
  <c r="AK101" i="11"/>
  <c r="AK115" i="11" s="1"/>
  <c r="AL101" i="11"/>
  <c r="AL115" i="11" s="1"/>
  <c r="AM101" i="11"/>
  <c r="AM115" i="11" s="1"/>
  <c r="AN101" i="11"/>
  <c r="AN115" i="11" s="1"/>
  <c r="AO101" i="11"/>
  <c r="AP101" i="11"/>
  <c r="AP115" i="11" s="1"/>
  <c r="AQ101" i="11"/>
  <c r="AR101" i="11"/>
  <c r="AR115" i="11" s="1"/>
  <c r="AS101" i="11"/>
  <c r="AS115" i="11" s="1"/>
  <c r="AT101" i="11"/>
  <c r="AT115" i="11" s="1"/>
  <c r="AU101" i="11"/>
  <c r="AU115" i="11" s="1"/>
  <c r="AV101" i="11"/>
  <c r="AV115" i="11" s="1"/>
  <c r="AK102" i="11"/>
  <c r="AK116" i="11" s="1"/>
  <c r="AL102" i="11"/>
  <c r="AL116" i="11" s="1"/>
  <c r="AM102" i="11"/>
  <c r="AM116" i="11" s="1"/>
  <c r="AN102" i="11"/>
  <c r="AN116" i="11" s="1"/>
  <c r="AO102" i="11"/>
  <c r="AO116" i="11" s="1"/>
  <c r="AP102" i="11"/>
  <c r="AP116" i="11" s="1"/>
  <c r="AQ102" i="11"/>
  <c r="AQ116" i="11" s="1"/>
  <c r="AR102" i="11"/>
  <c r="AR116" i="11" s="1"/>
  <c r="AS102" i="11"/>
  <c r="AT102" i="11"/>
  <c r="AT116" i="11" s="1"/>
  <c r="AU102" i="11"/>
  <c r="AU116" i="11" s="1"/>
  <c r="AV102" i="11"/>
  <c r="AV116" i="11" s="1"/>
  <c r="AK103" i="11"/>
  <c r="AL103" i="11"/>
  <c r="AM103" i="11"/>
  <c r="AN103" i="11"/>
  <c r="AO103" i="11"/>
  <c r="AP103" i="11"/>
  <c r="AQ103" i="11"/>
  <c r="AR103" i="11"/>
  <c r="AS103" i="11"/>
  <c r="AT103" i="11"/>
  <c r="AU103" i="11"/>
  <c r="AV103" i="11"/>
  <c r="AJ110" i="11"/>
  <c r="AH110" i="11" s="1"/>
  <c r="AK110" i="11" s="1"/>
  <c r="AL110" i="11" s="1"/>
  <c r="AM110" i="11" s="1"/>
  <c r="AN110" i="11" s="1"/>
  <c r="AO110" i="11" s="1"/>
  <c r="AJ111" i="11"/>
  <c r="AV111" i="11"/>
  <c r="AJ112" i="11"/>
  <c r="AJ113" i="11"/>
  <c r="AH113" i="11" s="1"/>
  <c r="AK113" i="11"/>
  <c r="AL113" i="11"/>
  <c r="AM113" i="11"/>
  <c r="AN113" i="11"/>
  <c r="AO113" i="11"/>
  <c r="AP113" i="11"/>
  <c r="AQ113" i="11"/>
  <c r="AR113" i="11"/>
  <c r="AS113" i="11"/>
  <c r="AT113" i="11"/>
  <c r="AU113" i="11"/>
  <c r="AJ123" i="11"/>
  <c r="AV123" i="11"/>
  <c r="AJ124" i="11"/>
  <c r="AJ125" i="11"/>
  <c r="AH125" i="11" s="1"/>
  <c r="AK125" i="11"/>
  <c r="AL125" i="11"/>
  <c r="AM125" i="11"/>
  <c r="AN125" i="11"/>
  <c r="AO125" i="11"/>
  <c r="AP125" i="11"/>
  <c r="AQ125" i="11"/>
  <c r="AR125" i="11"/>
  <c r="AS125" i="11"/>
  <c r="AT125" i="11"/>
  <c r="AU125" i="11"/>
  <c r="AK142" i="11"/>
  <c r="AL142" i="11"/>
  <c r="AM142" i="11"/>
  <c r="AN142" i="11"/>
  <c r="AP128" i="11"/>
  <c r="AP142" i="11" s="1"/>
  <c r="AQ128" i="11"/>
  <c r="AQ142" i="11" s="1"/>
  <c r="AR128" i="11"/>
  <c r="AR142" i="11" s="1"/>
  <c r="AS128" i="11"/>
  <c r="AS142" i="11" s="1"/>
  <c r="AT128" i="11"/>
  <c r="AT142" i="11" s="1"/>
  <c r="AU128" i="11"/>
  <c r="AU142" i="11" s="1"/>
  <c r="AV128" i="11"/>
  <c r="AV142" i="11" s="1"/>
  <c r="AK143" i="11"/>
  <c r="AL143" i="11"/>
  <c r="AM143" i="11"/>
  <c r="AO143" i="11"/>
  <c r="AP129" i="11"/>
  <c r="AP143" i="11" s="1"/>
  <c r="AQ129" i="11"/>
  <c r="AQ143" i="11" s="1"/>
  <c r="AR129" i="11"/>
  <c r="AR143" i="11" s="1"/>
  <c r="AS129" i="11"/>
  <c r="AS143" i="11" s="1"/>
  <c r="AT129" i="11"/>
  <c r="AT143" i="11" s="1"/>
  <c r="AU129" i="11"/>
  <c r="AU143" i="11" s="1"/>
  <c r="AV129" i="11"/>
  <c r="AV143" i="11" s="1"/>
  <c r="AM130" i="11"/>
  <c r="AN130" i="11"/>
  <c r="AO130" i="11"/>
  <c r="AP130" i="11"/>
  <c r="AQ130" i="11"/>
  <c r="AR130" i="11"/>
  <c r="AS130" i="11"/>
  <c r="AT130" i="11"/>
  <c r="AU130" i="11"/>
  <c r="AV130" i="11"/>
  <c r="AJ137" i="11"/>
  <c r="AH137" i="11" s="1"/>
  <c r="AJ138" i="11"/>
  <c r="AV138" i="11"/>
  <c r="AJ139" i="11"/>
  <c r="AJ140" i="11"/>
  <c r="AH140" i="11" s="1"/>
  <c r="AK140" i="11"/>
  <c r="AL140" i="11"/>
  <c r="AM140" i="11"/>
  <c r="AN140" i="11"/>
  <c r="AO140" i="11"/>
  <c r="AP140" i="11"/>
  <c r="AQ140" i="11"/>
  <c r="AR140" i="11"/>
  <c r="AS140" i="11"/>
  <c r="AT140" i="11"/>
  <c r="AU140" i="11"/>
  <c r="AJ152" i="11"/>
  <c r="AH152" i="11" s="1"/>
  <c r="AJ153" i="11"/>
  <c r="AJ154" i="11"/>
  <c r="AJ155" i="11"/>
  <c r="AH155" i="11" s="1"/>
  <c r="AK155" i="11" s="1"/>
  <c r="AL155" i="11" s="1"/>
  <c r="AM155" i="11" s="1"/>
  <c r="AN155" i="11" s="1"/>
  <c r="AO155" i="11" s="1"/>
  <c r="AP155" i="11" s="1"/>
  <c r="AQ155" i="11" s="1"/>
  <c r="AR155" i="11" s="1"/>
  <c r="AS155" i="11" s="1"/>
  <c r="AT155" i="11" s="1"/>
  <c r="AU155" i="11" s="1"/>
  <c r="AJ164" i="11"/>
  <c r="AJ165" i="11"/>
  <c r="AV165" i="11"/>
  <c r="AJ166" i="11"/>
  <c r="AV166" i="11"/>
  <c r="AJ167" i="11"/>
  <c r="AH167" i="11" s="1"/>
  <c r="AK167" i="11"/>
  <c r="AL167" i="11"/>
  <c r="AM167" i="11"/>
  <c r="AN167" i="11"/>
  <c r="AO167" i="11"/>
  <c r="AP167" i="11"/>
  <c r="AQ167" i="11"/>
  <c r="AR167" i="11"/>
  <c r="AS167" i="11"/>
  <c r="AT167" i="11"/>
  <c r="AU167" i="11"/>
  <c r="AK169" i="11"/>
  <c r="AL169" i="11"/>
  <c r="AM169" i="11"/>
  <c r="AN169" i="11"/>
  <c r="AO169" i="11"/>
  <c r="AP169" i="11"/>
  <c r="AQ169" i="11"/>
  <c r="AR169" i="11"/>
  <c r="AS169" i="11"/>
  <c r="AT169" i="11"/>
  <c r="AU169" i="11"/>
  <c r="AV169" i="11"/>
  <c r="AK170" i="11"/>
  <c r="AL170" i="11"/>
  <c r="AM170" i="11"/>
  <c r="AN170" i="11"/>
  <c r="AO170" i="11"/>
  <c r="AP170" i="11"/>
  <c r="AQ170" i="11"/>
  <c r="AR170" i="11"/>
  <c r="AS170" i="11"/>
  <c r="AT170" i="11"/>
  <c r="AU170" i="11"/>
  <c r="AV170" i="11"/>
  <c r="AJ177" i="11"/>
  <c r="AH177" i="11" s="1"/>
  <c r="AK177" i="11"/>
  <c r="AL177" i="11"/>
  <c r="AM177" i="11"/>
  <c r="AN177" i="11"/>
  <c r="AO177" i="11"/>
  <c r="AP177" i="11"/>
  <c r="AQ177" i="11"/>
  <c r="AR177" i="11"/>
  <c r="AS177" i="11"/>
  <c r="AT177" i="11"/>
  <c r="AU177" i="11"/>
  <c r="AJ178" i="11"/>
  <c r="AV178" i="11"/>
  <c r="AJ179" i="11"/>
  <c r="AV179" i="11"/>
  <c r="AJ180" i="11"/>
  <c r="AH180" i="11" s="1"/>
  <c r="AK180" i="11" s="1"/>
  <c r="AK182" i="11"/>
  <c r="AL182" i="11"/>
  <c r="AM182" i="11"/>
  <c r="AN182" i="11"/>
  <c r="AO182" i="11"/>
  <c r="AP182" i="11"/>
  <c r="AQ182" i="11"/>
  <c r="AR182" i="11"/>
  <c r="AS182" i="11"/>
  <c r="AT182" i="11"/>
  <c r="AU182" i="11"/>
  <c r="AV182" i="11"/>
  <c r="AK183" i="11"/>
  <c r="AL183" i="11"/>
  <c r="AM183" i="11"/>
  <c r="AN183" i="11"/>
  <c r="AO183" i="11"/>
  <c r="AP183" i="11"/>
  <c r="AQ183" i="11"/>
  <c r="AR183" i="11"/>
  <c r="AS183" i="11"/>
  <c r="AT183" i="11"/>
  <c r="AU183" i="11"/>
  <c r="AV183" i="11"/>
  <c r="AJ190" i="11"/>
  <c r="AH190" i="11" s="1"/>
  <c r="AJ191" i="11"/>
  <c r="AV191" i="11"/>
  <c r="AJ192" i="11"/>
  <c r="AV192" i="11"/>
  <c r="AJ193" i="11"/>
  <c r="AH193" i="11" s="1"/>
  <c r="AK193" i="11"/>
  <c r="AL193" i="11"/>
  <c r="AM193" i="11"/>
  <c r="AN193" i="11"/>
  <c r="AO193" i="11"/>
  <c r="AP193" i="11"/>
  <c r="AQ193" i="11"/>
  <c r="AR193" i="11"/>
  <c r="AS193" i="11"/>
  <c r="AT193" i="11"/>
  <c r="AU193" i="11"/>
  <c r="AL195" i="11"/>
  <c r="AQ195" i="11"/>
  <c r="AR195" i="11"/>
  <c r="AS195" i="11"/>
  <c r="AT195" i="11"/>
  <c r="AK196" i="11"/>
  <c r="AL196" i="11"/>
  <c r="AM196" i="11"/>
  <c r="AN196" i="11"/>
  <c r="AN194" i="11" s="1"/>
  <c r="AO196" i="11"/>
  <c r="AP196" i="11"/>
  <c r="AQ196" i="11"/>
  <c r="AR196" i="11"/>
  <c r="AS196" i="11"/>
  <c r="AT196" i="11"/>
  <c r="AU196" i="11"/>
  <c r="AV196" i="11"/>
  <c r="AJ203" i="11"/>
  <c r="AH203" i="11" s="1"/>
  <c r="AK203" i="11"/>
  <c r="AL203" i="11"/>
  <c r="AM203" i="11"/>
  <c r="AN203" i="11"/>
  <c r="AO203" i="11"/>
  <c r="AP203" i="11"/>
  <c r="AQ203" i="11"/>
  <c r="AR203" i="11"/>
  <c r="AS203" i="11"/>
  <c r="AT203" i="11"/>
  <c r="AU203" i="11"/>
  <c r="AJ204" i="11"/>
  <c r="AV204" i="11"/>
  <c r="AJ205" i="11"/>
  <c r="AV205" i="11"/>
  <c r="AJ206" i="11"/>
  <c r="AH206" i="11" s="1"/>
  <c r="AK206" i="11" s="1"/>
  <c r="AL206" i="11" s="1"/>
  <c r="AM206" i="11" s="1"/>
  <c r="AN206" i="11" s="1"/>
  <c r="AH217" i="11"/>
  <c r="AV218" i="11"/>
  <c r="AV219" i="11"/>
  <c r="AH220" i="11"/>
  <c r="AM223" i="11"/>
  <c r="AM221" i="11" s="1"/>
  <c r="AP223" i="11"/>
  <c r="AP221" i="11" s="1"/>
  <c r="AQ223" i="11"/>
  <c r="AQ221" i="11" s="1"/>
  <c r="AR223" i="11"/>
  <c r="AR221" i="11" s="1"/>
  <c r="AS223" i="11"/>
  <c r="AS221" i="11" s="1"/>
  <c r="AT223" i="11"/>
  <c r="AT224" i="11" s="1"/>
  <c r="AU223" i="11"/>
  <c r="AU221" i="11" s="1"/>
  <c r="AV223" i="11"/>
  <c r="AV221" i="11" s="1"/>
  <c r="AV225" i="11" s="1"/>
  <c r="AV226" i="11" s="1"/>
  <c r="AV227" i="11" s="1"/>
  <c r="Y4" i="5"/>
  <c r="Y5" i="5"/>
  <c r="Y6" i="5"/>
  <c r="Y7" i="5"/>
  <c r="Y8" i="5"/>
  <c r="Y9" i="5"/>
  <c r="E13" i="5"/>
  <c r="G13" i="5"/>
  <c r="I13" i="5"/>
  <c r="J13" i="5"/>
  <c r="K13" i="5"/>
  <c r="L13" i="5"/>
  <c r="M13" i="5"/>
  <c r="N13" i="5"/>
  <c r="O13" i="5"/>
  <c r="P13" i="5"/>
  <c r="Q13" i="5"/>
  <c r="R13" i="5"/>
  <c r="S13" i="5"/>
  <c r="T13" i="5"/>
  <c r="U13" i="5"/>
  <c r="V13" i="5"/>
  <c r="W13" i="5"/>
  <c r="X13" i="5"/>
  <c r="AH57" i="11"/>
  <c r="AD61" i="1"/>
  <c r="AH61" i="1" s="1"/>
  <c r="AI61" i="1" s="1"/>
  <c r="AJ61" i="1" s="1"/>
  <c r="AK61" i="1" s="1"/>
  <c r="AL61" i="1" s="1"/>
  <c r="AM61" i="1" s="1"/>
  <c r="AN61" i="1" s="1"/>
  <c r="AO61" i="1" s="1"/>
  <c r="AP61" i="1" s="1"/>
  <c r="AQ61" i="1" s="1"/>
  <c r="AH85" i="16"/>
  <c r="AH74" i="16"/>
  <c r="AK84" i="6"/>
  <c r="AL84" i="6" s="1"/>
  <c r="AM84" i="6" s="1"/>
  <c r="AN84" i="6" s="1"/>
  <c r="AO84" i="6" s="1"/>
  <c r="AP84" i="6" s="1"/>
  <c r="AQ84" i="6" s="1"/>
  <c r="AR84" i="6" s="1"/>
  <c r="AS84" i="6" s="1"/>
  <c r="AH42" i="10"/>
  <c r="AK42" i="10" s="1"/>
  <c r="AL42" i="10" s="1"/>
  <c r="AM42" i="10" s="1"/>
  <c r="AN42" i="10" s="1"/>
  <c r="AO42" i="10" s="1"/>
  <c r="AL199" i="9"/>
  <c r="AL200" i="9" s="1"/>
  <c r="AH122" i="11"/>
  <c r="AK122" i="11" s="1"/>
  <c r="AL122" i="11" s="1"/>
  <c r="AM186" i="9"/>
  <c r="AL62" i="9"/>
  <c r="AL63" i="9" s="1"/>
  <c r="AM57" i="9"/>
  <c r="AN57" i="9" s="1"/>
  <c r="AO57" i="9" s="1"/>
  <c r="AP57" i="9" s="1"/>
  <c r="AQ57" i="9" s="1"/>
  <c r="AR57" i="9" s="1"/>
  <c r="AS57" i="9" s="1"/>
  <c r="AT57" i="9" s="1"/>
  <c r="AU57" i="9" s="1"/>
  <c r="AM62" i="9"/>
  <c r="AM63" i="9" s="1"/>
  <c r="AM199" i="9"/>
  <c r="AM200" i="9" s="1"/>
  <c r="AL101" i="9"/>
  <c r="AN199" i="9"/>
  <c r="AN200" i="9" s="1"/>
  <c r="AH164" i="11"/>
  <c r="AK164" i="11" s="1"/>
  <c r="AL164" i="11" s="1"/>
  <c r="AM164" i="11" s="1"/>
  <c r="AN164" i="11" s="1"/>
  <c r="AO164" i="11" s="1"/>
  <c r="AP164" i="11" s="1"/>
  <c r="AQ164" i="11" s="1"/>
  <c r="AR164" i="11" s="1"/>
  <c r="AP161" i="16"/>
  <c r="AP148" i="11"/>
  <c r="AP156" i="11" s="1"/>
  <c r="AK77" i="9"/>
  <c r="AT146" i="16" l="1"/>
  <c r="AR128" i="9"/>
  <c r="AL139" i="9"/>
  <c r="AM139" i="9" s="1"/>
  <c r="AN139" i="9" s="1"/>
  <c r="AO139" i="9" s="1"/>
  <c r="AK145" i="9"/>
  <c r="AL53" i="10"/>
  <c r="AM53" i="10" s="1"/>
  <c r="AN53" i="10" s="1"/>
  <c r="AO53" i="10" s="1"/>
  <c r="AP53" i="10" s="1"/>
  <c r="AQ53" i="10" s="1"/>
  <c r="AR53" i="10" s="1"/>
  <c r="AS53" i="10" s="1"/>
  <c r="AT53" i="10" s="1"/>
  <c r="AU53" i="10" s="1"/>
  <c r="AK61" i="10"/>
  <c r="AP128" i="9"/>
  <c r="AD88" i="1"/>
  <c r="AH88" i="1" s="1"/>
  <c r="AI88" i="1" s="1"/>
  <c r="AJ88" i="1" s="1"/>
  <c r="AK88" i="1" s="1"/>
  <c r="AL88" i="1" s="1"/>
  <c r="AM88" i="1" s="1"/>
  <c r="AN88" i="1" s="1"/>
  <c r="AO88" i="1" s="1"/>
  <c r="AP88" i="1" s="1"/>
  <c r="AQ88" i="1" s="1"/>
  <c r="AL91" i="1"/>
  <c r="AL207" i="11"/>
  <c r="AL211" i="11" s="1"/>
  <c r="AL213" i="11" s="1"/>
  <c r="AS207" i="11"/>
  <c r="AL102" i="16"/>
  <c r="AM102" i="16" s="1"/>
  <c r="AN102" i="16" s="1"/>
  <c r="AO102" i="16" s="1"/>
  <c r="AP102" i="16" s="1"/>
  <c r="AQ102" i="16" s="1"/>
  <c r="AR102" i="16" s="1"/>
  <c r="AS102" i="16" s="1"/>
  <c r="AT102" i="16" s="1"/>
  <c r="AU102" i="16" s="1"/>
  <c r="AR207" i="11"/>
  <c r="AV181" i="11"/>
  <c r="AV185" i="11" s="1"/>
  <c r="AV186" i="11" s="1"/>
  <c r="AV187" i="11" s="1"/>
  <c r="AN181" i="11"/>
  <c r="AV118" i="16"/>
  <c r="AV121" i="16" s="1"/>
  <c r="AV122" i="16" s="1"/>
  <c r="AV123" i="16" s="1"/>
  <c r="AR118" i="16"/>
  <c r="AU126" i="11"/>
  <c r="AQ141" i="11"/>
  <c r="AR168" i="11"/>
  <c r="AR171" i="11" s="1"/>
  <c r="AR172" i="11" s="1"/>
  <c r="AR173" i="11" s="1"/>
  <c r="AN127" i="11"/>
  <c r="AK114" i="11"/>
  <c r="AK117" i="11" s="1"/>
  <c r="AK118" i="11" s="1"/>
  <c r="AK119" i="11" s="1"/>
  <c r="AR181" i="11"/>
  <c r="AK168" i="11"/>
  <c r="AK171" i="11" s="1"/>
  <c r="AK172" i="11" s="1"/>
  <c r="AU168" i="11"/>
  <c r="AM168" i="11"/>
  <c r="AM171" i="11" s="1"/>
  <c r="AM172" i="11" s="1"/>
  <c r="AM173" i="11" s="1"/>
  <c r="AH98" i="9"/>
  <c r="AK98" i="9" s="1"/>
  <c r="AL98" i="9" s="1"/>
  <c r="AM98" i="9" s="1"/>
  <c r="AN98" i="9" s="1"/>
  <c r="AO98" i="9" s="1"/>
  <c r="AP98" i="9" s="1"/>
  <c r="AQ98" i="9" s="1"/>
  <c r="AR98" i="9" s="1"/>
  <c r="AS98" i="9" s="1"/>
  <c r="AT98" i="9" s="1"/>
  <c r="AU98" i="9" s="1"/>
  <c r="AV63" i="10"/>
  <c r="AV66" i="10" s="1"/>
  <c r="AL128" i="9"/>
  <c r="AM128" i="9"/>
  <c r="AP126" i="11"/>
  <c r="AM99" i="11"/>
  <c r="AM104" i="11" s="1"/>
  <c r="AM105" i="11" s="1"/>
  <c r="AM106" i="11" s="1"/>
  <c r="AH209" i="16"/>
  <c r="AL209" i="16" s="1"/>
  <c r="AM209" i="16" s="1"/>
  <c r="AN209" i="16" s="1"/>
  <c r="AO209" i="16" s="1"/>
  <c r="AP209" i="16" s="1"/>
  <c r="AQ209" i="16" s="1"/>
  <c r="AR209" i="16" s="1"/>
  <c r="AS209" i="16" s="1"/>
  <c r="AT209" i="16" s="1"/>
  <c r="AU209" i="16" s="1"/>
  <c r="AV207" i="11"/>
  <c r="AV211" i="11" s="1"/>
  <c r="AV212" i="11" s="1"/>
  <c r="AV213" i="11" s="1"/>
  <c r="AH111" i="9"/>
  <c r="AK111" i="9" s="1"/>
  <c r="AL111" i="9" s="1"/>
  <c r="AM111" i="9" s="1"/>
  <c r="AN111" i="9" s="1"/>
  <c r="AO111" i="9" s="1"/>
  <c r="AP111" i="9" s="1"/>
  <c r="AQ111" i="9" s="1"/>
  <c r="AR111" i="9" s="1"/>
  <c r="AS111" i="9" s="1"/>
  <c r="AT111" i="9" s="1"/>
  <c r="AU111" i="9" s="1"/>
  <c r="AP207" i="11"/>
  <c r="AO126" i="11"/>
  <c r="AP114" i="11"/>
  <c r="AU101" i="9"/>
  <c r="AV168" i="11"/>
  <c r="AV171" i="11" s="1"/>
  <c r="AV172" i="11" s="1"/>
  <c r="AV173" i="11" s="1"/>
  <c r="AN168" i="11"/>
  <c r="AN171" i="11" s="1"/>
  <c r="AN172" i="11" s="1"/>
  <c r="AN173" i="11" s="1"/>
  <c r="AD117" i="1"/>
  <c r="AH117" i="1" s="1"/>
  <c r="AI117" i="1" s="1"/>
  <c r="AJ117" i="1" s="1"/>
  <c r="AK117" i="1" s="1"/>
  <c r="AL117" i="1" s="1"/>
  <c r="AM117" i="1" s="1"/>
  <c r="AN117" i="1" s="1"/>
  <c r="AO117" i="1" s="1"/>
  <c r="AP117" i="1" s="1"/>
  <c r="AQ117" i="1" s="1"/>
  <c r="AK181" i="11"/>
  <c r="AK185" i="11" s="1"/>
  <c r="AK186" i="11" s="1"/>
  <c r="AK187" i="11" s="1"/>
  <c r="AT126" i="11"/>
  <c r="AQ99" i="11"/>
  <c r="AQ104" i="11" s="1"/>
  <c r="AQ105" i="11" s="1"/>
  <c r="AQ106" i="11" s="1"/>
  <c r="AO118" i="16"/>
  <c r="AR101" i="9"/>
  <c r="AN101" i="9"/>
  <c r="AK128" i="9"/>
  <c r="AD46" i="1"/>
  <c r="AH46" i="1" s="1"/>
  <c r="AI46" i="1" s="1"/>
  <c r="AJ46" i="1" s="1"/>
  <c r="AK46" i="1" s="1"/>
  <c r="AL46" i="1" s="1"/>
  <c r="AM46" i="1" s="1"/>
  <c r="AN46" i="1" s="1"/>
  <c r="AO46" i="1" s="1"/>
  <c r="AP46" i="1" s="1"/>
  <c r="AQ46" i="1" s="1"/>
  <c r="AN207" i="11"/>
  <c r="AN211" i="11" s="1"/>
  <c r="AN213" i="11" s="1"/>
  <c r="AQ168" i="11"/>
  <c r="AQ171" i="11" s="1"/>
  <c r="AQ172" i="11" s="1"/>
  <c r="AQ173" i="11" s="1"/>
  <c r="AM127" i="11"/>
  <c r="AD45" i="1"/>
  <c r="AH45" i="1" s="1"/>
  <c r="AI45" i="1" s="1"/>
  <c r="AJ45" i="1" s="1"/>
  <c r="AK45" i="1" s="1"/>
  <c r="AL45" i="1" s="1"/>
  <c r="AM45" i="1" s="1"/>
  <c r="AN45" i="1" s="1"/>
  <c r="AO45" i="1" s="1"/>
  <c r="AP45" i="1" s="1"/>
  <c r="AQ45" i="1" s="1"/>
  <c r="AH141" i="9"/>
  <c r="AK141" i="9" s="1"/>
  <c r="AL141" i="9" s="1"/>
  <c r="AM141" i="9" s="1"/>
  <c r="AN141" i="9" s="1"/>
  <c r="AO141" i="9" s="1"/>
  <c r="AP141" i="9" s="1"/>
  <c r="AQ141" i="9" s="1"/>
  <c r="AR141" i="9" s="1"/>
  <c r="AS141" i="9" s="1"/>
  <c r="AT141" i="9" s="1"/>
  <c r="AU141" i="9" s="1"/>
  <c r="AO101" i="9"/>
  <c r="AK101" i="9"/>
  <c r="AK57" i="11"/>
  <c r="AL57" i="11" s="1"/>
  <c r="AM57" i="11" s="1"/>
  <c r="AN57" i="11" s="1"/>
  <c r="AO57" i="11" s="1"/>
  <c r="AP57" i="11" s="1"/>
  <c r="AQ57" i="11" s="1"/>
  <c r="AR57" i="11" s="1"/>
  <c r="AS57" i="11" s="1"/>
  <c r="AT57" i="11" s="1"/>
  <c r="AU57" i="11" s="1"/>
  <c r="AJ57" i="6"/>
  <c r="AK57" i="6" s="1"/>
  <c r="AL57" i="6" s="1"/>
  <c r="AM57" i="6" s="1"/>
  <c r="AN57" i="6" s="1"/>
  <c r="AO57" i="6" s="1"/>
  <c r="AP57" i="6" s="1"/>
  <c r="AQ57" i="6" s="1"/>
  <c r="AR57" i="6" s="1"/>
  <c r="AS57" i="6" s="1"/>
  <c r="AT57" i="6" s="1"/>
  <c r="AL57" i="16"/>
  <c r="AL65" i="16" s="1"/>
  <c r="AL67" i="16" s="1"/>
  <c r="AJ53" i="6"/>
  <c r="AH82" i="9"/>
  <c r="AK82" i="9" s="1"/>
  <c r="AL82" i="9" s="1"/>
  <c r="AM82" i="9" s="1"/>
  <c r="AN82" i="9" s="1"/>
  <c r="AO82" i="9" s="1"/>
  <c r="AP82" i="9" s="1"/>
  <c r="AQ82" i="9" s="1"/>
  <c r="AR82" i="9" s="1"/>
  <c r="AS82" i="9" s="1"/>
  <c r="AT82" i="9" s="1"/>
  <c r="AU82" i="9" s="1"/>
  <c r="AT100" i="11"/>
  <c r="AK109" i="9"/>
  <c r="AL109" i="9" s="1"/>
  <c r="AM109" i="9" s="1"/>
  <c r="AU194" i="11"/>
  <c r="AT207" i="11"/>
  <c r="AX164" i="16"/>
  <c r="AH144" i="16"/>
  <c r="AL144" i="16" s="1"/>
  <c r="AM144" i="16" s="1"/>
  <c r="AN144" i="16" s="1"/>
  <c r="AO144" i="16" s="1"/>
  <c r="AP144" i="16" s="1"/>
  <c r="AQ144" i="16" s="1"/>
  <c r="AR144" i="16" s="1"/>
  <c r="AS144" i="16" s="1"/>
  <c r="AT144" i="16" s="1"/>
  <c r="AU144" i="16" s="1"/>
  <c r="AO207" i="11"/>
  <c r="AM207" i="11"/>
  <c r="AM211" i="11" s="1"/>
  <c r="AM213" i="11" s="1"/>
  <c r="AS146" i="16"/>
  <c r="AQ127" i="11"/>
  <c r="AH115" i="16"/>
  <c r="AL115" i="16" s="1"/>
  <c r="AM115" i="16" s="1"/>
  <c r="AN115" i="16" s="1"/>
  <c r="AO115" i="16" s="1"/>
  <c r="AP115" i="16" s="1"/>
  <c r="AQ115" i="16" s="1"/>
  <c r="AR115" i="16" s="1"/>
  <c r="AS115" i="16" s="1"/>
  <c r="AT115" i="16" s="1"/>
  <c r="AU115" i="16" s="1"/>
  <c r="AS101" i="9"/>
  <c r="AS118" i="16"/>
  <c r="AH91" i="1"/>
  <c r="AH153" i="9"/>
  <c r="AK153" i="9" s="1"/>
  <c r="AL153" i="9" s="1"/>
  <c r="AM153" i="9" s="1"/>
  <c r="AN153" i="9" s="1"/>
  <c r="AO153" i="9" s="1"/>
  <c r="AP153" i="9" s="1"/>
  <c r="AQ153" i="9" s="1"/>
  <c r="AR153" i="9" s="1"/>
  <c r="AS153" i="9" s="1"/>
  <c r="AT153" i="9" s="1"/>
  <c r="AU153" i="9" s="1"/>
  <c r="AH116" i="16"/>
  <c r="AL116" i="16" s="1"/>
  <c r="AM116" i="16" s="1"/>
  <c r="AN116" i="16" s="1"/>
  <c r="AO116" i="16" s="1"/>
  <c r="AP116" i="16" s="1"/>
  <c r="AQ116" i="16" s="1"/>
  <c r="AR116" i="16" s="1"/>
  <c r="AS116" i="16" s="1"/>
  <c r="AT116" i="16" s="1"/>
  <c r="AU116" i="16" s="1"/>
  <c r="AH100" i="16"/>
  <c r="AL100" i="16" s="1"/>
  <c r="AM100" i="16" s="1"/>
  <c r="AN100" i="16" s="1"/>
  <c r="AO100" i="16" s="1"/>
  <c r="AP100" i="16" s="1"/>
  <c r="AQ100" i="16" s="1"/>
  <c r="AR100" i="16" s="1"/>
  <c r="AS100" i="16" s="1"/>
  <c r="AT100" i="16" s="1"/>
  <c r="AU100" i="16" s="1"/>
  <c r="AH110" i="9"/>
  <c r="AK110" i="9" s="1"/>
  <c r="AL110" i="9" s="1"/>
  <c r="AM110" i="9" s="1"/>
  <c r="AN110" i="9" s="1"/>
  <c r="AO110" i="9" s="1"/>
  <c r="AP110" i="9" s="1"/>
  <c r="AQ110" i="9" s="1"/>
  <c r="AR110" i="9" s="1"/>
  <c r="AS110" i="9" s="1"/>
  <c r="AT110" i="9" s="1"/>
  <c r="AU110" i="9" s="1"/>
  <c r="AH165" i="9"/>
  <c r="AK165" i="9" s="1"/>
  <c r="AL165" i="9" s="1"/>
  <c r="AM165" i="9" s="1"/>
  <c r="AN165" i="9" s="1"/>
  <c r="AO165" i="9" s="1"/>
  <c r="AP165" i="9" s="1"/>
  <c r="AQ165" i="9" s="1"/>
  <c r="AR165" i="9" s="1"/>
  <c r="AS165" i="9" s="1"/>
  <c r="AT165" i="9" s="1"/>
  <c r="AU165" i="9" s="1"/>
  <c r="AH55" i="9"/>
  <c r="AK55" i="9" s="1"/>
  <c r="AL55" i="9" s="1"/>
  <c r="AM55" i="9" s="1"/>
  <c r="AN55" i="9" s="1"/>
  <c r="AO55" i="9" s="1"/>
  <c r="AP55" i="9" s="1"/>
  <c r="AQ55" i="9" s="1"/>
  <c r="AR55" i="9" s="1"/>
  <c r="AS55" i="9" s="1"/>
  <c r="AT55" i="9" s="1"/>
  <c r="AU55" i="9" s="1"/>
  <c r="AJ153" i="6"/>
  <c r="AK153" i="6" s="1"/>
  <c r="AL153" i="6" s="1"/>
  <c r="AM153" i="6" s="1"/>
  <c r="AN153" i="6" s="1"/>
  <c r="AO153" i="6" s="1"/>
  <c r="AP153" i="6" s="1"/>
  <c r="AF151" i="6"/>
  <c r="AJ151" i="6" s="1"/>
  <c r="AK151" i="6" s="1"/>
  <c r="AL151" i="6" s="1"/>
  <c r="AM151" i="6" s="1"/>
  <c r="AN151" i="6" s="1"/>
  <c r="AO151" i="6" s="1"/>
  <c r="AP151" i="6" s="1"/>
  <c r="AQ151" i="6" s="1"/>
  <c r="AR151" i="6" s="1"/>
  <c r="AS151" i="6" s="1"/>
  <c r="AL141" i="11"/>
  <c r="AX136" i="16"/>
  <c r="AH125" i="9"/>
  <c r="AK125" i="9" s="1"/>
  <c r="AL125" i="9" s="1"/>
  <c r="AM125" i="9" s="1"/>
  <c r="AN125" i="9" s="1"/>
  <c r="AO125" i="9" s="1"/>
  <c r="AP125" i="9" s="1"/>
  <c r="AQ125" i="9" s="1"/>
  <c r="AR125" i="9" s="1"/>
  <c r="AS125" i="9" s="1"/>
  <c r="AT125" i="9" s="1"/>
  <c r="AU125" i="9" s="1"/>
  <c r="AH54" i="9"/>
  <c r="AK54" i="9" s="1"/>
  <c r="AL54" i="9" s="1"/>
  <c r="AM54" i="9" s="1"/>
  <c r="AN54" i="9" s="1"/>
  <c r="AO54" i="9" s="1"/>
  <c r="AP54" i="9" s="1"/>
  <c r="AQ54" i="9" s="1"/>
  <c r="AR54" i="9" s="1"/>
  <c r="AS54" i="9" s="1"/>
  <c r="AT54" i="9" s="1"/>
  <c r="AU54" i="9" s="1"/>
  <c r="AH219" i="11"/>
  <c r="AK219" i="11" s="1"/>
  <c r="AL219" i="11" s="1"/>
  <c r="AM219" i="11" s="1"/>
  <c r="AN219" i="11" s="1"/>
  <c r="AO219" i="11" s="1"/>
  <c r="AP219" i="11" s="1"/>
  <c r="AQ219" i="11" s="1"/>
  <c r="AR219" i="11" s="1"/>
  <c r="AS219" i="11" s="1"/>
  <c r="AT219" i="11" s="1"/>
  <c r="AU219" i="11" s="1"/>
  <c r="AT194" i="11"/>
  <c r="AP194" i="11"/>
  <c r="AL194" i="11"/>
  <c r="AH192" i="11"/>
  <c r="AK192" i="11" s="1"/>
  <c r="AL192" i="11" s="1"/>
  <c r="AM192" i="11" s="1"/>
  <c r="AN192" i="11" s="1"/>
  <c r="AO192" i="11" s="1"/>
  <c r="AP192" i="11" s="1"/>
  <c r="AQ192" i="11" s="1"/>
  <c r="AR192" i="11" s="1"/>
  <c r="AS192" i="11" s="1"/>
  <c r="AT192" i="11" s="1"/>
  <c r="AU192" i="11" s="1"/>
  <c r="AH178" i="11"/>
  <c r="AK178" i="11" s="1"/>
  <c r="AL178" i="11" s="1"/>
  <c r="AM178" i="11" s="1"/>
  <c r="AN178" i="11" s="1"/>
  <c r="AO178" i="11" s="1"/>
  <c r="AP178" i="11" s="1"/>
  <c r="AQ178" i="11" s="1"/>
  <c r="AR178" i="11" s="1"/>
  <c r="AS178" i="11" s="1"/>
  <c r="AT178" i="11" s="1"/>
  <c r="AU178" i="11" s="1"/>
  <c r="AH138" i="11"/>
  <c r="AH191" i="9"/>
  <c r="AK191" i="9" s="1"/>
  <c r="AL191" i="9" s="1"/>
  <c r="AM191" i="9" s="1"/>
  <c r="AN191" i="9" s="1"/>
  <c r="AO191" i="9" s="1"/>
  <c r="AP191" i="9" s="1"/>
  <c r="AQ191" i="9" s="1"/>
  <c r="AR191" i="9" s="1"/>
  <c r="AS191" i="9" s="1"/>
  <c r="AT191" i="9" s="1"/>
  <c r="AU191" i="9" s="1"/>
  <c r="AH179" i="9"/>
  <c r="AK179" i="9" s="1"/>
  <c r="AL179" i="9" s="1"/>
  <c r="AM179" i="9" s="1"/>
  <c r="AN179" i="9" s="1"/>
  <c r="AO179" i="9" s="1"/>
  <c r="AP179" i="9" s="1"/>
  <c r="AQ179" i="9" s="1"/>
  <c r="AR179" i="9" s="1"/>
  <c r="AS179" i="9" s="1"/>
  <c r="AT179" i="9" s="1"/>
  <c r="AU179" i="9" s="1"/>
  <c r="AL99" i="16"/>
  <c r="AH111" i="11"/>
  <c r="AK111" i="11" s="1"/>
  <c r="AL111" i="11" s="1"/>
  <c r="AM111" i="11" s="1"/>
  <c r="AN111" i="11" s="1"/>
  <c r="AO111" i="11" s="1"/>
  <c r="AP111" i="11" s="1"/>
  <c r="AQ111" i="11" s="1"/>
  <c r="AR111" i="11" s="1"/>
  <c r="AS111" i="11" s="1"/>
  <c r="AT111" i="11" s="1"/>
  <c r="AU111" i="11" s="1"/>
  <c r="AH101" i="16"/>
  <c r="AL101" i="16" s="1"/>
  <c r="AM101" i="16" s="1"/>
  <c r="AN101" i="16" s="1"/>
  <c r="AO101" i="16" s="1"/>
  <c r="AP101" i="16" s="1"/>
  <c r="AQ101" i="16" s="1"/>
  <c r="AR101" i="16" s="1"/>
  <c r="AS101" i="16" s="1"/>
  <c r="AT101" i="16" s="1"/>
  <c r="AU101" i="16" s="1"/>
  <c r="AU146" i="16"/>
  <c r="AH204" i="11"/>
  <c r="AK204" i="11" s="1"/>
  <c r="AL204" i="11" s="1"/>
  <c r="AM204" i="11" s="1"/>
  <c r="AN204" i="11" s="1"/>
  <c r="AO204" i="11" s="1"/>
  <c r="AP204" i="11" s="1"/>
  <c r="AQ204" i="11" s="1"/>
  <c r="AR204" i="11" s="1"/>
  <c r="AS204" i="11" s="1"/>
  <c r="AT204" i="11" s="1"/>
  <c r="AU204" i="11" s="1"/>
  <c r="AH179" i="11"/>
  <c r="AK179" i="11" s="1"/>
  <c r="AL179" i="11" s="1"/>
  <c r="AM179" i="11" s="1"/>
  <c r="AN179" i="11" s="1"/>
  <c r="AO179" i="11" s="1"/>
  <c r="AP179" i="11" s="1"/>
  <c r="AQ179" i="11" s="1"/>
  <c r="AR179" i="11" s="1"/>
  <c r="AS179" i="11" s="1"/>
  <c r="AT179" i="11" s="1"/>
  <c r="AU179" i="11" s="1"/>
  <c r="AD89" i="1"/>
  <c r="AH89" i="1" s="1"/>
  <c r="AI89" i="1" s="1"/>
  <c r="AJ89" i="1" s="1"/>
  <c r="AK89" i="1" s="1"/>
  <c r="AL89" i="1" s="1"/>
  <c r="AM89" i="1" s="1"/>
  <c r="AN89" i="1" s="1"/>
  <c r="AO89" i="1" s="1"/>
  <c r="AP89" i="1" s="1"/>
  <c r="AQ89" i="1" s="1"/>
  <c r="AT141" i="11"/>
  <c r="AI72" i="1"/>
  <c r="AJ72" i="1" s="1"/>
  <c r="AJ81" i="1" s="1"/>
  <c r="AJ82" i="1" s="1"/>
  <c r="AJ83" i="1" s="1"/>
  <c r="AH81" i="1"/>
  <c r="AH82" i="1" s="1"/>
  <c r="AH83" i="1" s="1"/>
  <c r="AN224" i="11"/>
  <c r="AS141" i="11"/>
  <c r="AD130" i="1"/>
  <c r="AH130" i="1" s="1"/>
  <c r="AI130" i="1" s="1"/>
  <c r="AJ130" i="1" s="1"/>
  <c r="AK130" i="1" s="1"/>
  <c r="AL130" i="1" s="1"/>
  <c r="AM130" i="1" s="1"/>
  <c r="AN130" i="1" s="1"/>
  <c r="AO130" i="1" s="1"/>
  <c r="AP130" i="1" s="1"/>
  <c r="AQ130" i="1" s="1"/>
  <c r="AD104" i="1"/>
  <c r="AH104" i="1" s="1"/>
  <c r="AI104" i="1" s="1"/>
  <c r="AJ104" i="1" s="1"/>
  <c r="AK104" i="1" s="1"/>
  <c r="AL104" i="1" s="1"/>
  <c r="AM104" i="1" s="1"/>
  <c r="AN104" i="1" s="1"/>
  <c r="AO104" i="1" s="1"/>
  <c r="AP104" i="1" s="1"/>
  <c r="AQ104" i="1" s="1"/>
  <c r="AN91" i="1"/>
  <c r="AH143" i="16"/>
  <c r="AL143" i="16" s="1"/>
  <c r="AM143" i="16" s="1"/>
  <c r="AN143" i="16" s="1"/>
  <c r="AO143" i="16" s="1"/>
  <c r="AP143" i="16" s="1"/>
  <c r="AQ143" i="16" s="1"/>
  <c r="AR143" i="16" s="1"/>
  <c r="AS143" i="16" s="1"/>
  <c r="AT143" i="16" s="1"/>
  <c r="AU143" i="16" s="1"/>
  <c r="AX120" i="16"/>
  <c r="AH126" i="9"/>
  <c r="AK126" i="9" s="1"/>
  <c r="AL126" i="9" s="1"/>
  <c r="AM126" i="9" s="1"/>
  <c r="AN126" i="9" s="1"/>
  <c r="AO126" i="9" s="1"/>
  <c r="AP126" i="9" s="1"/>
  <c r="AQ126" i="9" s="1"/>
  <c r="AR126" i="9" s="1"/>
  <c r="AS126" i="9" s="1"/>
  <c r="AT126" i="9" s="1"/>
  <c r="AU126" i="9" s="1"/>
  <c r="AM101" i="9"/>
  <c r="AK88" i="11"/>
  <c r="AK220" i="11"/>
  <c r="AL220" i="11" s="1"/>
  <c r="AM220" i="11" s="1"/>
  <c r="AN220" i="11" s="1"/>
  <c r="AO220" i="11" s="1"/>
  <c r="AP220" i="11" s="1"/>
  <c r="AQ220" i="11" s="1"/>
  <c r="AR220" i="11" s="1"/>
  <c r="AS220" i="11" s="1"/>
  <c r="AT220" i="11" s="1"/>
  <c r="AU220" i="11" s="1"/>
  <c r="AH154" i="11"/>
  <c r="AK154" i="11" s="1"/>
  <c r="AL154" i="11" s="1"/>
  <c r="AM154" i="11" s="1"/>
  <c r="AN154" i="11" s="1"/>
  <c r="AO154" i="11" s="1"/>
  <c r="AP154" i="11" s="1"/>
  <c r="AQ154" i="11" s="1"/>
  <c r="AR154" i="11" s="1"/>
  <c r="AS154" i="11" s="1"/>
  <c r="AT154" i="11" s="1"/>
  <c r="AU154" i="11" s="1"/>
  <c r="AM126" i="11"/>
  <c r="AR126" i="11"/>
  <c r="AH124" i="11"/>
  <c r="AK124" i="11" s="1"/>
  <c r="AL124" i="11" s="1"/>
  <c r="AM124" i="11" s="1"/>
  <c r="AN124" i="11" s="1"/>
  <c r="AO124" i="11" s="1"/>
  <c r="AP124" i="11" s="1"/>
  <c r="AQ124" i="11" s="1"/>
  <c r="AR124" i="11" s="1"/>
  <c r="AS124" i="11" s="1"/>
  <c r="AT124" i="11" s="1"/>
  <c r="AU124" i="11" s="1"/>
  <c r="AH96" i="11"/>
  <c r="AK96" i="11" s="1"/>
  <c r="AL96" i="11" s="1"/>
  <c r="AM96" i="11" s="1"/>
  <c r="AN96" i="11" s="1"/>
  <c r="AO96" i="11" s="1"/>
  <c r="AP96" i="11" s="1"/>
  <c r="AQ96" i="11" s="1"/>
  <c r="AR96" i="11" s="1"/>
  <c r="AS96" i="11" s="1"/>
  <c r="AT96" i="11" s="1"/>
  <c r="AU96" i="11" s="1"/>
  <c r="AD105" i="1"/>
  <c r="AH105" i="1" s="1"/>
  <c r="AI105" i="1" s="1"/>
  <c r="AJ105" i="1" s="1"/>
  <c r="AK105" i="1" s="1"/>
  <c r="AL105" i="1" s="1"/>
  <c r="AM105" i="1" s="1"/>
  <c r="AN105" i="1" s="1"/>
  <c r="AO105" i="1" s="1"/>
  <c r="AP105" i="1" s="1"/>
  <c r="AQ105" i="1" s="1"/>
  <c r="AP91" i="1"/>
  <c r="AK91" i="1"/>
  <c r="AD73" i="1"/>
  <c r="AH73" i="1" s="1"/>
  <c r="AI73" i="1" s="1"/>
  <c r="AJ73" i="1" s="1"/>
  <c r="AK73" i="1" s="1"/>
  <c r="AL73" i="1" s="1"/>
  <c r="AM73" i="1" s="1"/>
  <c r="AN73" i="1" s="1"/>
  <c r="AO73" i="1" s="1"/>
  <c r="AP73" i="1" s="1"/>
  <c r="AQ73" i="1" s="1"/>
  <c r="AH197" i="16"/>
  <c r="AL197" i="16" s="1"/>
  <c r="AM197" i="16" s="1"/>
  <c r="AN197" i="16" s="1"/>
  <c r="AO197" i="16" s="1"/>
  <c r="AP197" i="16" s="1"/>
  <c r="AQ197" i="16" s="1"/>
  <c r="AR197" i="16" s="1"/>
  <c r="AS197" i="16" s="1"/>
  <c r="AT197" i="16" s="1"/>
  <c r="AU197" i="16" s="1"/>
  <c r="AH184" i="16"/>
  <c r="AL184" i="16" s="1"/>
  <c r="AM184" i="16" s="1"/>
  <c r="AN184" i="16" s="1"/>
  <c r="AO184" i="16" s="1"/>
  <c r="AP184" i="16" s="1"/>
  <c r="AQ184" i="16" s="1"/>
  <c r="AR184" i="16" s="1"/>
  <c r="AS184" i="16" s="1"/>
  <c r="AT184" i="16" s="1"/>
  <c r="AU184" i="16" s="1"/>
  <c r="AX108" i="16"/>
  <c r="AH128" i="1"/>
  <c r="AI128" i="1" s="1"/>
  <c r="AT127" i="11"/>
  <c r="AL117" i="16"/>
  <c r="AM117" i="16" s="1"/>
  <c r="AN117" i="16" s="1"/>
  <c r="AO117" i="16" s="1"/>
  <c r="AP117" i="16" s="1"/>
  <c r="AQ117" i="16" s="1"/>
  <c r="AR117" i="16" s="1"/>
  <c r="AH218" i="11"/>
  <c r="AK218" i="11" s="1"/>
  <c r="AL218" i="11" s="1"/>
  <c r="AM218" i="11" s="1"/>
  <c r="AN218" i="11" s="1"/>
  <c r="AO218" i="11" s="1"/>
  <c r="AP218" i="11" s="1"/>
  <c r="AQ218" i="11" s="1"/>
  <c r="AR218" i="11" s="1"/>
  <c r="AS218" i="11" s="1"/>
  <c r="AT218" i="11" s="1"/>
  <c r="AU218" i="11" s="1"/>
  <c r="AH205" i="11"/>
  <c r="AK205" i="11" s="1"/>
  <c r="AL205" i="11" s="1"/>
  <c r="AM205" i="11" s="1"/>
  <c r="AN205" i="11" s="1"/>
  <c r="AO205" i="11" s="1"/>
  <c r="AP205" i="11" s="1"/>
  <c r="AQ205" i="11" s="1"/>
  <c r="AR205" i="11" s="1"/>
  <c r="AS205" i="11" s="1"/>
  <c r="AT205" i="11" s="1"/>
  <c r="AU205" i="11" s="1"/>
  <c r="AH191" i="11"/>
  <c r="AK191" i="11" s="1"/>
  <c r="AL191" i="11" s="1"/>
  <c r="AM191" i="11" s="1"/>
  <c r="AN191" i="11" s="1"/>
  <c r="AO191" i="11" s="1"/>
  <c r="AP191" i="11" s="1"/>
  <c r="AQ191" i="11" s="1"/>
  <c r="AR191" i="11" s="1"/>
  <c r="AS191" i="11" s="1"/>
  <c r="AT191" i="11" s="1"/>
  <c r="AU191" i="11" s="1"/>
  <c r="AH166" i="11"/>
  <c r="AK166" i="11" s="1"/>
  <c r="AL166" i="11" s="1"/>
  <c r="AM166" i="11" s="1"/>
  <c r="AN166" i="11" s="1"/>
  <c r="AO166" i="11" s="1"/>
  <c r="AP166" i="11" s="1"/>
  <c r="AQ166" i="11" s="1"/>
  <c r="AR166" i="11" s="1"/>
  <c r="AS166" i="11" s="1"/>
  <c r="AT166" i="11" s="1"/>
  <c r="AU166" i="11" s="1"/>
  <c r="AL126" i="11"/>
  <c r="AL131" i="11" s="1"/>
  <c r="AL132" i="11" s="1"/>
  <c r="AL133" i="11" s="1"/>
  <c r="AD116" i="1"/>
  <c r="AH116" i="1" s="1"/>
  <c r="AI116" i="1" s="1"/>
  <c r="AJ116" i="1" s="1"/>
  <c r="AK116" i="1" s="1"/>
  <c r="AL116" i="1" s="1"/>
  <c r="AM116" i="1" s="1"/>
  <c r="AN116" i="1" s="1"/>
  <c r="AO116" i="1" s="1"/>
  <c r="AP116" i="1" s="1"/>
  <c r="AQ116" i="1" s="1"/>
  <c r="AH129" i="16"/>
  <c r="AL129" i="16" s="1"/>
  <c r="AM129" i="16" s="1"/>
  <c r="AN129" i="16" s="1"/>
  <c r="AO129" i="16" s="1"/>
  <c r="AP129" i="16" s="1"/>
  <c r="AQ129" i="16" s="1"/>
  <c r="AR129" i="16" s="1"/>
  <c r="AS129" i="16" s="1"/>
  <c r="AT129" i="16" s="1"/>
  <c r="AU129" i="16" s="1"/>
  <c r="AH166" i="9"/>
  <c r="AK166" i="9" s="1"/>
  <c r="AL166" i="9" s="1"/>
  <c r="AM166" i="9" s="1"/>
  <c r="AN166" i="9" s="1"/>
  <c r="AO166" i="9" s="1"/>
  <c r="AP166" i="9" s="1"/>
  <c r="AQ166" i="9" s="1"/>
  <c r="AR166" i="9" s="1"/>
  <c r="AS166" i="9" s="1"/>
  <c r="AT166" i="9" s="1"/>
  <c r="AU166" i="9" s="1"/>
  <c r="AH106" i="1"/>
  <c r="AO127" i="11"/>
  <c r="AL118" i="16"/>
  <c r="AQ224" i="11"/>
  <c r="AR194" i="11"/>
  <c r="AS126" i="11"/>
  <c r="AH152" i="9"/>
  <c r="AK152" i="9" s="1"/>
  <c r="AL152" i="9" s="1"/>
  <c r="AM152" i="9" s="1"/>
  <c r="AN152" i="9" s="1"/>
  <c r="AO152" i="9" s="1"/>
  <c r="AP152" i="9" s="1"/>
  <c r="AQ152" i="9" s="1"/>
  <c r="AR152" i="9" s="1"/>
  <c r="AS152" i="9" s="1"/>
  <c r="AT152" i="9" s="1"/>
  <c r="AU152" i="9" s="1"/>
  <c r="AO128" i="9"/>
  <c r="AV126" i="11"/>
  <c r="AV131" i="11" s="1"/>
  <c r="AV132" i="11" s="1"/>
  <c r="AV133" i="11" s="1"/>
  <c r="AT221" i="11"/>
  <c r="AO142" i="11"/>
  <c r="AO141" i="11" s="1"/>
  <c r="AM141" i="11"/>
  <c r="AQ194" i="11"/>
  <c r="AM194" i="11"/>
  <c r="AH153" i="11"/>
  <c r="AK153" i="11" s="1"/>
  <c r="AL153" i="11" s="1"/>
  <c r="AM153" i="11" s="1"/>
  <c r="AN153" i="11" s="1"/>
  <c r="AO153" i="11" s="1"/>
  <c r="AP153" i="11" s="1"/>
  <c r="AQ153" i="11" s="1"/>
  <c r="AR153" i="11" s="1"/>
  <c r="AS153" i="11" s="1"/>
  <c r="AT153" i="11" s="1"/>
  <c r="AU153" i="11" s="1"/>
  <c r="AL127" i="11"/>
  <c r="AH97" i="11"/>
  <c r="AK97" i="11" s="1"/>
  <c r="AL97" i="11" s="1"/>
  <c r="AM97" i="11" s="1"/>
  <c r="AN97" i="11" s="1"/>
  <c r="AO97" i="11" s="1"/>
  <c r="AP97" i="11" s="1"/>
  <c r="AQ97" i="11" s="1"/>
  <c r="AR97" i="11" s="1"/>
  <c r="AS97" i="11" s="1"/>
  <c r="AT97" i="11" s="1"/>
  <c r="AU97" i="11" s="1"/>
  <c r="AO91" i="1"/>
  <c r="AI91" i="1"/>
  <c r="AD74" i="1"/>
  <c r="AH74" i="1" s="1"/>
  <c r="AI74" i="1" s="1"/>
  <c r="AJ74" i="1" s="1"/>
  <c r="AK74" i="1" s="1"/>
  <c r="AL74" i="1" s="1"/>
  <c r="AM74" i="1" s="1"/>
  <c r="AN74" i="1" s="1"/>
  <c r="AO74" i="1" s="1"/>
  <c r="AP74" i="1" s="1"/>
  <c r="AQ74" i="1" s="1"/>
  <c r="AH210" i="16"/>
  <c r="AL210" i="16" s="1"/>
  <c r="AM210" i="16" s="1"/>
  <c r="AN210" i="16" s="1"/>
  <c r="AO210" i="16" s="1"/>
  <c r="AP210" i="16" s="1"/>
  <c r="AQ210" i="16" s="1"/>
  <c r="AR210" i="16" s="1"/>
  <c r="AS210" i="16" s="1"/>
  <c r="AT210" i="16" s="1"/>
  <c r="AU210" i="16" s="1"/>
  <c r="AX202" i="16"/>
  <c r="AX189" i="16"/>
  <c r="AH183" i="16"/>
  <c r="AL183" i="16" s="1"/>
  <c r="AM183" i="16" s="1"/>
  <c r="AN183" i="16" s="1"/>
  <c r="AO183" i="16" s="1"/>
  <c r="AP183" i="16" s="1"/>
  <c r="AQ183" i="16" s="1"/>
  <c r="AR183" i="16" s="1"/>
  <c r="AS183" i="16" s="1"/>
  <c r="AT183" i="16" s="1"/>
  <c r="AU183" i="16" s="1"/>
  <c r="AU118" i="16"/>
  <c r="AQ118" i="16"/>
  <c r="AR91" i="1"/>
  <c r="AR94" i="1" s="1"/>
  <c r="AR95" i="1" s="1"/>
  <c r="AR96" i="1" s="1"/>
  <c r="AT128" i="9"/>
  <c r="AS128" i="9"/>
  <c r="AH165" i="11"/>
  <c r="AK165" i="11" s="1"/>
  <c r="AL165" i="11" s="1"/>
  <c r="AM165" i="11" s="1"/>
  <c r="AN165" i="11" s="1"/>
  <c r="AO165" i="11" s="1"/>
  <c r="AP165" i="11" s="1"/>
  <c r="AQ165" i="11" s="1"/>
  <c r="AR165" i="11" s="1"/>
  <c r="AS165" i="11" s="1"/>
  <c r="AT165" i="11" s="1"/>
  <c r="AU165" i="11" s="1"/>
  <c r="AQ91" i="1"/>
  <c r="AX215" i="16"/>
  <c r="AH140" i="9"/>
  <c r="AK140" i="9" s="1"/>
  <c r="AL140" i="9" s="1"/>
  <c r="AM140" i="9" s="1"/>
  <c r="AN140" i="9" s="1"/>
  <c r="AO140" i="9" s="1"/>
  <c r="AP140" i="9" s="1"/>
  <c r="AQ140" i="9" s="1"/>
  <c r="AR140" i="9" s="1"/>
  <c r="AS140" i="9" s="1"/>
  <c r="AT140" i="9" s="1"/>
  <c r="AU140" i="9" s="1"/>
  <c r="AP101" i="9"/>
  <c r="AH139" i="11"/>
  <c r="AH171" i="16"/>
  <c r="AL171" i="16" s="1"/>
  <c r="AM171" i="16" s="1"/>
  <c r="AN171" i="16" s="1"/>
  <c r="AO171" i="16" s="1"/>
  <c r="AP171" i="16" s="1"/>
  <c r="AQ171" i="16" s="1"/>
  <c r="AR171" i="16" s="1"/>
  <c r="AS171" i="16" s="1"/>
  <c r="AT171" i="16" s="1"/>
  <c r="AU171" i="16" s="1"/>
  <c r="AH158" i="16"/>
  <c r="AL158" i="16" s="1"/>
  <c r="AM158" i="16" s="1"/>
  <c r="AN158" i="16" s="1"/>
  <c r="AO158" i="16" s="1"/>
  <c r="AP158" i="16" s="1"/>
  <c r="AQ158" i="16" s="1"/>
  <c r="AR158" i="16" s="1"/>
  <c r="AS158" i="16" s="1"/>
  <c r="AT158" i="16" s="1"/>
  <c r="AU158" i="16" s="1"/>
  <c r="AH192" i="9"/>
  <c r="AK192" i="9" s="1"/>
  <c r="AL192" i="9" s="1"/>
  <c r="AM192" i="9" s="1"/>
  <c r="AN192" i="9" s="1"/>
  <c r="AO192" i="9" s="1"/>
  <c r="AP192" i="9" s="1"/>
  <c r="AQ192" i="9" s="1"/>
  <c r="AR192" i="9" s="1"/>
  <c r="AS192" i="9" s="1"/>
  <c r="AT192" i="9" s="1"/>
  <c r="AU192" i="9" s="1"/>
  <c r="AH178" i="9"/>
  <c r="AK178" i="9" s="1"/>
  <c r="AL178" i="9" s="1"/>
  <c r="AM178" i="9" s="1"/>
  <c r="AN178" i="9" s="1"/>
  <c r="AO178" i="9" s="1"/>
  <c r="AP178" i="9" s="1"/>
  <c r="AQ178" i="9" s="1"/>
  <c r="AR178" i="9" s="1"/>
  <c r="AS178" i="9" s="1"/>
  <c r="AT178" i="9" s="1"/>
  <c r="AU178" i="9" s="1"/>
  <c r="AH99" i="9"/>
  <c r="AK99" i="9" s="1"/>
  <c r="AL99" i="9" s="1"/>
  <c r="AM99" i="9" s="1"/>
  <c r="AN99" i="9" s="1"/>
  <c r="AO99" i="9" s="1"/>
  <c r="AP99" i="9" s="1"/>
  <c r="AQ99" i="9" s="1"/>
  <c r="AR99" i="9" s="1"/>
  <c r="AS99" i="9" s="1"/>
  <c r="AT99" i="9" s="1"/>
  <c r="AU99" i="9" s="1"/>
  <c r="AH83" i="9"/>
  <c r="AK83" i="9" s="1"/>
  <c r="AL83" i="9" s="1"/>
  <c r="AM83" i="9" s="1"/>
  <c r="AN83" i="9" s="1"/>
  <c r="AO83" i="9" s="1"/>
  <c r="AP83" i="9" s="1"/>
  <c r="AQ83" i="9" s="1"/>
  <c r="AR83" i="9" s="1"/>
  <c r="AS83" i="9" s="1"/>
  <c r="AT83" i="9" s="1"/>
  <c r="AU83" i="9" s="1"/>
  <c r="AM113" i="6"/>
  <c r="AM116" i="6" s="1"/>
  <c r="AM117" i="6" s="1"/>
  <c r="AM118" i="6" s="1"/>
  <c r="AU224" i="11"/>
  <c r="AM224" i="11"/>
  <c r="AH54" i="10"/>
  <c r="AK54" i="10" s="1"/>
  <c r="AL54" i="10" s="1"/>
  <c r="AM54" i="10" s="1"/>
  <c r="AN54" i="10" s="1"/>
  <c r="AO54" i="10" s="1"/>
  <c r="AP54" i="10" s="1"/>
  <c r="AQ54" i="10" s="1"/>
  <c r="AR54" i="10" s="1"/>
  <c r="AS54" i="10" s="1"/>
  <c r="AT54" i="10" s="1"/>
  <c r="AU54" i="10" s="1"/>
  <c r="AL142" i="9"/>
  <c r="AM142" i="9" s="1"/>
  <c r="AN142" i="9" s="1"/>
  <c r="AO142" i="9" s="1"/>
  <c r="AP142" i="9" s="1"/>
  <c r="AQ142" i="9" s="1"/>
  <c r="AR142" i="9" s="1"/>
  <c r="AS142" i="9" s="1"/>
  <c r="AT142" i="9" s="1"/>
  <c r="AU142" i="9" s="1"/>
  <c r="AK147" i="9"/>
  <c r="AV204" i="9"/>
  <c r="AT101" i="9"/>
  <c r="AN143" i="11"/>
  <c r="AN141" i="11" s="1"/>
  <c r="AS194" i="11"/>
  <c r="AK141" i="11"/>
  <c r="AH123" i="11"/>
  <c r="AK123" i="11" s="1"/>
  <c r="AL123" i="11" s="1"/>
  <c r="AM123" i="11" s="1"/>
  <c r="AN123" i="11" s="1"/>
  <c r="AO123" i="11" s="1"/>
  <c r="AP123" i="11" s="1"/>
  <c r="AQ123" i="11" s="1"/>
  <c r="AR123" i="11" s="1"/>
  <c r="AS123" i="11" s="1"/>
  <c r="AT123" i="11" s="1"/>
  <c r="AU123" i="11" s="1"/>
  <c r="AJ91" i="1"/>
  <c r="AP113" i="6"/>
  <c r="AL113" i="6"/>
  <c r="AL116" i="6" s="1"/>
  <c r="AL117" i="6" s="1"/>
  <c r="AL118" i="6" s="1"/>
  <c r="AQ146" i="16"/>
  <c r="AU141" i="11"/>
  <c r="AK137" i="11"/>
  <c r="AL137" i="11" s="1"/>
  <c r="AM137" i="11" s="1"/>
  <c r="AP141" i="11"/>
  <c r="AX176" i="16"/>
  <c r="AQ207" i="11"/>
  <c r="AU207" i="11"/>
  <c r="AK131" i="11"/>
  <c r="AK132" i="11" s="1"/>
  <c r="AK133" i="11" s="1"/>
  <c r="AU127" i="11"/>
  <c r="AJ128" i="6"/>
  <c r="AK128" i="6" s="1"/>
  <c r="AK131" i="6" s="1"/>
  <c r="AK132" i="6" s="1"/>
  <c r="AK133" i="6" s="1"/>
  <c r="AS224" i="11"/>
  <c r="AV224" i="11"/>
  <c r="AP224" i="11"/>
  <c r="AK217" i="11"/>
  <c r="AL217" i="11" s="1"/>
  <c r="AM217" i="11" s="1"/>
  <c r="AL160" i="16"/>
  <c r="AM160" i="16" s="1"/>
  <c r="AN160" i="16" s="1"/>
  <c r="AO160" i="16" s="1"/>
  <c r="AP160" i="16" s="1"/>
  <c r="AQ160" i="16" s="1"/>
  <c r="AR160" i="16" s="1"/>
  <c r="AS160" i="16" s="1"/>
  <c r="AT160" i="16" s="1"/>
  <c r="AU160" i="16" s="1"/>
  <c r="AQ126" i="11"/>
  <c r="AN126" i="11"/>
  <c r="AV141" i="11"/>
  <c r="AV144" i="11" s="1"/>
  <c r="AV145" i="11" s="1"/>
  <c r="AV146" i="11" s="1"/>
  <c r="AH112" i="11"/>
  <c r="AK112" i="11" s="1"/>
  <c r="AL112" i="11" s="1"/>
  <c r="AM112" i="11" s="1"/>
  <c r="AN112" i="11" s="1"/>
  <c r="AO112" i="11" s="1"/>
  <c r="AP112" i="11" s="1"/>
  <c r="AQ112" i="11" s="1"/>
  <c r="AR112" i="11" s="1"/>
  <c r="AS112" i="11" s="1"/>
  <c r="AT112" i="11" s="1"/>
  <c r="AU112" i="11" s="1"/>
  <c r="AD129" i="1"/>
  <c r="AH129" i="1" s="1"/>
  <c r="AI129" i="1" s="1"/>
  <c r="AJ129" i="1" s="1"/>
  <c r="AK129" i="1" s="1"/>
  <c r="AL129" i="1" s="1"/>
  <c r="AM129" i="1" s="1"/>
  <c r="AN129" i="1" s="1"/>
  <c r="AO129" i="1" s="1"/>
  <c r="AP129" i="1" s="1"/>
  <c r="AQ129" i="1" s="1"/>
  <c r="AT118" i="16"/>
  <c r="AP118" i="16"/>
  <c r="AX119" i="16"/>
  <c r="AF110" i="6"/>
  <c r="AJ110" i="6" s="1"/>
  <c r="AK110" i="6" s="1"/>
  <c r="AL110" i="6" s="1"/>
  <c r="AM110" i="6" s="1"/>
  <c r="AN110" i="6" s="1"/>
  <c r="AO110" i="6" s="1"/>
  <c r="AP110" i="6" s="1"/>
  <c r="AQ110" i="6" s="1"/>
  <c r="AR110" i="6" s="1"/>
  <c r="AS110" i="6" s="1"/>
  <c r="AF96" i="6"/>
  <c r="AJ96" i="6" s="1"/>
  <c r="AK96" i="6" s="1"/>
  <c r="AL96" i="6" s="1"/>
  <c r="AM96" i="6" s="1"/>
  <c r="AN96" i="6" s="1"/>
  <c r="AO96" i="6" s="1"/>
  <c r="AP96" i="6" s="1"/>
  <c r="AQ96" i="6" s="1"/>
  <c r="AR96" i="6" s="1"/>
  <c r="AS96" i="6" s="1"/>
  <c r="AN128" i="9"/>
  <c r="AL56" i="10"/>
  <c r="AM211" i="16"/>
  <c r="AL216" i="16"/>
  <c r="AL217" i="16" s="1"/>
  <c r="AL218" i="16" s="1"/>
  <c r="AL136" i="16"/>
  <c r="AL137" i="16" s="1"/>
  <c r="AL138" i="16" s="1"/>
  <c r="AM130" i="16"/>
  <c r="AN130" i="16" s="1"/>
  <c r="AH128" i="16"/>
  <c r="AL128" i="16" s="1"/>
  <c r="AM128" i="16" s="1"/>
  <c r="AN128" i="16" s="1"/>
  <c r="AO128" i="16" s="1"/>
  <c r="AP128" i="16" s="1"/>
  <c r="AQ128" i="16" s="1"/>
  <c r="AR128" i="16" s="1"/>
  <c r="AS128" i="16" s="1"/>
  <c r="AT128" i="16" s="1"/>
  <c r="AU128" i="16" s="1"/>
  <c r="AL85" i="16"/>
  <c r="AM85" i="16" s="1"/>
  <c r="AN85" i="16" s="1"/>
  <c r="AO85" i="16" s="1"/>
  <c r="AP85" i="16" s="1"/>
  <c r="AQ85" i="16" s="1"/>
  <c r="AR85" i="16" s="1"/>
  <c r="AS85" i="16" s="1"/>
  <c r="AT85" i="16" s="1"/>
  <c r="AK154" i="9"/>
  <c r="AL154" i="9" s="1"/>
  <c r="AM154" i="9" s="1"/>
  <c r="AN154" i="9" s="1"/>
  <c r="AO154" i="9" s="1"/>
  <c r="AP154" i="9" s="1"/>
  <c r="AP139" i="9"/>
  <c r="AL127" i="9"/>
  <c r="AK124" i="9"/>
  <c r="AL124" i="9" s="1"/>
  <c r="AM124" i="9" s="1"/>
  <c r="AN124" i="9" s="1"/>
  <c r="AO124" i="9" s="1"/>
  <c r="AP124" i="9" s="1"/>
  <c r="AQ124" i="9" s="1"/>
  <c r="AR124" i="9" s="1"/>
  <c r="AS124" i="9" s="1"/>
  <c r="AT124" i="9" s="1"/>
  <c r="AU124" i="9" s="1"/>
  <c r="AL112" i="9"/>
  <c r="AM112" i="9" s="1"/>
  <c r="AN112" i="9" s="1"/>
  <c r="AO112" i="9" s="1"/>
  <c r="AP112" i="9" s="1"/>
  <c r="AQ112" i="9" s="1"/>
  <c r="AR112" i="9" s="1"/>
  <c r="AS112" i="9" s="1"/>
  <c r="AT112" i="9" s="1"/>
  <c r="AM100" i="9"/>
  <c r="AN100" i="9" s="1"/>
  <c r="AO100" i="9" s="1"/>
  <c r="AP100" i="9" s="1"/>
  <c r="AQ100" i="9" s="1"/>
  <c r="AR100" i="9" s="1"/>
  <c r="AS100" i="9" s="1"/>
  <c r="AT100" i="9" s="1"/>
  <c r="AL104" i="9"/>
  <c r="AL105" i="9" s="1"/>
  <c r="AL106" i="9" s="1"/>
  <c r="AL85" i="9"/>
  <c r="AH131" i="1"/>
  <c r="AI131" i="1" s="1"/>
  <c r="AJ131" i="1" s="1"/>
  <c r="AK131" i="1" s="1"/>
  <c r="AL131" i="1" s="1"/>
  <c r="AM131" i="1" s="1"/>
  <c r="AN131" i="1" s="1"/>
  <c r="AO131" i="1" s="1"/>
  <c r="AP131" i="1" s="1"/>
  <c r="AQ131" i="1" s="1"/>
  <c r="AH115" i="1"/>
  <c r="AH58" i="1"/>
  <c r="AH44" i="1"/>
  <c r="AK190" i="11"/>
  <c r="AL190" i="11" s="1"/>
  <c r="AK152" i="11"/>
  <c r="AL152" i="11" s="1"/>
  <c r="AM152" i="11" s="1"/>
  <c r="AN152" i="11" s="1"/>
  <c r="AO152" i="11" s="1"/>
  <c r="AP152" i="11" s="1"/>
  <c r="AM122" i="11"/>
  <c r="AN122" i="11" s="1"/>
  <c r="AL224" i="11"/>
  <c r="AO224" i="11"/>
  <c r="AR224" i="11"/>
  <c r="AL39" i="10"/>
  <c r="AM39" i="10" s="1"/>
  <c r="AN39" i="10" s="1"/>
  <c r="AO39" i="10" s="1"/>
  <c r="AP39" i="10" s="1"/>
  <c r="AQ39" i="10" s="1"/>
  <c r="AR39" i="10" s="1"/>
  <c r="AS39" i="10" s="1"/>
  <c r="AT39" i="10" s="1"/>
  <c r="AU39" i="10" s="1"/>
  <c r="AF126" i="6"/>
  <c r="AJ126" i="6" s="1"/>
  <c r="AK126" i="6" s="1"/>
  <c r="AL126" i="6" s="1"/>
  <c r="AM126" i="6" s="1"/>
  <c r="AN126" i="6" s="1"/>
  <c r="AO126" i="6" s="1"/>
  <c r="AP126" i="6" s="1"/>
  <c r="AQ126" i="6" s="1"/>
  <c r="AR126" i="6" s="1"/>
  <c r="AS126" i="6" s="1"/>
  <c r="AF95" i="6"/>
  <c r="AJ95" i="6" s="1"/>
  <c r="AK95" i="6" s="1"/>
  <c r="AL95" i="6" s="1"/>
  <c r="AM95" i="6" s="1"/>
  <c r="AN95" i="6" s="1"/>
  <c r="AO95" i="6" s="1"/>
  <c r="AP95" i="6" s="1"/>
  <c r="AQ95" i="6" s="1"/>
  <c r="AR95" i="6" s="1"/>
  <c r="AS95" i="6" s="1"/>
  <c r="AK113" i="6"/>
  <c r="AK116" i="6" s="1"/>
  <c r="AK117" i="6" s="1"/>
  <c r="AK118" i="6" s="1"/>
  <c r="AF152" i="6"/>
  <c r="AJ152" i="6" s="1"/>
  <c r="AK152" i="6" s="1"/>
  <c r="AL152" i="6" s="1"/>
  <c r="AM152" i="6" s="1"/>
  <c r="AN152" i="6" s="1"/>
  <c r="AO152" i="6" s="1"/>
  <c r="AP152" i="6" s="1"/>
  <c r="AQ152" i="6" s="1"/>
  <c r="AR152" i="6" s="1"/>
  <c r="AS152" i="6" s="1"/>
  <c r="AM144" i="6"/>
  <c r="AM145" i="6" s="1"/>
  <c r="AM146" i="6" s="1"/>
  <c r="AJ113" i="6"/>
  <c r="AJ116" i="6" s="1"/>
  <c r="AJ117" i="6" s="1"/>
  <c r="AJ118" i="6" s="1"/>
  <c r="AK156" i="11"/>
  <c r="AM100" i="11"/>
  <c r="AK81" i="6"/>
  <c r="AL81" i="6" s="1"/>
  <c r="AM81" i="6" s="1"/>
  <c r="AJ89" i="6"/>
  <c r="AJ90" i="6" s="1"/>
  <c r="AJ91" i="6" s="1"/>
  <c r="AK103" i="6"/>
  <c r="AK104" i="6" s="1"/>
  <c r="AK105" i="6" s="1"/>
  <c r="AS156" i="11"/>
  <c r="AS99" i="11"/>
  <c r="AS104" i="11" s="1"/>
  <c r="AS105" i="11" s="1"/>
  <c r="AS106" i="11" s="1"/>
  <c r="AP100" i="11"/>
  <c r="AT99" i="11"/>
  <c r="AT104" i="11" s="1"/>
  <c r="AT105" i="11" s="1"/>
  <c r="AT106" i="11" s="1"/>
  <c r="AF127" i="6"/>
  <c r="AJ127" i="6" s="1"/>
  <c r="AK127" i="6" s="1"/>
  <c r="AL127" i="6" s="1"/>
  <c r="AM127" i="6" s="1"/>
  <c r="AN127" i="6" s="1"/>
  <c r="AO127" i="6" s="1"/>
  <c r="AP127" i="6" s="1"/>
  <c r="AQ127" i="6" s="1"/>
  <c r="AR127" i="6" s="1"/>
  <c r="AS127" i="6" s="1"/>
  <c r="AN113" i="6"/>
  <c r="AN116" i="6" s="1"/>
  <c r="AN117" i="6" s="1"/>
  <c r="AN118" i="6" s="1"/>
  <c r="AS181" i="11"/>
  <c r="AO181" i="11"/>
  <c r="AP99" i="11"/>
  <c r="AP104" i="11" s="1"/>
  <c r="AP105" i="11" s="1"/>
  <c r="AP106" i="11" s="1"/>
  <c r="AL99" i="11"/>
  <c r="AL104" i="11" s="1"/>
  <c r="AL105" i="11" s="1"/>
  <c r="AL106" i="11" s="1"/>
  <c r="AF138" i="6"/>
  <c r="AJ138" i="6" s="1"/>
  <c r="AK138" i="6" s="1"/>
  <c r="AL138" i="6" s="1"/>
  <c r="AM138" i="6" s="1"/>
  <c r="AN138" i="6" s="1"/>
  <c r="AO138" i="6" s="1"/>
  <c r="AP138" i="6" s="1"/>
  <c r="AQ138" i="6" s="1"/>
  <c r="AR138" i="6" s="1"/>
  <c r="AS138" i="6" s="1"/>
  <c r="AS113" i="6"/>
  <c r="AL103" i="6"/>
  <c r="AL104" i="6" s="1"/>
  <c r="AL105" i="6" s="1"/>
  <c r="AM114" i="11"/>
  <c r="AM117" i="11" s="1"/>
  <c r="AM118" i="11" s="1"/>
  <c r="AM119" i="11" s="1"/>
  <c r="AR156" i="11"/>
  <c r="AM156" i="11"/>
  <c r="AR113" i="6"/>
  <c r="AU99" i="11"/>
  <c r="AU104" i="11" s="1"/>
  <c r="AU105" i="11" s="1"/>
  <c r="AU106" i="11" s="1"/>
  <c r="AN140" i="6"/>
  <c r="AN144" i="6" s="1"/>
  <c r="AN145" i="6" s="1"/>
  <c r="AN146" i="6" s="1"/>
  <c r="AU181" i="11"/>
  <c r="AL114" i="11"/>
  <c r="AL117" i="11" s="1"/>
  <c r="AL118" i="11" s="1"/>
  <c r="AL119" i="11" s="1"/>
  <c r="AT113" i="6"/>
  <c r="AT116" i="6" s="1"/>
  <c r="AT117" i="6" s="1"/>
  <c r="AT118" i="6" s="1"/>
  <c r="AL156" i="11"/>
  <c r="AR140" i="6"/>
  <c r="AR144" i="6" s="1"/>
  <c r="AR145" i="6" s="1"/>
  <c r="AR146" i="6" s="1"/>
  <c r="AS168" i="11"/>
  <c r="AN99" i="11"/>
  <c r="AN104" i="11" s="1"/>
  <c r="AN105" i="11" s="1"/>
  <c r="AN106" i="11" s="1"/>
  <c r="AV114" i="11"/>
  <c r="AV117" i="11" s="1"/>
  <c r="AV118" i="11" s="1"/>
  <c r="AV119" i="11" s="1"/>
  <c r="AO100" i="11"/>
  <c r="AQ140" i="6"/>
  <c r="AQ144" i="6" s="1"/>
  <c r="AQ145" i="6" s="1"/>
  <c r="AQ146" i="6" s="1"/>
  <c r="AO113" i="6"/>
  <c r="AO116" i="6" s="1"/>
  <c r="AO117" i="6" s="1"/>
  <c r="AO118" i="6" s="1"/>
  <c r="AF111" i="6"/>
  <c r="AJ111" i="6" s="1"/>
  <c r="AK111" i="6" s="1"/>
  <c r="AL111" i="6" s="1"/>
  <c r="AM111" i="6" s="1"/>
  <c r="AN111" i="6" s="1"/>
  <c r="AO111" i="6" s="1"/>
  <c r="AP111" i="6" s="1"/>
  <c r="AQ111" i="6" s="1"/>
  <c r="AR111" i="6" s="1"/>
  <c r="AS111" i="6" s="1"/>
  <c r="AK150" i="6"/>
  <c r="AP109" i="6"/>
  <c r="AQ109" i="6" s="1"/>
  <c r="AR109" i="6" s="1"/>
  <c r="AS109" i="6" s="1"/>
  <c r="AJ103" i="6"/>
  <c r="AJ104" i="6" s="1"/>
  <c r="AJ105" i="6" s="1"/>
  <c r="AM103" i="6"/>
  <c r="AM104" i="6" s="1"/>
  <c r="AM105" i="6" s="1"/>
  <c r="AO99" i="11"/>
  <c r="AO104" i="11" s="1"/>
  <c r="AO105" i="11" s="1"/>
  <c r="AO106" i="11" s="1"/>
  <c r="AO115" i="11"/>
  <c r="AO114" i="11" s="1"/>
  <c r="AO117" i="11" s="1"/>
  <c r="AO118" i="11" s="1"/>
  <c r="AO119" i="11" s="1"/>
  <c r="AL100" i="11"/>
  <c r="AV100" i="11"/>
  <c r="AU100" i="11"/>
  <c r="AO140" i="6"/>
  <c r="AO144" i="6" s="1"/>
  <c r="AO145" i="6" s="1"/>
  <c r="AO146" i="6" s="1"/>
  <c r="AS140" i="6"/>
  <c r="AS144" i="6" s="1"/>
  <c r="AS145" i="6" s="1"/>
  <c r="AS146" i="6" s="1"/>
  <c r="AL140" i="6"/>
  <c r="AL144" i="6" s="1"/>
  <c r="AL145" i="6" s="1"/>
  <c r="AL146" i="6" s="1"/>
  <c r="AK140" i="6"/>
  <c r="AK144" i="6" s="1"/>
  <c r="AK145" i="6" s="1"/>
  <c r="AK146" i="6" s="1"/>
  <c r="AU114" i="11"/>
  <c r="AQ100" i="11"/>
  <c r="AQ113" i="6"/>
  <c r="AS116" i="11"/>
  <c r="AS114" i="11" s="1"/>
  <c r="AR114" i="11"/>
  <c r="AN100" i="11"/>
  <c r="AK100" i="11"/>
  <c r="AJ140" i="6"/>
  <c r="AJ144" i="6" s="1"/>
  <c r="AJ145" i="6" s="1"/>
  <c r="AJ146" i="6" s="1"/>
  <c r="AP140" i="6"/>
  <c r="AP144" i="6" s="1"/>
  <c r="AP145" i="6" s="1"/>
  <c r="AP146" i="6" s="1"/>
  <c r="AT181" i="11"/>
  <c r="AP181" i="11"/>
  <c r="AL181" i="11"/>
  <c r="AO168" i="11"/>
  <c r="AO171" i="11" s="1"/>
  <c r="AO172" i="11" s="1"/>
  <c r="AO173" i="11" s="1"/>
  <c r="AL168" i="11"/>
  <c r="AL171" i="11" s="1"/>
  <c r="AL172" i="11" s="1"/>
  <c r="AL173" i="11" s="1"/>
  <c r="AV99" i="11"/>
  <c r="AV104" i="11" s="1"/>
  <c r="AV105" i="11" s="1"/>
  <c r="AV106" i="11" s="1"/>
  <c r="AK99" i="11"/>
  <c r="AK104" i="11" s="1"/>
  <c r="AK105" i="11" s="1"/>
  <c r="AK106" i="11" s="1"/>
  <c r="AM195" i="16"/>
  <c r="AL202" i="16"/>
  <c r="AL204" i="16" s="1"/>
  <c r="AH196" i="16"/>
  <c r="AL196" i="16" s="1"/>
  <c r="AM196" i="16" s="1"/>
  <c r="AN196" i="16" s="1"/>
  <c r="AO196" i="16" s="1"/>
  <c r="AP196" i="16" s="1"/>
  <c r="AQ196" i="16" s="1"/>
  <c r="AR196" i="16" s="1"/>
  <c r="AS196" i="16" s="1"/>
  <c r="AT196" i="16" s="1"/>
  <c r="AU196" i="16" s="1"/>
  <c r="AK207" i="11"/>
  <c r="AK211" i="11" s="1"/>
  <c r="AK213" i="11" s="1"/>
  <c r="AV194" i="11"/>
  <c r="AV197" i="11" s="1"/>
  <c r="AV198" i="11" s="1"/>
  <c r="AV199" i="11" s="1"/>
  <c r="AK194" i="11"/>
  <c r="AL169" i="16"/>
  <c r="AM169" i="16" s="1"/>
  <c r="AM176" i="16" s="1"/>
  <c r="AM177" i="16" s="1"/>
  <c r="AM178" i="16" s="1"/>
  <c r="AH170" i="16"/>
  <c r="AL170" i="16" s="1"/>
  <c r="AM170" i="16" s="1"/>
  <c r="AN170" i="16" s="1"/>
  <c r="AO170" i="16" s="1"/>
  <c r="AP170" i="16" s="1"/>
  <c r="AQ170" i="16" s="1"/>
  <c r="AR170" i="16" s="1"/>
  <c r="AS170" i="16" s="1"/>
  <c r="AT170" i="16" s="1"/>
  <c r="AU170" i="16" s="1"/>
  <c r="AQ181" i="11"/>
  <c r="AM181" i="11"/>
  <c r="AT168" i="11"/>
  <c r="AP168" i="11"/>
  <c r="AP171" i="11" s="1"/>
  <c r="AP172" i="11" s="1"/>
  <c r="AP173" i="11" s="1"/>
  <c r="AL157" i="16"/>
  <c r="AM157" i="16" s="1"/>
  <c r="AL142" i="16"/>
  <c r="AR141" i="11"/>
  <c r="AS127" i="11"/>
  <c r="AR127" i="11"/>
  <c r="AX147" i="16"/>
  <c r="AX149" i="16" s="1"/>
  <c r="AP127" i="11"/>
  <c r="AV127" i="11"/>
  <c r="AR99" i="11"/>
  <c r="AR104" i="11" s="1"/>
  <c r="AR105" i="11" s="1"/>
  <c r="AR106" i="11" s="1"/>
  <c r="AR100" i="11"/>
  <c r="AM118" i="16"/>
  <c r="AS100" i="11"/>
  <c r="AQ115" i="11"/>
  <c r="AQ114" i="11" s="1"/>
  <c r="AN118" i="16"/>
  <c r="AM88" i="16"/>
  <c r="AR89" i="16"/>
  <c r="AK89" i="11"/>
  <c r="AK90" i="11" s="1"/>
  <c r="AK91" i="11" s="1"/>
  <c r="AL85" i="11"/>
  <c r="AL74" i="16"/>
  <c r="AM74" i="16" s="1"/>
  <c r="AN74" i="16" s="1"/>
  <c r="AO74" i="16" s="1"/>
  <c r="AP74" i="16" s="1"/>
  <c r="AQ74" i="16" s="1"/>
  <c r="AR74" i="16" s="1"/>
  <c r="AS74" i="16" s="1"/>
  <c r="AT74" i="16" s="1"/>
  <c r="AU74" i="16" s="1"/>
  <c r="AN75" i="16"/>
  <c r="AK72" i="11"/>
  <c r="AK58" i="11"/>
  <c r="AM62" i="1"/>
  <c r="AP110" i="11"/>
  <c r="AQ110" i="11" s="1"/>
  <c r="AR110" i="11" s="1"/>
  <c r="AS110" i="11" s="1"/>
  <c r="AT110" i="11" s="1"/>
  <c r="AU110" i="11" s="1"/>
  <c r="AO206" i="11"/>
  <c r="AS164" i="11"/>
  <c r="AT164" i="11" s="1"/>
  <c r="AU164" i="11" s="1"/>
  <c r="AO94" i="6"/>
  <c r="AN103" i="6"/>
  <c r="AN104" i="6" s="1"/>
  <c r="AN105" i="6" s="1"/>
  <c r="AQ71" i="16"/>
  <c r="AL185" i="16"/>
  <c r="AP42" i="10"/>
  <c r="AL180" i="11"/>
  <c r="AT114" i="11"/>
  <c r="AN114" i="11"/>
  <c r="AN117" i="11" s="1"/>
  <c r="AN118" i="11" s="1"/>
  <c r="AD87" i="1"/>
  <c r="AH159" i="16"/>
  <c r="AL159" i="16" s="1"/>
  <c r="AM159" i="16" s="1"/>
  <c r="AN159" i="16" s="1"/>
  <c r="AO159" i="16" s="1"/>
  <c r="AP159" i="16" s="1"/>
  <c r="AQ159" i="16" s="1"/>
  <c r="AR159" i="16" s="1"/>
  <c r="AS159" i="16" s="1"/>
  <c r="AT159" i="16" s="1"/>
  <c r="AU159" i="16" s="1"/>
  <c r="AK151" i="9"/>
  <c r="AV101" i="9"/>
  <c r="AV104" i="9" s="1"/>
  <c r="AV105" i="9" s="1"/>
  <c r="AV106" i="9" s="1"/>
  <c r="AU128" i="9"/>
  <c r="AH55" i="10"/>
  <c r="AK55" i="10" s="1"/>
  <c r="AL55" i="10" s="1"/>
  <c r="AM55" i="10" s="1"/>
  <c r="AN55" i="10" s="1"/>
  <c r="AO55" i="10" s="1"/>
  <c r="AP55" i="10" s="1"/>
  <c r="AQ55" i="10" s="1"/>
  <c r="AR55" i="10" s="1"/>
  <c r="AS55" i="10" s="1"/>
  <c r="AT55" i="10" s="1"/>
  <c r="AU55" i="10" s="1"/>
  <c r="AV156" i="11"/>
  <c r="AV158" i="11" s="1"/>
  <c r="AV159" i="11" s="1"/>
  <c r="AV160" i="11" s="1"/>
  <c r="AM91" i="1"/>
  <c r="AR146" i="16"/>
  <c r="AQ128" i="9"/>
  <c r="AK167" i="9"/>
  <c r="AM163" i="16" l="1"/>
  <c r="AN119" i="11"/>
  <c r="AK173" i="11"/>
  <c r="AO158" i="11"/>
  <c r="AO159" i="11" s="1"/>
  <c r="AO160" i="11" s="1"/>
  <c r="AK62" i="10"/>
  <c r="AK63" i="10" s="1"/>
  <c r="AK66" i="10" s="1"/>
  <c r="AN47" i="10"/>
  <c r="AN49" i="10" s="1"/>
  <c r="AL108" i="16"/>
  <c r="AL109" i="16" s="1"/>
  <c r="AL110" i="16" s="1"/>
  <c r="AU171" i="11"/>
  <c r="AU172" i="11" s="1"/>
  <c r="AU173" i="11" s="1"/>
  <c r="AK62" i="11"/>
  <c r="AK63" i="11" s="1"/>
  <c r="AK64" i="11" s="1"/>
  <c r="AM57" i="16"/>
  <c r="AM65" i="16" s="1"/>
  <c r="AM67" i="16" s="1"/>
  <c r="AJ158" i="6"/>
  <c r="AJ159" i="6" s="1"/>
  <c r="AJ160" i="6" s="1"/>
  <c r="AK104" i="9"/>
  <c r="AK105" i="9" s="1"/>
  <c r="AK106" i="9" s="1"/>
  <c r="AL61" i="10"/>
  <c r="AL63" i="10" s="1"/>
  <c r="AL158" i="11"/>
  <c r="AL159" i="11" s="1"/>
  <c r="AL160" i="11" s="1"/>
  <c r="AL121" i="16"/>
  <c r="AL122" i="16" s="1"/>
  <c r="AL123" i="16" s="1"/>
  <c r="AJ67" i="6"/>
  <c r="AK53" i="6"/>
  <c r="AK91" i="9"/>
  <c r="AK92" i="9" s="1"/>
  <c r="AK93" i="9" s="1"/>
  <c r="AK120" i="9"/>
  <c r="AM99" i="16"/>
  <c r="AM108" i="16" s="1"/>
  <c r="AM109" i="16" s="1"/>
  <c r="AM110" i="16" s="1"/>
  <c r="AI81" i="1"/>
  <c r="AI82" i="1" s="1"/>
  <c r="AI83" i="1" s="1"/>
  <c r="AK72" i="1"/>
  <c r="AK81" i="1" s="1"/>
  <c r="AK82" i="1" s="1"/>
  <c r="AK83" i="1" s="1"/>
  <c r="AL197" i="11"/>
  <c r="AL198" i="11" s="1"/>
  <c r="AL199" i="11" s="1"/>
  <c r="AK138" i="11"/>
  <c r="AL138" i="11" s="1"/>
  <c r="AM138" i="11" s="1"/>
  <c r="AN138" i="11" s="1"/>
  <c r="AO138" i="11" s="1"/>
  <c r="AP138" i="11" s="1"/>
  <c r="AQ138" i="11" s="1"/>
  <c r="AR138" i="11" s="1"/>
  <c r="AS138" i="11" s="1"/>
  <c r="AT138" i="11" s="1"/>
  <c r="AU138" i="11" s="1"/>
  <c r="AM136" i="16"/>
  <c r="AM137" i="16" s="1"/>
  <c r="AM138" i="16" s="1"/>
  <c r="AK144" i="11"/>
  <c r="AK146" i="11" s="1"/>
  <c r="AM121" i="16"/>
  <c r="AM122" i="16" s="1"/>
  <c r="AM123" i="16" s="1"/>
  <c r="AX121" i="16"/>
  <c r="AL144" i="11"/>
  <c r="AL145" i="11" s="1"/>
  <c r="AL146" i="11" s="1"/>
  <c r="AL79" i="16"/>
  <c r="AL81" i="16" s="1"/>
  <c r="AN121" i="16"/>
  <c r="AN122" i="16" s="1"/>
  <c r="AN123" i="16" s="1"/>
  <c r="AO121" i="16"/>
  <c r="AO122" i="16" s="1"/>
  <c r="AO123" i="16" s="1"/>
  <c r="AL145" i="9"/>
  <c r="AL147" i="9" s="1"/>
  <c r="AK225" i="11"/>
  <c r="AK226" i="11" s="1"/>
  <c r="AK227" i="11" s="1"/>
  <c r="AN145" i="9"/>
  <c r="AN147" i="9" s="1"/>
  <c r="AI106" i="1"/>
  <c r="AH110" i="1"/>
  <c r="AH111" i="1" s="1"/>
  <c r="AK197" i="11"/>
  <c r="AK199" i="11" s="1"/>
  <c r="AM190" i="11"/>
  <c r="AM197" i="11" s="1"/>
  <c r="AH136" i="1"/>
  <c r="AH137" i="1" s="1"/>
  <c r="AH138" i="1" s="1"/>
  <c r="AJ131" i="6"/>
  <c r="AJ132" i="6" s="1"/>
  <c r="AJ133" i="6" s="1"/>
  <c r="AM56" i="10"/>
  <c r="AN56" i="10" s="1"/>
  <c r="AT117" i="11"/>
  <c r="AT118" i="11" s="1"/>
  <c r="AT119" i="11" s="1"/>
  <c r="AM104" i="9"/>
  <c r="AM105" i="9" s="1"/>
  <c r="AM106" i="9" s="1"/>
  <c r="AQ121" i="16"/>
  <c r="AQ122" i="16" s="1"/>
  <c r="AQ123" i="16" s="1"/>
  <c r="AL163" i="16"/>
  <c r="AL164" i="16" s="1"/>
  <c r="AL165" i="16" s="1"/>
  <c r="AP117" i="11"/>
  <c r="AP118" i="11" s="1"/>
  <c r="AP119" i="11" s="1"/>
  <c r="AL47" i="10"/>
  <c r="AL120" i="9"/>
  <c r="AK139" i="11"/>
  <c r="AL139" i="11" s="1"/>
  <c r="AM139" i="11" s="1"/>
  <c r="AN139" i="11" s="1"/>
  <c r="AO139" i="11" s="1"/>
  <c r="AP139" i="11" s="1"/>
  <c r="AQ139" i="11" s="1"/>
  <c r="AR139" i="11" s="1"/>
  <c r="AS139" i="11" s="1"/>
  <c r="AT139" i="11" s="1"/>
  <c r="AU139" i="11" s="1"/>
  <c r="AO47" i="10"/>
  <c r="AO49" i="10" s="1"/>
  <c r="AL93" i="16"/>
  <c r="AL95" i="16" s="1"/>
  <c r="AO145" i="9"/>
  <c r="AO147" i="9" s="1"/>
  <c r="AM145" i="9"/>
  <c r="AM147" i="9" s="1"/>
  <c r="AM216" i="16"/>
  <c r="AM217" i="16" s="1"/>
  <c r="AM218" i="16" s="1"/>
  <c r="AN211" i="16"/>
  <c r="AN169" i="16"/>
  <c r="AN176" i="16" s="1"/>
  <c r="AN177" i="16" s="1"/>
  <c r="AN178" i="16" s="1"/>
  <c r="AL176" i="16"/>
  <c r="AL177" i="16" s="1"/>
  <c r="AL178" i="16" s="1"/>
  <c r="AN136" i="16"/>
  <c r="AN137" i="16" s="1"/>
  <c r="AN138" i="16" s="1"/>
  <c r="AO130" i="16"/>
  <c r="AP121" i="16"/>
  <c r="AP122" i="16" s="1"/>
  <c r="AP123" i="16" s="1"/>
  <c r="AM79" i="16"/>
  <c r="AM81" i="16" s="1"/>
  <c r="AK89" i="6"/>
  <c r="AK90" i="6" s="1"/>
  <c r="AK91" i="6" s="1"/>
  <c r="AT171" i="11"/>
  <c r="AT172" i="11" s="1"/>
  <c r="AT173" i="11" s="1"/>
  <c r="AM158" i="11"/>
  <c r="AM159" i="11" s="1"/>
  <c r="AM160" i="11" s="1"/>
  <c r="AQ139" i="9"/>
  <c r="AP145" i="9"/>
  <c r="AP146" i="9" s="1"/>
  <c r="AP147" i="9" s="1"/>
  <c r="AM127" i="9"/>
  <c r="AL131" i="9"/>
  <c r="AL133" i="9" s="1"/>
  <c r="AK131" i="9"/>
  <c r="AK133" i="9" s="1"/>
  <c r="AN109" i="9"/>
  <c r="AM119" i="9"/>
  <c r="AM120" i="9" s="1"/>
  <c r="AN104" i="9"/>
  <c r="AN105" i="9" s="1"/>
  <c r="AN106" i="9" s="1"/>
  <c r="AO104" i="9"/>
  <c r="AO105" i="9" s="1"/>
  <c r="AO106" i="9" s="1"/>
  <c r="AM85" i="9"/>
  <c r="AI136" i="1"/>
  <c r="AI137" i="1" s="1"/>
  <c r="AI138" i="1" s="1"/>
  <c r="AJ128" i="1"/>
  <c r="AI115" i="1"/>
  <c r="AH123" i="1"/>
  <c r="AH124" i="1" s="1"/>
  <c r="AI58" i="1"/>
  <c r="AH66" i="1"/>
  <c r="AI44" i="1"/>
  <c r="AK158" i="11"/>
  <c r="AK159" i="11" s="1"/>
  <c r="AK160" i="11" s="1"/>
  <c r="AN158" i="11"/>
  <c r="AN159" i="11" s="1"/>
  <c r="AN160" i="11" s="1"/>
  <c r="AM131" i="11"/>
  <c r="AM132" i="11" s="1"/>
  <c r="AM133" i="11" s="1"/>
  <c r="AO122" i="11"/>
  <c r="AN131" i="11"/>
  <c r="AN132" i="11" s="1"/>
  <c r="AN133" i="11" s="1"/>
  <c r="AM47" i="10"/>
  <c r="AM49" i="10" s="1"/>
  <c r="AU117" i="11"/>
  <c r="AU118" i="11" s="1"/>
  <c r="AU119" i="11" s="1"/>
  <c r="AS116" i="6"/>
  <c r="AS117" i="6" s="1"/>
  <c r="AS118" i="6" s="1"/>
  <c r="AR116" i="6"/>
  <c r="AR117" i="6" s="1"/>
  <c r="AR118" i="6" s="1"/>
  <c r="AL89" i="6"/>
  <c r="AL90" i="6" s="1"/>
  <c r="AL91" i="6" s="1"/>
  <c r="AQ116" i="6"/>
  <c r="AQ117" i="6" s="1"/>
  <c r="AQ118" i="6" s="1"/>
  <c r="AL58" i="11"/>
  <c r="AM58" i="11" s="1"/>
  <c r="AM62" i="11" s="1"/>
  <c r="AM63" i="11" s="1"/>
  <c r="AM64" i="11" s="1"/>
  <c r="AN81" i="6"/>
  <c r="AM89" i="6"/>
  <c r="AM90" i="6" s="1"/>
  <c r="AM91" i="6" s="1"/>
  <c r="AL128" i="6"/>
  <c r="AL131" i="6" s="1"/>
  <c r="AL132" i="6" s="1"/>
  <c r="AL133" i="6" s="1"/>
  <c r="AP116" i="6"/>
  <c r="AP117" i="6" s="1"/>
  <c r="AP118" i="6" s="1"/>
  <c r="AK158" i="6"/>
  <c r="AK159" i="6" s="1"/>
  <c r="AK160" i="6" s="1"/>
  <c r="AL150" i="6"/>
  <c r="AM202" i="16"/>
  <c r="AM204" i="16" s="1"/>
  <c r="AN195" i="16"/>
  <c r="AN157" i="16"/>
  <c r="AM164" i="16"/>
  <c r="AM165" i="16" s="1"/>
  <c r="AL149" i="16"/>
  <c r="AL150" i="16" s="1"/>
  <c r="AL151" i="16" s="1"/>
  <c r="AM142" i="16"/>
  <c r="AS117" i="16"/>
  <c r="AR121" i="16"/>
  <c r="AR122" i="16" s="1"/>
  <c r="AR123" i="16" s="1"/>
  <c r="AN88" i="16"/>
  <c r="AM93" i="16"/>
  <c r="AM95" i="16" s="1"/>
  <c r="AL89" i="11"/>
  <c r="AL90" i="11" s="1"/>
  <c r="AL91" i="11" s="1"/>
  <c r="AM85" i="11"/>
  <c r="AS89" i="16"/>
  <c r="AL72" i="11"/>
  <c r="AO75" i="16"/>
  <c r="AN79" i="16"/>
  <c r="AH87" i="1"/>
  <c r="AL167" i="9"/>
  <c r="AK172" i="9"/>
  <c r="AK174" i="9" s="1"/>
  <c r="AL151" i="9"/>
  <c r="AK158" i="9"/>
  <c r="AK160" i="9" s="1"/>
  <c r="AM180" i="11"/>
  <c r="AL185" i="11"/>
  <c r="AL186" i="11" s="1"/>
  <c r="AL187" i="11" s="1"/>
  <c r="AM185" i="16"/>
  <c r="AL190" i="16"/>
  <c r="AL192" i="16" s="1"/>
  <c r="AR71" i="16"/>
  <c r="AQ152" i="11"/>
  <c r="AP158" i="11"/>
  <c r="AP159" i="11" s="1"/>
  <c r="AP160" i="11" s="1"/>
  <c r="AQ153" i="6"/>
  <c r="AS117" i="11"/>
  <c r="AS118" i="11" s="1"/>
  <c r="AS119" i="11" s="1"/>
  <c r="AQ154" i="9"/>
  <c r="AN137" i="11"/>
  <c r="AM144" i="11"/>
  <c r="AM145" i="11" s="1"/>
  <c r="AM146" i="11" s="1"/>
  <c r="AN62" i="1"/>
  <c r="AL225" i="11"/>
  <c r="AO103" i="6"/>
  <c r="AO104" i="6" s="1"/>
  <c r="AO105" i="6" s="1"/>
  <c r="AP94" i="6"/>
  <c r="AU85" i="16"/>
  <c r="AS171" i="11"/>
  <c r="AS172" i="11" s="1"/>
  <c r="AS173" i="11" s="1"/>
  <c r="AP206" i="11"/>
  <c r="AO212" i="11"/>
  <c r="AO213" i="11" s="1"/>
  <c r="AM225" i="11"/>
  <c r="AM226" i="11" s="1"/>
  <c r="AM227" i="11" s="1"/>
  <c r="AN217" i="11"/>
  <c r="AQ42" i="10"/>
  <c r="AP47" i="10"/>
  <c r="AP48" i="10" s="1"/>
  <c r="AP49" i="10" s="1"/>
  <c r="AQ117" i="11"/>
  <c r="AQ118" i="11" s="1"/>
  <c r="AQ119" i="11" s="1"/>
  <c r="AR117" i="11"/>
  <c r="AR118" i="11" s="1"/>
  <c r="AR119" i="11" s="1"/>
  <c r="AU100" i="9"/>
  <c r="AU112" i="9"/>
  <c r="AM199" i="11" l="1"/>
  <c r="AK204" i="9"/>
  <c r="AN57" i="16"/>
  <c r="AN65" i="16" s="1"/>
  <c r="AN67" i="16" s="1"/>
  <c r="AL220" i="16"/>
  <c r="AL91" i="9"/>
  <c r="AL92" i="9" s="1"/>
  <c r="AL93" i="9" s="1"/>
  <c r="AL49" i="10"/>
  <c r="AL66" i="10" s="1"/>
  <c r="AM61" i="10"/>
  <c r="AM62" i="10" s="1"/>
  <c r="AN99" i="16"/>
  <c r="AN108" i="16" s="1"/>
  <c r="AN109" i="16" s="1"/>
  <c r="AN110" i="16" s="1"/>
  <c r="AK77" i="11"/>
  <c r="AL53" i="6"/>
  <c r="AK67" i="6"/>
  <c r="AL72" i="1"/>
  <c r="AL81" i="1" s="1"/>
  <c r="AL82" i="1" s="1"/>
  <c r="AL83" i="1" s="1"/>
  <c r="AO169" i="16"/>
  <c r="AP169" i="16" s="1"/>
  <c r="AL226" i="11"/>
  <c r="AL227" i="11" s="1"/>
  <c r="AJ106" i="1"/>
  <c r="AI111" i="1"/>
  <c r="AN190" i="11"/>
  <c r="AO190" i="11" s="1"/>
  <c r="AO211" i="16"/>
  <c r="AN216" i="16"/>
  <c r="AN217" i="16" s="1"/>
  <c r="AN218" i="16" s="1"/>
  <c r="AP130" i="16"/>
  <c r="AO136" i="16"/>
  <c r="AO137" i="16" s="1"/>
  <c r="AO138" i="16" s="1"/>
  <c r="AR139" i="9"/>
  <c r="AQ145" i="9"/>
  <c r="AQ146" i="9" s="1"/>
  <c r="AQ147" i="9" s="1"/>
  <c r="AM131" i="9"/>
  <c r="AM133" i="9" s="1"/>
  <c r="AN127" i="9"/>
  <c r="AO109" i="9"/>
  <c r="AN119" i="9"/>
  <c r="AN120" i="9" s="1"/>
  <c r="AP104" i="9"/>
  <c r="AP105" i="9" s="1"/>
  <c r="AP106" i="9" s="1"/>
  <c r="AN85" i="9"/>
  <c r="AM91" i="9"/>
  <c r="AM92" i="9" s="1"/>
  <c r="AJ136" i="1"/>
  <c r="AJ137" i="1" s="1"/>
  <c r="AJ138" i="1" s="1"/>
  <c r="AK128" i="1"/>
  <c r="AI123" i="1"/>
  <c r="AI124" i="1" s="1"/>
  <c r="AJ115" i="1"/>
  <c r="AJ58" i="1"/>
  <c r="AI66" i="1"/>
  <c r="AI68" i="1" s="1"/>
  <c r="AI53" i="1"/>
  <c r="AI54" i="1" s="1"/>
  <c r="AJ44" i="1"/>
  <c r="AP122" i="11"/>
  <c r="AO131" i="11"/>
  <c r="AO132" i="11" s="1"/>
  <c r="AO133" i="11" s="1"/>
  <c r="AN58" i="11"/>
  <c r="AO58" i="11" s="1"/>
  <c r="AO62" i="11" s="1"/>
  <c r="AO63" i="11" s="1"/>
  <c r="AO64" i="11" s="1"/>
  <c r="AM128" i="6"/>
  <c r="AM131" i="6" s="1"/>
  <c r="AM132" i="6" s="1"/>
  <c r="AM133" i="6" s="1"/>
  <c r="AL62" i="11"/>
  <c r="AL63" i="11" s="1"/>
  <c r="AL64" i="11" s="1"/>
  <c r="AO81" i="6"/>
  <c r="AN89" i="6"/>
  <c r="AN90" i="6" s="1"/>
  <c r="AN91" i="6" s="1"/>
  <c r="AM150" i="6"/>
  <c r="AL158" i="6"/>
  <c r="AL159" i="6" s="1"/>
  <c r="AL160" i="6" s="1"/>
  <c r="AO195" i="16"/>
  <c r="AN202" i="16"/>
  <c r="AN204" i="16" s="1"/>
  <c r="AO157" i="16"/>
  <c r="AN163" i="16"/>
  <c r="AN164" i="16" s="1"/>
  <c r="AN165" i="16" s="1"/>
  <c r="AM149" i="16"/>
  <c r="AM150" i="16" s="1"/>
  <c r="AM151" i="16" s="1"/>
  <c r="AN142" i="16"/>
  <c r="AS121" i="16"/>
  <c r="AS122" i="16" s="1"/>
  <c r="AS123" i="16" s="1"/>
  <c r="AT117" i="16"/>
  <c r="AO88" i="16"/>
  <c r="AN93" i="16"/>
  <c r="AN95" i="16" s="1"/>
  <c r="AT89" i="16"/>
  <c r="AM89" i="11"/>
  <c r="AM90" i="11" s="1"/>
  <c r="AM91" i="11" s="1"/>
  <c r="AN85" i="11"/>
  <c r="AP75" i="16"/>
  <c r="AO79" i="16"/>
  <c r="AO81" i="16" s="1"/>
  <c r="AM72" i="11"/>
  <c r="AL77" i="11"/>
  <c r="AL78" i="11" s="1"/>
  <c r="AQ206" i="11"/>
  <c r="AP211" i="11"/>
  <c r="AP212" i="11" s="1"/>
  <c r="AP213" i="11" s="1"/>
  <c r="AM151" i="9"/>
  <c r="AL158" i="9"/>
  <c r="AL160" i="9" s="1"/>
  <c r="AO56" i="10"/>
  <c r="AN61" i="10"/>
  <c r="AN62" i="10" s="1"/>
  <c r="AO62" i="1"/>
  <c r="AO137" i="11"/>
  <c r="AN144" i="11"/>
  <c r="AN145" i="11" s="1"/>
  <c r="AN146" i="11" s="1"/>
  <c r="AR154" i="9"/>
  <c r="AO57" i="16"/>
  <c r="AN180" i="11"/>
  <c r="AM185" i="11"/>
  <c r="AM186" i="11" s="1"/>
  <c r="AM187" i="11" s="1"/>
  <c r="AR153" i="6"/>
  <c r="AM167" i="9"/>
  <c r="AL172" i="9"/>
  <c r="AL174" i="9" s="1"/>
  <c r="AR42" i="10"/>
  <c r="AQ47" i="10"/>
  <c r="AQ48" i="10" s="1"/>
  <c r="AQ49" i="10" s="1"/>
  <c r="AP103" i="6"/>
  <c r="AP104" i="6" s="1"/>
  <c r="AP105" i="6" s="1"/>
  <c r="AQ94" i="6"/>
  <c r="AS71" i="16"/>
  <c r="AN185" i="16"/>
  <c r="AM190" i="16"/>
  <c r="AM192" i="16" s="1"/>
  <c r="AN225" i="11"/>
  <c r="AN226" i="11" s="1"/>
  <c r="AN227" i="11" s="1"/>
  <c r="AO217" i="11"/>
  <c r="AQ158" i="11"/>
  <c r="AQ159" i="11" s="1"/>
  <c r="AQ160" i="11" s="1"/>
  <c r="AR152" i="11"/>
  <c r="AI87" i="1"/>
  <c r="AH94" i="1"/>
  <c r="AH95" i="1" s="1"/>
  <c r="AH96" i="1" s="1"/>
  <c r="AH141" i="1" s="1"/>
  <c r="AM220" i="16" l="1"/>
  <c r="AK78" i="11"/>
  <c r="AK229" i="11" s="1"/>
  <c r="B11" i="5" s="1"/>
  <c r="B13" i="5" s="1"/>
  <c r="AL204" i="9"/>
  <c r="AO176" i="16"/>
  <c r="AO177" i="16" s="1"/>
  <c r="AO178" i="16" s="1"/>
  <c r="AL229" i="11"/>
  <c r="D11" i="5" s="1"/>
  <c r="D13" i="5" s="1"/>
  <c r="AO99" i="16"/>
  <c r="AP99" i="16" s="1"/>
  <c r="AN63" i="10"/>
  <c r="AN66" i="10" s="1"/>
  <c r="AM63" i="10"/>
  <c r="AM66" i="10" s="1"/>
  <c r="AM72" i="1"/>
  <c r="AM81" i="1" s="1"/>
  <c r="AM82" i="1" s="1"/>
  <c r="AM83" i="1" s="1"/>
  <c r="AM93" i="9"/>
  <c r="AL67" i="6"/>
  <c r="AM53" i="6"/>
  <c r="AN197" i="11"/>
  <c r="AN199" i="11" s="1"/>
  <c r="AP58" i="11"/>
  <c r="AP62" i="11" s="1"/>
  <c r="AP63" i="11" s="1"/>
  <c r="AP64" i="11" s="1"/>
  <c r="AJ111" i="1"/>
  <c r="AK106" i="1"/>
  <c r="AP211" i="16"/>
  <c r="AO216" i="16"/>
  <c r="AO217" i="16" s="1"/>
  <c r="AO218" i="16" s="1"/>
  <c r="AQ130" i="16"/>
  <c r="AP136" i="16"/>
  <c r="AP137" i="16" s="1"/>
  <c r="AP138" i="16" s="1"/>
  <c r="AR145" i="9"/>
  <c r="AR146" i="9" s="1"/>
  <c r="AR147" i="9" s="1"/>
  <c r="AS139" i="9"/>
  <c r="AO127" i="9"/>
  <c r="AN131" i="9"/>
  <c r="AN133" i="9" s="1"/>
  <c r="AP109" i="9"/>
  <c r="AO120" i="9"/>
  <c r="AQ104" i="9"/>
  <c r="AQ105" i="9" s="1"/>
  <c r="AQ106" i="9" s="1"/>
  <c r="AO85" i="9"/>
  <c r="AN91" i="9"/>
  <c r="AN92" i="9" s="1"/>
  <c r="AK136" i="1"/>
  <c r="AK137" i="1" s="1"/>
  <c r="AK138" i="1" s="1"/>
  <c r="AL128" i="1"/>
  <c r="AK115" i="1"/>
  <c r="AJ124" i="1"/>
  <c r="AK58" i="1"/>
  <c r="AJ66" i="1"/>
  <c r="AJ68" i="1" s="1"/>
  <c r="AK44" i="1"/>
  <c r="AJ52" i="1"/>
  <c r="AJ54" i="1" s="1"/>
  <c r="AQ122" i="11"/>
  <c r="AP131" i="11"/>
  <c r="AP132" i="11" s="1"/>
  <c r="AP133" i="11" s="1"/>
  <c r="AN62" i="11"/>
  <c r="AN63" i="11" s="1"/>
  <c r="AN64" i="11" s="1"/>
  <c r="AN128" i="6"/>
  <c r="AN131" i="6" s="1"/>
  <c r="AN132" i="6" s="1"/>
  <c r="AN133" i="6" s="1"/>
  <c r="AP81" i="6"/>
  <c r="AO89" i="6"/>
  <c r="AO90" i="6" s="1"/>
  <c r="AO91" i="6" s="1"/>
  <c r="AN150" i="6"/>
  <c r="AM158" i="6"/>
  <c r="AM159" i="6" s="1"/>
  <c r="AM160" i="6" s="1"/>
  <c r="AO202" i="16"/>
  <c r="AO204" i="16" s="1"/>
  <c r="AP195" i="16"/>
  <c r="AO163" i="16"/>
  <c r="AO164" i="16" s="1"/>
  <c r="AO165" i="16" s="1"/>
  <c r="AP157" i="16"/>
  <c r="AN149" i="16"/>
  <c r="AN150" i="16" s="1"/>
  <c r="AN151" i="16" s="1"/>
  <c r="AO142" i="16"/>
  <c r="AU117" i="16"/>
  <c r="AU121" i="16" s="1"/>
  <c r="AU122" i="16" s="1"/>
  <c r="AU123" i="16" s="1"/>
  <c r="AT121" i="16"/>
  <c r="AT122" i="16" s="1"/>
  <c r="AT123" i="16" s="1"/>
  <c r="AP88" i="16"/>
  <c r="AO93" i="16"/>
  <c r="AO95" i="16" s="1"/>
  <c r="AO85" i="11"/>
  <c r="AN89" i="11"/>
  <c r="AN90" i="11" s="1"/>
  <c r="AN91" i="11" s="1"/>
  <c r="AU89" i="16"/>
  <c r="AN72" i="11"/>
  <c r="AM77" i="11"/>
  <c r="AM78" i="11" s="1"/>
  <c r="AQ75" i="16"/>
  <c r="AP79" i="16"/>
  <c r="AP80" i="16" s="1"/>
  <c r="AP81" i="16" s="1"/>
  <c r="AT71" i="16"/>
  <c r="AS154" i="9"/>
  <c r="AP56" i="10"/>
  <c r="AO61" i="10"/>
  <c r="AS152" i="11"/>
  <c r="AR158" i="11"/>
  <c r="AR159" i="11" s="1"/>
  <c r="AR160" i="11" s="1"/>
  <c r="AO185" i="16"/>
  <c r="AN190" i="16"/>
  <c r="AN192" i="16" s="1"/>
  <c r="AQ103" i="6"/>
  <c r="AQ104" i="6" s="1"/>
  <c r="AQ105" i="6" s="1"/>
  <c r="AR94" i="6"/>
  <c r="AM172" i="9"/>
  <c r="AM174" i="9" s="1"/>
  <c r="AN167" i="9"/>
  <c r="AO180" i="11"/>
  <c r="AN185" i="11"/>
  <c r="AN186" i="11" s="1"/>
  <c r="AN187" i="11" s="1"/>
  <c r="AN229" i="11" s="1"/>
  <c r="AO199" i="11"/>
  <c r="AO229" i="11" s="1"/>
  <c r="AP190" i="11"/>
  <c r="AQ211" i="11"/>
  <c r="AQ212" i="11" s="1"/>
  <c r="AQ213" i="11" s="1"/>
  <c r="AR206" i="11"/>
  <c r="AS153" i="6"/>
  <c r="AP137" i="11"/>
  <c r="AO144" i="11"/>
  <c r="AO145" i="11" s="1"/>
  <c r="AO146" i="11" s="1"/>
  <c r="AP62" i="1"/>
  <c r="AN151" i="9"/>
  <c r="AM158" i="9"/>
  <c r="AM160" i="9" s="1"/>
  <c r="AP176" i="16"/>
  <c r="AP177" i="16" s="1"/>
  <c r="AP178" i="16" s="1"/>
  <c r="AQ169" i="16"/>
  <c r="AP217" i="11"/>
  <c r="AO225" i="11"/>
  <c r="AO226" i="11" s="1"/>
  <c r="AO227" i="11" s="1"/>
  <c r="AJ87" i="1"/>
  <c r="AI94" i="1"/>
  <c r="AI95" i="1" s="1"/>
  <c r="AI96" i="1" s="1"/>
  <c r="AI141" i="1" s="1"/>
  <c r="AS42" i="10"/>
  <c r="AR47" i="10"/>
  <c r="AR48" i="10" s="1"/>
  <c r="AR49" i="10" s="1"/>
  <c r="AO65" i="16"/>
  <c r="AO67" i="16" s="1"/>
  <c r="AP57" i="16"/>
  <c r="H11" i="5" l="1"/>
  <c r="H13" i="5" s="1"/>
  <c r="AM229" i="11"/>
  <c r="F11" i="5" s="1"/>
  <c r="F13" i="5" s="1"/>
  <c r="AO108" i="16"/>
  <c r="AO109" i="16" s="1"/>
  <c r="AO110" i="16" s="1"/>
  <c r="AM204" i="9"/>
  <c r="AN72" i="1"/>
  <c r="AN81" i="1" s="1"/>
  <c r="AN82" i="1" s="1"/>
  <c r="AN83" i="1" s="1"/>
  <c r="AO63" i="10"/>
  <c r="AO66" i="10" s="1"/>
  <c r="AN93" i="9"/>
  <c r="AN204" i="9" s="1"/>
  <c r="AO128" i="6"/>
  <c r="AP128" i="6" s="1"/>
  <c r="AN53" i="6"/>
  <c r="AM67" i="6"/>
  <c r="AQ58" i="11"/>
  <c r="AQ62" i="11" s="1"/>
  <c r="AQ63" i="11" s="1"/>
  <c r="AQ64" i="11" s="1"/>
  <c r="AK109" i="1"/>
  <c r="AK111" i="1" s="1"/>
  <c r="AL106" i="1"/>
  <c r="AQ211" i="16"/>
  <c r="AP216" i="16"/>
  <c r="AP217" i="16" s="1"/>
  <c r="AP218" i="16" s="1"/>
  <c r="AQ136" i="16"/>
  <c r="AQ137" i="16" s="1"/>
  <c r="AQ138" i="16" s="1"/>
  <c r="AR130" i="16"/>
  <c r="AT139" i="9"/>
  <c r="AS145" i="9"/>
  <c r="AS146" i="9" s="1"/>
  <c r="AS147" i="9" s="1"/>
  <c r="AO131" i="9"/>
  <c r="AO133" i="9" s="1"/>
  <c r="AP127" i="9"/>
  <c r="AQ109" i="9"/>
  <c r="AP118" i="9"/>
  <c r="AP119" i="9" s="1"/>
  <c r="AP120" i="9" s="1"/>
  <c r="AR104" i="9"/>
  <c r="AR105" i="9" s="1"/>
  <c r="AR106" i="9" s="1"/>
  <c r="AP85" i="9"/>
  <c r="AO91" i="9"/>
  <c r="AO92" i="9" s="1"/>
  <c r="AM128" i="1"/>
  <c r="AL136" i="1"/>
  <c r="AL137" i="1" s="1"/>
  <c r="AL138" i="1" s="1"/>
  <c r="AL115" i="1"/>
  <c r="AK122" i="1"/>
  <c r="AK124" i="1" s="1"/>
  <c r="AL58" i="1"/>
  <c r="AK66" i="1"/>
  <c r="AK68" i="1" s="1"/>
  <c r="AL44" i="1"/>
  <c r="AK52" i="1"/>
  <c r="AK54" i="1" s="1"/>
  <c r="AK141" i="1" s="1"/>
  <c r="AQ131" i="11"/>
  <c r="AQ132" i="11" s="1"/>
  <c r="AQ133" i="11" s="1"/>
  <c r="AR122" i="11"/>
  <c r="AP89" i="6"/>
  <c r="AP90" i="6" s="1"/>
  <c r="AP91" i="6" s="1"/>
  <c r="AQ81" i="6"/>
  <c r="AO150" i="6"/>
  <c r="AN158" i="6"/>
  <c r="AN159" i="6" s="1"/>
  <c r="AN160" i="6" s="1"/>
  <c r="AN163" i="6" s="1"/>
  <c r="AQ195" i="16"/>
  <c r="AP202" i="16"/>
  <c r="AP203" i="16" s="1"/>
  <c r="AP204" i="16" s="1"/>
  <c r="AQ157" i="16"/>
  <c r="AP163" i="16"/>
  <c r="AP164" i="16" s="1"/>
  <c r="AP165" i="16" s="1"/>
  <c r="AO149" i="16"/>
  <c r="AO150" i="16" s="1"/>
  <c r="AO151" i="16" s="1"/>
  <c r="AP142" i="16"/>
  <c r="AQ88" i="16"/>
  <c r="AP93" i="16"/>
  <c r="AP94" i="16" s="1"/>
  <c r="AP95" i="16" s="1"/>
  <c r="AV89" i="16"/>
  <c r="AV93" i="16" s="1"/>
  <c r="AV94" i="16" s="1"/>
  <c r="AV95" i="16" s="1"/>
  <c r="AO89" i="11"/>
  <c r="AO90" i="11" s="1"/>
  <c r="AO91" i="11" s="1"/>
  <c r="AP85" i="11"/>
  <c r="AR75" i="16"/>
  <c r="AQ79" i="16"/>
  <c r="AQ80" i="16" s="1"/>
  <c r="AQ81" i="16" s="1"/>
  <c r="AN77" i="11"/>
  <c r="AN78" i="11" s="1"/>
  <c r="AO72" i="11"/>
  <c r="AP197" i="11"/>
  <c r="AP198" i="11" s="1"/>
  <c r="AP199" i="11" s="1"/>
  <c r="AQ190" i="11"/>
  <c r="AU71" i="16"/>
  <c r="AP185" i="16"/>
  <c r="AO190" i="16"/>
  <c r="AO192" i="16" s="1"/>
  <c r="AQ57" i="16"/>
  <c r="AP65" i="16"/>
  <c r="AP66" i="16" s="1"/>
  <c r="AP67" i="16" s="1"/>
  <c r="AQ99" i="16"/>
  <c r="AP108" i="16"/>
  <c r="AP109" i="16" s="1"/>
  <c r="AP110" i="16" s="1"/>
  <c r="AQ176" i="16"/>
  <c r="AQ177" i="16" s="1"/>
  <c r="AQ178" i="16" s="1"/>
  <c r="AR169" i="16"/>
  <c r="AQ62" i="1"/>
  <c r="AP180" i="11"/>
  <c r="AO185" i="11"/>
  <c r="AO186" i="11" s="1"/>
  <c r="AO187" i="11" s="1"/>
  <c r="AT152" i="11"/>
  <c r="AS158" i="11"/>
  <c r="AS159" i="11" s="1"/>
  <c r="AS160" i="11" s="1"/>
  <c r="AP61" i="10"/>
  <c r="AP62" i="10" s="1"/>
  <c r="AQ56" i="10"/>
  <c r="AT154" i="9"/>
  <c r="AK87" i="1"/>
  <c r="AJ94" i="1"/>
  <c r="AJ95" i="1" s="1"/>
  <c r="AJ96" i="1" s="1"/>
  <c r="AJ141" i="1" s="1"/>
  <c r="AN172" i="9"/>
  <c r="AN174" i="9" s="1"/>
  <c r="AO167" i="9"/>
  <c r="AR103" i="6"/>
  <c r="AR104" i="6" s="1"/>
  <c r="AR105" i="6" s="1"/>
  <c r="AS94" i="6"/>
  <c r="AS103" i="6" s="1"/>
  <c r="AS104" i="6" s="1"/>
  <c r="AS105" i="6" s="1"/>
  <c r="AT42" i="10"/>
  <c r="AS47" i="10"/>
  <c r="AS48" i="10" s="1"/>
  <c r="AS49" i="10" s="1"/>
  <c r="AQ217" i="11"/>
  <c r="AP225" i="11"/>
  <c r="AP226" i="11" s="1"/>
  <c r="AP227" i="11" s="1"/>
  <c r="AO151" i="9"/>
  <c r="AN158" i="9"/>
  <c r="AN160" i="9" s="1"/>
  <c r="AQ137" i="11"/>
  <c r="AP144" i="11"/>
  <c r="AP145" i="11" s="1"/>
  <c r="AP146" i="11" s="1"/>
  <c r="AR211" i="11"/>
  <c r="AR212" i="11" s="1"/>
  <c r="AR213" i="11" s="1"/>
  <c r="AS206" i="11"/>
  <c r="AO220" i="16" l="1"/>
  <c r="AO131" i="6"/>
  <c r="AO132" i="6" s="1"/>
  <c r="AO133" i="6" s="1"/>
  <c r="AO72" i="1"/>
  <c r="AO81" i="1" s="1"/>
  <c r="AO82" i="1" s="1"/>
  <c r="AO83" i="1" s="1"/>
  <c r="AP220" i="16"/>
  <c r="AP63" i="10"/>
  <c r="AP66" i="10" s="1"/>
  <c r="AO93" i="9"/>
  <c r="AR58" i="11"/>
  <c r="AR62" i="11" s="1"/>
  <c r="AR63" i="11" s="1"/>
  <c r="AR64" i="11" s="1"/>
  <c r="AN67" i="6"/>
  <c r="AO53" i="6"/>
  <c r="AM106" i="1"/>
  <c r="AL109" i="1"/>
  <c r="AL110" i="1" s="1"/>
  <c r="AL111" i="1" s="1"/>
  <c r="AR211" i="16"/>
  <c r="AQ216" i="16"/>
  <c r="AQ217" i="16" s="1"/>
  <c r="AQ218" i="16" s="1"/>
  <c r="AR136" i="16"/>
  <c r="AR137" i="16" s="1"/>
  <c r="AR138" i="16" s="1"/>
  <c r="AS130" i="16"/>
  <c r="AT145" i="9"/>
  <c r="AT146" i="9" s="1"/>
  <c r="AT147" i="9" s="1"/>
  <c r="AU139" i="9"/>
  <c r="AU145" i="9" s="1"/>
  <c r="AU146" i="9" s="1"/>
  <c r="AU147" i="9" s="1"/>
  <c r="AQ127" i="9"/>
  <c r="AP131" i="9"/>
  <c r="AP132" i="9" s="1"/>
  <c r="AP133" i="9" s="1"/>
  <c r="AR109" i="9"/>
  <c r="AQ118" i="9"/>
  <c r="AQ119" i="9" s="1"/>
  <c r="AQ120" i="9" s="1"/>
  <c r="AS104" i="9"/>
  <c r="AS105" i="9" s="1"/>
  <c r="AS106" i="9" s="1"/>
  <c r="AQ85" i="9"/>
  <c r="AP91" i="9"/>
  <c r="AP92" i="9" s="1"/>
  <c r="AN128" i="1"/>
  <c r="AM136" i="1"/>
  <c r="AM137" i="1" s="1"/>
  <c r="AM138" i="1" s="1"/>
  <c r="AM115" i="1"/>
  <c r="AL122" i="1"/>
  <c r="AL123" i="1" s="1"/>
  <c r="AL124" i="1" s="1"/>
  <c r="AM58" i="1"/>
  <c r="AL66" i="1"/>
  <c r="AL67" i="1" s="1"/>
  <c r="AL68" i="1" s="1"/>
  <c r="AM44" i="1"/>
  <c r="AL52" i="1"/>
  <c r="AL53" i="1" s="1"/>
  <c r="AL54" i="1" s="1"/>
  <c r="AS122" i="11"/>
  <c r="AR131" i="11"/>
  <c r="AR132" i="11" s="1"/>
  <c r="AR133" i="11" s="1"/>
  <c r="AR81" i="6"/>
  <c r="AQ89" i="6"/>
  <c r="AQ90" i="6" s="1"/>
  <c r="AQ91" i="6" s="1"/>
  <c r="AP150" i="6"/>
  <c r="AO158" i="6"/>
  <c r="AO159" i="6" s="1"/>
  <c r="AO160" i="6" s="1"/>
  <c r="AO163" i="6" s="1"/>
  <c r="AR195" i="16"/>
  <c r="AQ202" i="16"/>
  <c r="AQ203" i="16" s="1"/>
  <c r="AQ204" i="16" s="1"/>
  <c r="AR157" i="16"/>
  <c r="AQ163" i="16"/>
  <c r="AQ164" i="16" s="1"/>
  <c r="AQ165" i="16" s="1"/>
  <c r="AQ142" i="16"/>
  <c r="AP149" i="16"/>
  <c r="AP150" i="16" s="1"/>
  <c r="AP151" i="16" s="1"/>
  <c r="AR88" i="16"/>
  <c r="AQ93" i="16"/>
  <c r="AQ94" i="16" s="1"/>
  <c r="AQ95" i="16" s="1"/>
  <c r="AP89" i="11"/>
  <c r="AP90" i="11" s="1"/>
  <c r="AP91" i="11" s="1"/>
  <c r="AQ85" i="11"/>
  <c r="AS75" i="16"/>
  <c r="AR79" i="16"/>
  <c r="AR80" i="16" s="1"/>
  <c r="AR81" i="16" s="1"/>
  <c r="AO77" i="11"/>
  <c r="AO78" i="11" s="1"/>
  <c r="AP72" i="11"/>
  <c r="AR137" i="11"/>
  <c r="AQ144" i="11"/>
  <c r="AQ145" i="11" s="1"/>
  <c r="AQ146" i="11" s="1"/>
  <c r="AU42" i="10"/>
  <c r="AU47" i="10" s="1"/>
  <c r="AU48" i="10" s="1"/>
  <c r="AU49" i="10" s="1"/>
  <c r="AT47" i="10"/>
  <c r="AT48" i="10" s="1"/>
  <c r="AT49" i="10" s="1"/>
  <c r="AT206" i="11"/>
  <c r="AS211" i="11"/>
  <c r="AS212" i="11" s="1"/>
  <c r="AS213" i="11" s="1"/>
  <c r="AP167" i="9"/>
  <c r="AO172" i="9"/>
  <c r="AO174" i="9" s="1"/>
  <c r="AR56" i="10"/>
  <c r="AQ61" i="10"/>
  <c r="AQ62" i="10" s="1"/>
  <c r="AP72" i="1"/>
  <c r="AP151" i="9"/>
  <c r="AO158" i="9"/>
  <c r="AO160" i="9" s="1"/>
  <c r="AO204" i="9" s="1"/>
  <c r="AQ180" i="11"/>
  <c r="AP185" i="11"/>
  <c r="AP186" i="11" s="1"/>
  <c r="AP187" i="11" s="1"/>
  <c r="AR62" i="1"/>
  <c r="AR66" i="1" s="1"/>
  <c r="AR67" i="1" s="1"/>
  <c r="AR68" i="1" s="1"/>
  <c r="AR99" i="16"/>
  <c r="AQ108" i="16"/>
  <c r="AQ109" i="16" s="1"/>
  <c r="AQ110" i="16" s="1"/>
  <c r="AR190" i="11"/>
  <c r="AQ197" i="11"/>
  <c r="AQ198" i="11" s="1"/>
  <c r="AQ199" i="11" s="1"/>
  <c r="AQ128" i="6"/>
  <c r="AP131" i="6"/>
  <c r="AP132" i="6" s="1"/>
  <c r="AP133" i="6" s="1"/>
  <c r="AU154" i="9"/>
  <c r="AR176" i="16"/>
  <c r="AR177" i="16" s="1"/>
  <c r="AR178" i="16" s="1"/>
  <c r="AS169" i="16"/>
  <c r="AR57" i="16"/>
  <c r="AQ65" i="16"/>
  <c r="AQ66" i="16" s="1"/>
  <c r="AQ67" i="16" s="1"/>
  <c r="AQ185" i="16"/>
  <c r="AP190" i="16"/>
  <c r="AP191" i="16" s="1"/>
  <c r="AP192" i="16" s="1"/>
  <c r="AQ225" i="11"/>
  <c r="AQ226" i="11" s="1"/>
  <c r="AQ227" i="11" s="1"/>
  <c r="AR217" i="11"/>
  <c r="AL87" i="1"/>
  <c r="AK94" i="1"/>
  <c r="AK95" i="1" s="1"/>
  <c r="AK96" i="1" s="1"/>
  <c r="AU152" i="11"/>
  <c r="AU158" i="11" s="1"/>
  <c r="AU159" i="11" s="1"/>
  <c r="AU160" i="11" s="1"/>
  <c r="AT158" i="11"/>
  <c r="AT159" i="11" s="1"/>
  <c r="AT160" i="11" s="1"/>
  <c r="AL141" i="1" l="1"/>
  <c r="AQ220" i="16"/>
  <c r="AS58" i="11"/>
  <c r="AT58" i="11" s="1"/>
  <c r="AQ63" i="10"/>
  <c r="AQ66" i="10" s="1"/>
  <c r="AP93" i="9"/>
  <c r="AP204" i="9" s="1"/>
  <c r="AP53" i="6"/>
  <c r="AO67" i="6"/>
  <c r="AN106" i="1"/>
  <c r="AM109" i="1"/>
  <c r="AM110" i="1" s="1"/>
  <c r="AM111" i="1" s="1"/>
  <c r="AS211" i="16"/>
  <c r="AR216" i="16"/>
  <c r="AR217" i="16" s="1"/>
  <c r="AR218" i="16" s="1"/>
  <c r="AT130" i="16"/>
  <c r="AS136" i="16"/>
  <c r="AS137" i="16" s="1"/>
  <c r="AS138" i="16" s="1"/>
  <c r="AR127" i="9"/>
  <c r="AQ131" i="9"/>
  <c r="AQ132" i="9" s="1"/>
  <c r="AQ133" i="9" s="1"/>
  <c r="AS109" i="9"/>
  <c r="AR118" i="9"/>
  <c r="AR119" i="9" s="1"/>
  <c r="AR120" i="9" s="1"/>
  <c r="AU104" i="9"/>
  <c r="AU105" i="9" s="1"/>
  <c r="AU106" i="9" s="1"/>
  <c r="AT104" i="9"/>
  <c r="AT105" i="9" s="1"/>
  <c r="AT106" i="9" s="1"/>
  <c r="AR85" i="9"/>
  <c r="AQ91" i="9"/>
  <c r="AQ92" i="9" s="1"/>
  <c r="AO128" i="1"/>
  <c r="AN136" i="1"/>
  <c r="AN137" i="1" s="1"/>
  <c r="AN138" i="1" s="1"/>
  <c r="AN115" i="1"/>
  <c r="AM122" i="1"/>
  <c r="AM123" i="1" s="1"/>
  <c r="AM124" i="1" s="1"/>
  <c r="AN58" i="1"/>
  <c r="AM66" i="1"/>
  <c r="AM67" i="1" s="1"/>
  <c r="AM68" i="1" s="1"/>
  <c r="AM52" i="1"/>
  <c r="AM53" i="1" s="1"/>
  <c r="AM54" i="1" s="1"/>
  <c r="AN44" i="1"/>
  <c r="AT122" i="11"/>
  <c r="AS131" i="11"/>
  <c r="AS132" i="11" s="1"/>
  <c r="AS133" i="11" s="1"/>
  <c r="AS81" i="6"/>
  <c r="AS89" i="6" s="1"/>
  <c r="AS90" i="6" s="1"/>
  <c r="AS91" i="6" s="1"/>
  <c r="AR89" i="6"/>
  <c r="AR90" i="6" s="1"/>
  <c r="AR91" i="6" s="1"/>
  <c r="AQ150" i="6"/>
  <c r="AP158" i="6"/>
  <c r="AP159" i="6" s="1"/>
  <c r="AP160" i="6" s="1"/>
  <c r="AP163" i="6" s="1"/>
  <c r="AS195" i="16"/>
  <c r="AR202" i="16"/>
  <c r="AR203" i="16" s="1"/>
  <c r="AR204" i="16" s="1"/>
  <c r="AS157" i="16"/>
  <c r="AR163" i="16"/>
  <c r="AR164" i="16" s="1"/>
  <c r="AR165" i="16" s="1"/>
  <c r="AR142" i="16"/>
  <c r="AQ149" i="16"/>
  <c r="AQ150" i="16" s="1"/>
  <c r="AQ151" i="16" s="1"/>
  <c r="AS88" i="16"/>
  <c r="AR93" i="16"/>
  <c r="AR94" i="16" s="1"/>
  <c r="AR95" i="16" s="1"/>
  <c r="AR85" i="11"/>
  <c r="AQ89" i="11"/>
  <c r="AQ90" i="11" s="1"/>
  <c r="AQ91" i="11" s="1"/>
  <c r="AQ72" i="11"/>
  <c r="AP76" i="11"/>
  <c r="AP77" i="11" s="1"/>
  <c r="AP78" i="11" s="1"/>
  <c r="AP229" i="11" s="1"/>
  <c r="AT75" i="16"/>
  <c r="AS79" i="16"/>
  <c r="AS80" i="16" s="1"/>
  <c r="AS81" i="16" s="1"/>
  <c r="AS190" i="11"/>
  <c r="AR197" i="11"/>
  <c r="AR198" i="11" s="1"/>
  <c r="AR199" i="11" s="1"/>
  <c r="AT169" i="16"/>
  <c r="AS176" i="16"/>
  <c r="AS177" i="16" s="1"/>
  <c r="AS178" i="16" s="1"/>
  <c r="AM87" i="1"/>
  <c r="AL94" i="1"/>
  <c r="AL95" i="1" s="1"/>
  <c r="AL96" i="1" s="1"/>
  <c r="AQ190" i="16"/>
  <c r="AQ191" i="16" s="1"/>
  <c r="AQ192" i="16" s="1"/>
  <c r="AR185" i="16"/>
  <c r="AQ131" i="6"/>
  <c r="AQ132" i="6" s="1"/>
  <c r="AQ133" i="6" s="1"/>
  <c r="AR128" i="6"/>
  <c r="AQ151" i="9"/>
  <c r="AP158" i="9"/>
  <c r="AP159" i="9" s="1"/>
  <c r="AP160" i="9" s="1"/>
  <c r="AP81" i="1"/>
  <c r="AP82" i="1" s="1"/>
  <c r="AP83" i="1" s="1"/>
  <c r="AQ72" i="1"/>
  <c r="AQ81" i="1" s="1"/>
  <c r="AQ82" i="1" s="1"/>
  <c r="AQ83" i="1" s="1"/>
  <c r="AS56" i="10"/>
  <c r="AR61" i="10"/>
  <c r="AR62" i="10" s="1"/>
  <c r="AS217" i="11"/>
  <c r="AR225" i="11"/>
  <c r="AR226" i="11" s="1"/>
  <c r="AR227" i="11" s="1"/>
  <c r="AS57" i="16"/>
  <c r="AR65" i="16"/>
  <c r="AR66" i="16" s="1"/>
  <c r="AR67" i="16" s="1"/>
  <c r="AR108" i="16"/>
  <c r="AR109" i="16" s="1"/>
  <c r="AR110" i="16" s="1"/>
  <c r="AS99" i="16"/>
  <c r="AR180" i="11"/>
  <c r="AQ185" i="11"/>
  <c r="AQ186" i="11" s="1"/>
  <c r="AQ187" i="11" s="1"/>
  <c r="AQ167" i="9"/>
  <c r="AP172" i="9"/>
  <c r="AP173" i="9" s="1"/>
  <c r="AP174" i="9" s="1"/>
  <c r="AU206" i="11"/>
  <c r="AU211" i="11" s="1"/>
  <c r="AU212" i="11" s="1"/>
  <c r="AU213" i="11" s="1"/>
  <c r="AT211" i="11"/>
  <c r="AT212" i="11" s="1"/>
  <c r="AT213" i="11" s="1"/>
  <c r="AS137" i="11"/>
  <c r="AR144" i="11"/>
  <c r="AR145" i="11" s="1"/>
  <c r="AR146" i="11" s="1"/>
  <c r="AM141" i="1" l="1"/>
  <c r="AR220" i="16"/>
  <c r="AS62" i="11"/>
  <c r="AS63" i="11" s="1"/>
  <c r="AS64" i="11" s="1"/>
  <c r="AR63" i="10"/>
  <c r="AR66" i="10" s="1"/>
  <c r="AQ93" i="9"/>
  <c r="AQ204" i="9" s="1"/>
  <c r="AP67" i="6"/>
  <c r="AQ53" i="6"/>
  <c r="AO106" i="1"/>
  <c r="AN109" i="1"/>
  <c r="AN110" i="1" s="1"/>
  <c r="AN111" i="1" s="1"/>
  <c r="AT211" i="16"/>
  <c r="AS216" i="16"/>
  <c r="AS217" i="16" s="1"/>
  <c r="AS218" i="16" s="1"/>
  <c r="AU130" i="16"/>
  <c r="AU136" i="16" s="1"/>
  <c r="AU137" i="16" s="1"/>
  <c r="AU138" i="16" s="1"/>
  <c r="AT136" i="16"/>
  <c r="AT137" i="16" s="1"/>
  <c r="AT138" i="16" s="1"/>
  <c r="AS127" i="9"/>
  <c r="AR131" i="9"/>
  <c r="AR132" i="9" s="1"/>
  <c r="AR133" i="9" s="1"/>
  <c r="AT109" i="9"/>
  <c r="AS118" i="9"/>
  <c r="AS119" i="9" s="1"/>
  <c r="AS120" i="9" s="1"/>
  <c r="AS85" i="9"/>
  <c r="AR91" i="9"/>
  <c r="AR92" i="9" s="1"/>
  <c r="AO136" i="1"/>
  <c r="AO137" i="1" s="1"/>
  <c r="AO138" i="1" s="1"/>
  <c r="AP128" i="1"/>
  <c r="AO115" i="1"/>
  <c r="AN122" i="1"/>
  <c r="AN123" i="1" s="1"/>
  <c r="AN124" i="1" s="1"/>
  <c r="AO58" i="1"/>
  <c r="AN66" i="1"/>
  <c r="AN67" i="1" s="1"/>
  <c r="AN68" i="1" s="1"/>
  <c r="AO44" i="1"/>
  <c r="AN52" i="1"/>
  <c r="AN53" i="1" s="1"/>
  <c r="AN54" i="1" s="1"/>
  <c r="AN141" i="1" s="1"/>
  <c r="AU122" i="11"/>
  <c r="AU131" i="11" s="1"/>
  <c r="AU132" i="11" s="1"/>
  <c r="AU133" i="11" s="1"/>
  <c r="AT131" i="11"/>
  <c r="AT132" i="11" s="1"/>
  <c r="AT133" i="11" s="1"/>
  <c r="AR150" i="6"/>
  <c r="AQ158" i="6"/>
  <c r="AQ159" i="6" s="1"/>
  <c r="AQ160" i="6" s="1"/>
  <c r="AQ163" i="6" s="1"/>
  <c r="AS202" i="16"/>
  <c r="AS203" i="16" s="1"/>
  <c r="AS204" i="16" s="1"/>
  <c r="AT195" i="16"/>
  <c r="AS163" i="16"/>
  <c r="AS164" i="16" s="1"/>
  <c r="AS165" i="16" s="1"/>
  <c r="AT157" i="16"/>
  <c r="AS142" i="16"/>
  <c r="AR149" i="16"/>
  <c r="AR150" i="16" s="1"/>
  <c r="AR151" i="16" s="1"/>
  <c r="AT88" i="16"/>
  <c r="AS93" i="16"/>
  <c r="AS94" i="16" s="1"/>
  <c r="AS95" i="16" s="1"/>
  <c r="AR89" i="11"/>
  <c r="AR90" i="11" s="1"/>
  <c r="AR91" i="11" s="1"/>
  <c r="AS85" i="11"/>
  <c r="AU75" i="16"/>
  <c r="AT79" i="16"/>
  <c r="AT80" i="16" s="1"/>
  <c r="AT81" i="16" s="1"/>
  <c r="AR72" i="11"/>
  <c r="AQ76" i="11"/>
  <c r="AQ77" i="11" s="1"/>
  <c r="AQ78" i="11" s="1"/>
  <c r="AQ229" i="11" s="1"/>
  <c r="AR167" i="9"/>
  <c r="AQ172" i="9"/>
  <c r="AQ173" i="9" s="1"/>
  <c r="AQ174" i="9" s="1"/>
  <c r="AS180" i="11"/>
  <c r="AR185" i="11"/>
  <c r="AR186" i="11" s="1"/>
  <c r="AR187" i="11" s="1"/>
  <c r="AU58" i="11"/>
  <c r="AV58" i="11" s="1"/>
  <c r="AT62" i="11"/>
  <c r="AT63" i="11" s="1"/>
  <c r="AT64" i="11" s="1"/>
  <c r="AS185" i="16"/>
  <c r="AR190" i="16"/>
  <c r="AR191" i="16" s="1"/>
  <c r="AR192" i="16" s="1"/>
  <c r="AS61" i="10"/>
  <c r="AS62" i="10" s="1"/>
  <c r="AT56" i="10"/>
  <c r="AR151" i="9"/>
  <c r="AQ158" i="9"/>
  <c r="AQ159" i="9" s="1"/>
  <c r="AQ160" i="9" s="1"/>
  <c r="AN87" i="1"/>
  <c r="AM94" i="1"/>
  <c r="AM95" i="1" s="1"/>
  <c r="AM96" i="1" s="1"/>
  <c r="AS128" i="6"/>
  <c r="AS131" i="6" s="1"/>
  <c r="AS132" i="6" s="1"/>
  <c r="AS133" i="6" s="1"/>
  <c r="AR131" i="6"/>
  <c r="AR132" i="6" s="1"/>
  <c r="AR133" i="6" s="1"/>
  <c r="AT137" i="11"/>
  <c r="AS144" i="11"/>
  <c r="AS145" i="11" s="1"/>
  <c r="AS146" i="11" s="1"/>
  <c r="AT217" i="11"/>
  <c r="AS225" i="11"/>
  <c r="AS226" i="11" s="1"/>
  <c r="AS227" i="11" s="1"/>
  <c r="AT99" i="16"/>
  <c r="AS108" i="16"/>
  <c r="AS109" i="16" s="1"/>
  <c r="AS110" i="16" s="1"/>
  <c r="AT57" i="16"/>
  <c r="AS65" i="16"/>
  <c r="AS66" i="16" s="1"/>
  <c r="AS67" i="16" s="1"/>
  <c r="AT176" i="16"/>
  <c r="AT177" i="16" s="1"/>
  <c r="AT178" i="16" s="1"/>
  <c r="AU169" i="16"/>
  <c r="AU176" i="16" s="1"/>
  <c r="AU177" i="16" s="1"/>
  <c r="AU178" i="16" s="1"/>
  <c r="AT190" i="11"/>
  <c r="AS197" i="11"/>
  <c r="AS198" i="11" s="1"/>
  <c r="AS199" i="11" s="1"/>
  <c r="AS220" i="16" l="1"/>
  <c r="AS63" i="10"/>
  <c r="AS66" i="10" s="1"/>
  <c r="AR93" i="9"/>
  <c r="AR204" i="9" s="1"/>
  <c r="AR53" i="6"/>
  <c r="AQ67" i="6"/>
  <c r="AP106" i="1"/>
  <c r="AO109" i="1"/>
  <c r="AO110" i="1" s="1"/>
  <c r="AO111" i="1" s="1"/>
  <c r="AT216" i="16"/>
  <c r="AT217" i="16" s="1"/>
  <c r="AT218" i="16" s="1"/>
  <c r="AU211" i="16"/>
  <c r="AU216" i="16" s="1"/>
  <c r="AU217" i="16" s="1"/>
  <c r="AU218" i="16" s="1"/>
  <c r="AS131" i="9"/>
  <c r="AS132" i="9" s="1"/>
  <c r="AS133" i="9" s="1"/>
  <c r="AT127" i="9"/>
  <c r="AU109" i="9"/>
  <c r="AU118" i="9" s="1"/>
  <c r="AU119" i="9" s="1"/>
  <c r="AU120" i="9" s="1"/>
  <c r="AT118" i="9"/>
  <c r="AT119" i="9" s="1"/>
  <c r="AT120" i="9" s="1"/>
  <c r="AT85" i="9"/>
  <c r="AS91" i="9"/>
  <c r="AS92" i="9" s="1"/>
  <c r="AQ128" i="1"/>
  <c r="AQ136" i="1" s="1"/>
  <c r="AQ137" i="1" s="1"/>
  <c r="AQ138" i="1" s="1"/>
  <c r="AP136" i="1"/>
  <c r="AP137" i="1" s="1"/>
  <c r="AP138" i="1" s="1"/>
  <c r="AP115" i="1"/>
  <c r="AO122" i="1"/>
  <c r="AO123" i="1" s="1"/>
  <c r="AO124" i="1" s="1"/>
  <c r="AP58" i="1"/>
  <c r="AO66" i="1"/>
  <c r="AO67" i="1" s="1"/>
  <c r="AO68" i="1" s="1"/>
  <c r="AO52" i="1"/>
  <c r="AO53" i="1" s="1"/>
  <c r="AO54" i="1" s="1"/>
  <c r="AP44" i="1"/>
  <c r="AS150" i="6"/>
  <c r="AS158" i="6" s="1"/>
  <c r="AS159" i="6" s="1"/>
  <c r="AS160" i="6" s="1"/>
  <c r="AS163" i="6" s="1"/>
  <c r="AR158" i="6"/>
  <c r="AR159" i="6" s="1"/>
  <c r="AR160" i="6" s="1"/>
  <c r="AR163" i="6" s="1"/>
  <c r="AU195" i="16"/>
  <c r="AU202" i="16" s="1"/>
  <c r="AU203" i="16" s="1"/>
  <c r="AU204" i="16" s="1"/>
  <c r="AT202" i="16"/>
  <c r="AT203" i="16" s="1"/>
  <c r="AT204" i="16" s="1"/>
  <c r="AU157" i="16"/>
  <c r="AU163" i="16" s="1"/>
  <c r="AU164" i="16" s="1"/>
  <c r="AU165" i="16" s="1"/>
  <c r="AT163" i="16"/>
  <c r="AT164" i="16" s="1"/>
  <c r="AT165" i="16" s="1"/>
  <c r="AS149" i="16"/>
  <c r="AS150" i="16" s="1"/>
  <c r="AS151" i="16" s="1"/>
  <c r="AT142" i="16"/>
  <c r="AU88" i="16"/>
  <c r="AU93" i="16" s="1"/>
  <c r="AU94" i="16" s="1"/>
  <c r="AU95" i="16" s="1"/>
  <c r="AT93" i="16"/>
  <c r="AT94" i="16" s="1"/>
  <c r="AT95" i="16" s="1"/>
  <c r="AT85" i="11"/>
  <c r="AS89" i="11"/>
  <c r="AS90" i="11" s="1"/>
  <c r="AS91" i="11" s="1"/>
  <c r="AS72" i="11"/>
  <c r="AR76" i="11"/>
  <c r="AR77" i="11" s="1"/>
  <c r="AR78" i="11" s="1"/>
  <c r="AR229" i="11" s="1"/>
  <c r="AV75" i="16"/>
  <c r="AV79" i="16" s="1"/>
  <c r="AV80" i="16" s="1"/>
  <c r="AV81" i="16" s="1"/>
  <c r="AV220" i="16" s="1"/>
  <c r="AU79" i="16"/>
  <c r="AU80" i="16" s="1"/>
  <c r="AU81" i="16" s="1"/>
  <c r="AT197" i="11"/>
  <c r="AT198" i="11" s="1"/>
  <c r="AT199" i="11" s="1"/>
  <c r="AU190" i="11"/>
  <c r="AU197" i="11" s="1"/>
  <c r="AU198" i="11" s="1"/>
  <c r="AU199" i="11" s="1"/>
  <c r="AU57" i="16"/>
  <c r="AU65" i="16" s="1"/>
  <c r="AU66" i="16" s="1"/>
  <c r="AU67" i="16" s="1"/>
  <c r="AT65" i="16"/>
  <c r="AT66" i="16" s="1"/>
  <c r="AT67" i="16" s="1"/>
  <c r="AU217" i="11"/>
  <c r="AU225" i="11" s="1"/>
  <c r="AU226" i="11" s="1"/>
  <c r="AU227" i="11" s="1"/>
  <c r="AT225" i="11"/>
  <c r="AT226" i="11" s="1"/>
  <c r="AT227" i="11" s="1"/>
  <c r="AU137" i="11"/>
  <c r="AU144" i="11" s="1"/>
  <c r="AU145" i="11" s="1"/>
  <c r="AU146" i="11" s="1"/>
  <c r="AT144" i="11"/>
  <c r="AT145" i="11" s="1"/>
  <c r="AT146" i="11" s="1"/>
  <c r="AS151" i="9"/>
  <c r="AR158" i="9"/>
  <c r="AR159" i="9" s="1"/>
  <c r="AR160" i="9" s="1"/>
  <c r="AS185" i="11"/>
  <c r="AS186" i="11" s="1"/>
  <c r="AS187" i="11" s="1"/>
  <c r="AT180" i="11"/>
  <c r="AT61" i="10"/>
  <c r="AT62" i="10" s="1"/>
  <c r="AU56" i="10"/>
  <c r="AU61" i="10" s="1"/>
  <c r="AU62" i="10" s="1"/>
  <c r="AU99" i="16"/>
  <c r="AU108" i="16" s="1"/>
  <c r="AU109" i="16" s="1"/>
  <c r="AU110" i="16" s="1"/>
  <c r="AT108" i="16"/>
  <c r="AT109" i="16" s="1"/>
  <c r="AT110" i="16" s="1"/>
  <c r="AO87" i="1"/>
  <c r="AN94" i="1"/>
  <c r="AN95" i="1" s="1"/>
  <c r="AN96" i="1" s="1"/>
  <c r="AS190" i="16"/>
  <c r="AS191" i="16" s="1"/>
  <c r="AS192" i="16" s="1"/>
  <c r="AT185" i="16"/>
  <c r="AV62" i="11"/>
  <c r="AV63" i="11" s="1"/>
  <c r="AV64" i="11" s="1"/>
  <c r="AU62" i="11"/>
  <c r="AU63" i="11" s="1"/>
  <c r="AU64" i="11" s="1"/>
  <c r="AS167" i="9"/>
  <c r="AR172" i="9"/>
  <c r="AR173" i="9" s="1"/>
  <c r="AR174" i="9" s="1"/>
  <c r="AO141" i="1" l="1"/>
  <c r="AT220" i="16"/>
  <c r="AU220" i="16"/>
  <c r="AT63" i="10"/>
  <c r="AT66" i="10" s="1"/>
  <c r="AU63" i="10"/>
  <c r="AU66" i="10" s="1"/>
  <c r="AS93" i="9"/>
  <c r="AS204" i="9" s="1"/>
  <c r="AR67" i="6"/>
  <c r="AS53" i="6"/>
  <c r="AQ106" i="1"/>
  <c r="AQ109" i="1" s="1"/>
  <c r="AQ110" i="1" s="1"/>
  <c r="AQ111" i="1" s="1"/>
  <c r="AP109" i="1"/>
  <c r="AP110" i="1" s="1"/>
  <c r="AP111" i="1" s="1"/>
  <c r="AU127" i="9"/>
  <c r="AU131" i="9" s="1"/>
  <c r="AU132" i="9" s="1"/>
  <c r="AU133" i="9" s="1"/>
  <c r="AT131" i="9"/>
  <c r="AT132" i="9" s="1"/>
  <c r="AT133" i="9" s="1"/>
  <c r="AU85" i="9"/>
  <c r="AU91" i="9" s="1"/>
  <c r="AU92" i="9" s="1"/>
  <c r="AT91" i="9"/>
  <c r="AT92" i="9" s="1"/>
  <c r="AQ115" i="1"/>
  <c r="AQ122" i="1" s="1"/>
  <c r="AQ123" i="1" s="1"/>
  <c r="AQ124" i="1" s="1"/>
  <c r="AP122" i="1"/>
  <c r="AP123" i="1" s="1"/>
  <c r="AP124" i="1" s="1"/>
  <c r="AQ58" i="1"/>
  <c r="AQ66" i="1" s="1"/>
  <c r="AQ67" i="1" s="1"/>
  <c r="AQ68" i="1" s="1"/>
  <c r="AP66" i="1"/>
  <c r="AP67" i="1" s="1"/>
  <c r="AP68" i="1" s="1"/>
  <c r="AQ44" i="1"/>
  <c r="AQ52" i="1" s="1"/>
  <c r="AQ53" i="1" s="1"/>
  <c r="AQ54" i="1" s="1"/>
  <c r="AP52" i="1"/>
  <c r="AP53" i="1" s="1"/>
  <c r="AP54" i="1" s="1"/>
  <c r="AT149" i="16"/>
  <c r="AT150" i="16" s="1"/>
  <c r="AT151" i="16" s="1"/>
  <c r="AU142" i="16"/>
  <c r="AU149" i="16" s="1"/>
  <c r="AU150" i="16" s="1"/>
  <c r="AU151" i="16" s="1"/>
  <c r="AT89" i="11"/>
  <c r="AT90" i="11" s="1"/>
  <c r="AT91" i="11" s="1"/>
  <c r="AU85" i="11"/>
  <c r="AT72" i="11"/>
  <c r="AS76" i="11"/>
  <c r="AS77" i="11" s="1"/>
  <c r="AS78" i="11" s="1"/>
  <c r="AS229" i="11" s="1"/>
  <c r="AT167" i="9"/>
  <c r="AS172" i="9"/>
  <c r="AS173" i="9" s="1"/>
  <c r="AS174" i="9" s="1"/>
  <c r="AU180" i="11"/>
  <c r="AU185" i="11" s="1"/>
  <c r="AU186" i="11" s="1"/>
  <c r="AU187" i="11" s="1"/>
  <c r="AT185" i="11"/>
  <c r="AT186" i="11" s="1"/>
  <c r="AT187" i="11" s="1"/>
  <c r="AP87" i="1"/>
  <c r="AO94" i="1"/>
  <c r="AO95" i="1" s="1"/>
  <c r="AO96" i="1" s="1"/>
  <c r="AT151" i="9"/>
  <c r="AS158" i="9"/>
  <c r="AS159" i="9" s="1"/>
  <c r="AS160" i="9" s="1"/>
  <c r="AU185" i="16"/>
  <c r="AU190" i="16" s="1"/>
  <c r="AU191" i="16" s="1"/>
  <c r="AU192" i="16" s="1"/>
  <c r="AT190" i="16"/>
  <c r="AT191" i="16" s="1"/>
  <c r="AT192" i="16" s="1"/>
  <c r="AP141" i="1" l="1"/>
  <c r="AQ141" i="1"/>
  <c r="AT93" i="9"/>
  <c r="AT204" i="9" s="1"/>
  <c r="AU93" i="9"/>
  <c r="AU204" i="9" s="1"/>
  <c r="AS67" i="6"/>
  <c r="AV85" i="11"/>
  <c r="AV89" i="11" s="1"/>
  <c r="AV90" i="11" s="1"/>
  <c r="AV91" i="11" s="1"/>
  <c r="AU89" i="11"/>
  <c r="AU90" i="11" s="1"/>
  <c r="AU91" i="11" s="1"/>
  <c r="AU72" i="11"/>
  <c r="AT76" i="11"/>
  <c r="AT77" i="11" s="1"/>
  <c r="AT78" i="11" s="1"/>
  <c r="AT229" i="11" s="1"/>
  <c r="AU151" i="9"/>
  <c r="AU158" i="9" s="1"/>
  <c r="AU159" i="9" s="1"/>
  <c r="AU160" i="9" s="1"/>
  <c r="AT158" i="9"/>
  <c r="AT159" i="9" s="1"/>
  <c r="AT160" i="9" s="1"/>
  <c r="AQ87" i="1"/>
  <c r="AQ94" i="1" s="1"/>
  <c r="AQ95" i="1" s="1"/>
  <c r="AQ96" i="1" s="1"/>
  <c r="AP94" i="1"/>
  <c r="AP95" i="1" s="1"/>
  <c r="AP96" i="1" s="1"/>
  <c r="AT172" i="9"/>
  <c r="AT173" i="9" s="1"/>
  <c r="AT174" i="9" s="1"/>
  <c r="AU167" i="9"/>
  <c r="AU172" i="9" s="1"/>
  <c r="AU173" i="9" s="1"/>
  <c r="AU174" i="9" s="1"/>
  <c r="AU76" i="11" l="1"/>
  <c r="AU77" i="11" s="1"/>
  <c r="AU78" i="11" s="1"/>
  <c r="AU229" i="11" s="1"/>
  <c r="AV76" i="11"/>
  <c r="AV77" i="11" s="1"/>
  <c r="AV78" i="11" s="1"/>
  <c r="AV229" i="11" s="1"/>
  <c r="AT61" i="6" l="1"/>
  <c r="AT62" i="6" s="1"/>
  <c r="AT63" i="6" s="1"/>
  <c r="AT55" i="6"/>
  <c r="AH56" i="6"/>
  <c r="AF56" i="6" l="1"/>
  <c r="AH55" i="6"/>
  <c r="AF55" i="6" s="1"/>
  <c r="AJ69" i="6" s="1"/>
  <c r="AK69" i="6" s="1"/>
  <c r="AL69" i="6" s="1"/>
  <c r="AM69" i="6" s="1"/>
  <c r="AN69" i="6" s="1"/>
  <c r="AO69" i="6" s="1"/>
  <c r="AP69" i="6" s="1"/>
  <c r="AQ69" i="6" s="1"/>
  <c r="AR69" i="6" s="1"/>
  <c r="AS69" i="6" s="1"/>
  <c r="AH54" i="6"/>
  <c r="AJ56" i="6" l="1"/>
  <c r="AK56" i="6" s="1"/>
  <c r="AL56" i="6" s="1"/>
  <c r="AM56" i="6" s="1"/>
  <c r="AN56" i="6" s="1"/>
  <c r="AO56" i="6" s="1"/>
  <c r="AP56" i="6" s="1"/>
  <c r="AQ56" i="6" s="1"/>
  <c r="AR56" i="6" s="1"/>
  <c r="AS56" i="6" s="1"/>
  <c r="AJ70" i="6"/>
  <c r="AJ55" i="6"/>
  <c r="AK55" i="6" s="1"/>
  <c r="AL55" i="6" s="1"/>
  <c r="AM55" i="6" s="1"/>
  <c r="AN55" i="6" s="1"/>
  <c r="AO55" i="6" s="1"/>
  <c r="AP55" i="6" s="1"/>
  <c r="AQ55" i="6" s="1"/>
  <c r="AR55" i="6" s="1"/>
  <c r="AS55" i="6" s="1"/>
  <c r="AF54" i="6"/>
  <c r="AJ68" i="6" s="1"/>
  <c r="AK68" i="6" s="1"/>
  <c r="AL68" i="6" s="1"/>
  <c r="AM68" i="6" s="1"/>
  <c r="AN68" i="6" s="1"/>
  <c r="AO68" i="6" s="1"/>
  <c r="AP68" i="6" s="1"/>
  <c r="AQ68" i="6" s="1"/>
  <c r="AR68" i="6" s="1"/>
  <c r="AS68" i="6" s="1"/>
  <c r="AJ54" i="6" l="1"/>
  <c r="AK54" i="6" s="1"/>
  <c r="AL54" i="6" s="1"/>
  <c r="AM54" i="6" s="1"/>
  <c r="AN54" i="6" s="1"/>
  <c r="AO54" i="6" s="1"/>
  <c r="AP54" i="6" s="1"/>
  <c r="AQ54" i="6" s="1"/>
  <c r="AR54" i="6" s="1"/>
  <c r="AS54" i="6" s="1"/>
  <c r="AJ62" i="6"/>
  <c r="AJ63" i="6" s="1"/>
  <c r="AJ76" i="6"/>
  <c r="AJ77" i="6" s="1"/>
  <c r="AJ163" i="6" s="1"/>
  <c r="AK70" i="6"/>
  <c r="AK76" i="6" l="1"/>
  <c r="AK77" i="6" s="1"/>
  <c r="AL70" i="6"/>
  <c r="AK62" i="6"/>
  <c r="AK63" i="6" s="1"/>
  <c r="AK163" i="6" l="1"/>
  <c r="AL62" i="6"/>
  <c r="AL63" i="6" s="1"/>
  <c r="AM70" i="6"/>
  <c r="AL76" i="6"/>
  <c r="AL77" i="6" s="1"/>
  <c r="AM77" i="6" l="1"/>
  <c r="AN70" i="6"/>
  <c r="AM61" i="6"/>
  <c r="AM63" i="6" s="1"/>
  <c r="AN61" i="6" l="1"/>
  <c r="AN62" i="6" s="1"/>
  <c r="AN63" i="6" s="1"/>
  <c r="AO70" i="6"/>
  <c r="AN75" i="6"/>
  <c r="AN76" i="6" s="1"/>
  <c r="AN77" i="6" s="1"/>
  <c r="AP70" i="6" l="1"/>
  <c r="AO75" i="6"/>
  <c r="AO76" i="6" s="1"/>
  <c r="AO77" i="6" s="1"/>
  <c r="AO61" i="6"/>
  <c r="AO62" i="6" s="1"/>
  <c r="AO63" i="6" s="1"/>
  <c r="AP61" i="6" l="1"/>
  <c r="AP62" i="6" s="1"/>
  <c r="AP63" i="6" s="1"/>
  <c r="AP75" i="6"/>
  <c r="AP76" i="6" s="1"/>
  <c r="AP77" i="6" s="1"/>
  <c r="AQ70" i="6"/>
  <c r="AQ75" i="6" l="1"/>
  <c r="AQ76" i="6" s="1"/>
  <c r="AQ77" i="6" s="1"/>
  <c r="AR70" i="6"/>
  <c r="AQ61" i="6"/>
  <c r="AQ62" i="6" s="1"/>
  <c r="AQ63" i="6" s="1"/>
  <c r="AS61" i="6" l="1"/>
  <c r="AS62" i="6" s="1"/>
  <c r="AS63" i="6" s="1"/>
  <c r="AR61" i="6"/>
  <c r="AR62" i="6" s="1"/>
  <c r="AR63" i="6" s="1"/>
  <c r="AS70" i="6"/>
  <c r="AS75" i="6" s="1"/>
  <c r="AS76" i="6" s="1"/>
  <c r="AS77" i="6" s="1"/>
  <c r="AR75" i="6"/>
  <c r="AR76" i="6" s="1"/>
  <c r="AR77" i="6" s="1"/>
  <c r="AH84" i="9" l="1"/>
  <c r="AK84" i="9" s="1"/>
  <c r="AL84" i="9" s="1"/>
  <c r="AM84" i="9" s="1"/>
  <c r="AN84" i="9" s="1"/>
  <c r="AO84" i="9" s="1"/>
  <c r="AP84" i="9" s="1"/>
  <c r="AQ84" i="9" s="1"/>
  <c r="AR84" i="9" s="1"/>
  <c r="AS84" i="9" s="1"/>
  <c r="AT84" i="9" s="1"/>
  <c r="AU84" i="9" s="1"/>
</calcChain>
</file>

<file path=xl/comments1.xml><?xml version="1.0" encoding="utf-8"?>
<comments xmlns="http://schemas.openxmlformats.org/spreadsheetml/2006/main">
  <authors>
    <author>Rita D. Morallos</author>
    <author>jojpato</author>
    <author>Morallos, Rita D. (Pricon)</author>
  </authors>
  <commentList>
    <comment ref="J3" authorId="0" shapeId="0">
      <text>
        <r>
          <rPr>
            <b/>
            <sz val="9"/>
            <color indexed="81"/>
            <rFont val="Tahoma"/>
            <family val="2"/>
          </rPr>
          <t>Rita D. Morallos:</t>
        </r>
        <r>
          <rPr>
            <sz val="9"/>
            <color indexed="81"/>
            <rFont val="Tahoma"/>
            <family val="2"/>
          </rPr>
          <t xml:space="preserve">
ALL FY2023 ACTUAL DATA CAME FROM BOD RELEASED FY2024 POLICY</t>
        </r>
      </text>
    </comment>
    <comment ref="E9" authorId="1" shapeId="0">
      <text>
        <r>
          <rPr>
            <b/>
            <sz val="9"/>
            <color indexed="81"/>
            <rFont val="Tahoma"/>
            <family val="2"/>
          </rPr>
          <t>jojpato:</t>
        </r>
        <r>
          <rPr>
            <sz val="9"/>
            <color indexed="81"/>
            <rFont val="Tahoma"/>
            <family val="2"/>
          </rPr>
          <t xml:space="preserve">
11 Months actual average (Kwh)</t>
        </r>
      </text>
    </comment>
    <comment ref="G9" authorId="1" shapeId="0">
      <text>
        <r>
          <rPr>
            <b/>
            <sz val="9"/>
            <color indexed="81"/>
            <rFont val="Tahoma"/>
            <family val="2"/>
          </rPr>
          <t>jojpato:</t>
        </r>
        <r>
          <rPr>
            <sz val="9"/>
            <color indexed="81"/>
            <rFont val="Tahoma"/>
            <family val="2"/>
          </rPr>
          <t xml:space="preserve">
</t>
        </r>
        <r>
          <rPr>
            <sz val="12"/>
            <color indexed="81"/>
            <rFont val="Tahoma"/>
            <family val="2"/>
          </rPr>
          <t>11months actual average Kwh</t>
        </r>
      </text>
    </comment>
    <comment ref="H9" authorId="1" shapeId="0">
      <text>
        <r>
          <rPr>
            <b/>
            <sz val="9"/>
            <color indexed="81"/>
            <rFont val="Tahoma"/>
            <family val="2"/>
          </rPr>
          <t>jojpato:</t>
        </r>
        <r>
          <rPr>
            <sz val="9"/>
            <color indexed="81"/>
            <rFont val="Tahoma"/>
            <family val="2"/>
          </rPr>
          <t xml:space="preserve">
</t>
        </r>
        <r>
          <rPr>
            <sz val="10"/>
            <color indexed="81"/>
            <rFont val="Calibri"/>
            <family val="2"/>
          </rPr>
          <t>3% reduction in reference to Sir Obet commitment during plans and program report for FY2021 target</t>
        </r>
      </text>
    </comment>
    <comment ref="I9" authorId="1" shapeId="0">
      <text>
        <r>
          <rPr>
            <b/>
            <sz val="9"/>
            <color indexed="81"/>
            <rFont val="Tahoma"/>
            <family val="2"/>
          </rPr>
          <t>jojpato:</t>
        </r>
        <r>
          <rPr>
            <sz val="9"/>
            <color indexed="81"/>
            <rFont val="Tahoma"/>
            <family val="2"/>
          </rPr>
          <t xml:space="preserve">
Based on KwH per $1k sales, 11 months Ave 97.78
Actual for Feb 2023 146.16</t>
        </r>
      </text>
    </comment>
    <comment ref="G10" authorId="1" shapeId="0">
      <text>
        <r>
          <rPr>
            <b/>
            <sz val="9"/>
            <color indexed="81"/>
            <rFont val="Tahoma"/>
            <family val="2"/>
          </rPr>
          <t>jojpato:</t>
        </r>
        <r>
          <rPr>
            <sz val="9"/>
            <color indexed="81"/>
            <rFont val="Tahoma"/>
            <family val="2"/>
          </rPr>
          <t xml:space="preserve">
11months actual average</t>
        </r>
      </text>
    </comment>
    <comment ref="H10" authorId="1" shapeId="0">
      <text>
        <r>
          <rPr>
            <b/>
            <sz val="9"/>
            <color indexed="81"/>
            <rFont val="Tahoma"/>
            <family val="2"/>
          </rPr>
          <t>jojpato:</t>
        </r>
        <r>
          <rPr>
            <sz val="9"/>
            <color indexed="81"/>
            <rFont val="Tahoma"/>
            <family val="2"/>
          </rPr>
          <t xml:space="preserve">
</t>
        </r>
        <r>
          <rPr>
            <sz val="10"/>
            <color indexed="81"/>
            <rFont val="Calibri"/>
            <family val="2"/>
          </rPr>
          <t>3% reduction in reference to Sir Obet commitment during plans and program report for FY2021 target.</t>
        </r>
      </text>
    </comment>
    <comment ref="I10" authorId="1" shapeId="0">
      <text>
        <r>
          <rPr>
            <b/>
            <sz val="9"/>
            <color indexed="81"/>
            <rFont val="Tahoma"/>
            <family val="2"/>
          </rPr>
          <t>jojpato:</t>
        </r>
        <r>
          <rPr>
            <sz val="9"/>
            <color indexed="81"/>
            <rFont val="Tahoma"/>
            <family val="2"/>
          </rPr>
          <t xml:space="preserve">
11 months Ave.</t>
        </r>
      </text>
    </comment>
    <comment ref="G12" authorId="1" shapeId="0">
      <text>
        <r>
          <rPr>
            <b/>
            <sz val="9"/>
            <color indexed="81"/>
            <rFont val="Tahoma"/>
            <family val="2"/>
          </rPr>
          <t>jojpato:</t>
        </r>
        <r>
          <rPr>
            <sz val="9"/>
            <color indexed="81"/>
            <rFont val="Tahoma"/>
            <family val="2"/>
          </rPr>
          <t xml:space="preserve">
sum of 12months actual result</t>
        </r>
      </text>
    </comment>
    <comment ref="G13" authorId="1" shapeId="0">
      <text>
        <r>
          <rPr>
            <b/>
            <sz val="9"/>
            <color indexed="81"/>
            <rFont val="Tahoma"/>
            <family val="2"/>
          </rPr>
          <t>jojpato:</t>
        </r>
        <r>
          <rPr>
            <sz val="9"/>
            <color indexed="81"/>
            <rFont val="Tahoma"/>
            <family val="2"/>
          </rPr>
          <t xml:space="preserve">
11months actual average</t>
        </r>
      </text>
    </comment>
    <comment ref="I13" authorId="1" shapeId="0">
      <text>
        <r>
          <rPr>
            <b/>
            <sz val="9"/>
            <color indexed="81"/>
            <rFont val="Tahoma"/>
            <family val="2"/>
          </rPr>
          <t>jojpato:</t>
        </r>
        <r>
          <rPr>
            <sz val="9"/>
            <color indexed="81"/>
            <rFont val="Tahoma"/>
            <family val="2"/>
          </rPr>
          <t xml:space="preserve">
Based on FY2022 annualized  target policy</t>
        </r>
      </text>
    </comment>
    <comment ref="E35" authorId="2" shapeId="0">
      <text>
        <r>
          <rPr>
            <b/>
            <sz val="9"/>
            <color indexed="81"/>
            <rFont val="Tahoma"/>
            <family val="2"/>
          </rPr>
          <t>Morallos, Rita D. (Pricon):</t>
        </r>
        <r>
          <rPr>
            <sz val="9"/>
            <color indexed="81"/>
            <rFont val="Tahoma"/>
            <family val="2"/>
          </rPr>
          <t xml:space="preserve">
CN=6
PPS-TS=30
PPS-CN=54</t>
        </r>
      </text>
    </comment>
    <comment ref="F35" authorId="2" shapeId="0">
      <text>
        <r>
          <rPr>
            <b/>
            <sz val="9"/>
            <color indexed="81"/>
            <rFont val="Tahoma"/>
            <family val="2"/>
          </rPr>
          <t>Morallos, Rita D. (Pricon):</t>
        </r>
        <r>
          <rPr>
            <sz val="9"/>
            <color indexed="81"/>
            <rFont val="Tahoma"/>
            <family val="2"/>
          </rPr>
          <t xml:space="preserve">
CN=3
PPS-TS=20
PPS-CN=22</t>
        </r>
      </text>
    </comment>
    <comment ref="R35" authorId="0" shapeId="0">
      <text>
        <r>
          <rPr>
            <b/>
            <sz val="9"/>
            <color indexed="81"/>
            <rFont val="Tahoma"/>
            <family val="2"/>
          </rPr>
          <t>Rita D. Morallos:</t>
        </r>
        <r>
          <rPr>
            <sz val="9"/>
            <color indexed="81"/>
            <rFont val="Tahoma"/>
            <family val="2"/>
          </rPr>
          <t xml:space="preserve">
PPDTS: 7
PPDCN: 13</t>
        </r>
      </text>
    </comment>
    <comment ref="R36" authorId="0" shapeId="0">
      <text>
        <r>
          <rPr>
            <b/>
            <sz val="9"/>
            <color indexed="81"/>
            <rFont val="Tahoma"/>
            <family val="2"/>
          </rPr>
          <t>Rita D. Morallos:</t>
        </r>
        <r>
          <rPr>
            <sz val="9"/>
            <color indexed="81"/>
            <rFont val="Tahoma"/>
            <family val="2"/>
          </rPr>
          <t xml:space="preserve">
PPDCN: 3127
PPDTS: 818</t>
        </r>
      </text>
    </comment>
    <comment ref="S36" authorId="0" shapeId="0">
      <text>
        <r>
          <rPr>
            <b/>
            <sz val="9"/>
            <color indexed="81"/>
            <rFont val="Tahoma"/>
            <family val="2"/>
          </rPr>
          <t>Rita D. Morallos:</t>
        </r>
        <r>
          <rPr>
            <sz val="9"/>
            <color indexed="81"/>
            <rFont val="Tahoma"/>
            <family val="2"/>
          </rPr>
          <t xml:space="preserve">
PPDCN: 3,031
PPDTS: 695</t>
        </r>
      </text>
    </comment>
    <comment ref="R38" authorId="0" shapeId="0">
      <text>
        <r>
          <rPr>
            <b/>
            <sz val="9"/>
            <color indexed="81"/>
            <rFont val="Tahoma"/>
            <family val="2"/>
          </rPr>
          <t>Rita D. Morallos:</t>
        </r>
        <r>
          <rPr>
            <sz val="9"/>
            <color indexed="81"/>
            <rFont val="Tahoma"/>
            <family val="2"/>
          </rPr>
          <t xml:space="preserve">
PPDCN: 99.69%
PPDTS: 99.91%</t>
        </r>
      </text>
    </comment>
    <comment ref="S38" authorId="0" shapeId="0">
      <text>
        <r>
          <rPr>
            <b/>
            <sz val="9"/>
            <color indexed="81"/>
            <rFont val="Tahoma"/>
            <family val="2"/>
          </rPr>
          <t>Rita D. Morallos:</t>
        </r>
        <r>
          <rPr>
            <sz val="9"/>
            <color indexed="81"/>
            <rFont val="Tahoma"/>
            <family val="2"/>
          </rPr>
          <t xml:space="preserve">
PPDCN: 99.70%
PPDTS: 99.93%</t>
        </r>
      </text>
    </comment>
    <comment ref="G45" authorId="2" shapeId="0">
      <text>
        <r>
          <rPr>
            <b/>
            <sz val="9"/>
            <color indexed="81"/>
            <rFont val="Tahoma"/>
            <family val="2"/>
          </rPr>
          <t>Morallos, Rita D. (Pricon):</t>
        </r>
        <r>
          <rPr>
            <sz val="9"/>
            <color indexed="81"/>
            <rFont val="Tahoma"/>
            <family val="2"/>
          </rPr>
          <t xml:space="preserve">
data is from May 2020 to Feb 2021 only (April 2020 due to ECQ)</t>
        </r>
      </text>
    </comment>
    <comment ref="H45" authorId="2" shapeId="0">
      <text>
        <r>
          <rPr>
            <b/>
            <sz val="9"/>
            <color indexed="81"/>
            <rFont val="Tahoma"/>
            <family val="2"/>
          </rPr>
          <t>Morallos, Rita D. (Pricon):</t>
        </r>
        <r>
          <rPr>
            <sz val="9"/>
            <color indexed="81"/>
            <rFont val="Tahoma"/>
            <family val="2"/>
          </rPr>
          <t xml:space="preserve">
25% improvement from FY2020 actual as baseline</t>
        </r>
      </text>
    </comment>
  </commentList>
</comments>
</file>

<file path=xl/comments2.xml><?xml version="1.0" encoding="utf-8"?>
<comments xmlns="http://schemas.openxmlformats.org/spreadsheetml/2006/main">
  <authors>
    <author>rmdacasin</author>
    <author>ritamor</author>
  </authors>
  <commentList>
    <comment ref="AK61" authorId="0" shapeId="0">
      <text>
        <r>
          <rPr>
            <b/>
            <sz val="8"/>
            <color indexed="81"/>
            <rFont val="Tahoma"/>
            <family val="2"/>
          </rPr>
          <t>rmdacasin:</t>
        </r>
        <r>
          <rPr>
            <sz val="8"/>
            <color indexed="81"/>
            <rFont val="Tahoma"/>
            <family val="2"/>
          </rPr>
          <t xml:space="preserve">
This cell is intended for computing the co-wide figure</t>
        </r>
      </text>
    </comment>
    <comment ref="AH64" authorId="1" shapeId="0">
      <text>
        <r>
          <rPr>
            <b/>
            <sz val="8"/>
            <color indexed="81"/>
            <rFont val="Tahoma"/>
            <family val="2"/>
          </rPr>
          <t>ritamor:</t>
        </r>
        <r>
          <rPr>
            <sz val="8"/>
            <color indexed="81"/>
            <rFont val="Tahoma"/>
            <family val="2"/>
          </rPr>
          <t xml:space="preserve">
 CLASS A (5%)</t>
        </r>
      </text>
    </comment>
    <comment ref="AK75" authorId="0" shapeId="0">
      <text>
        <r>
          <rPr>
            <b/>
            <sz val="11"/>
            <color indexed="81"/>
            <rFont val="Tahoma"/>
            <family val="2"/>
          </rPr>
          <t>rmdacasin:</t>
        </r>
        <r>
          <rPr>
            <sz val="11"/>
            <color indexed="81"/>
            <rFont val="Tahoma"/>
            <family val="2"/>
          </rPr>
          <t xml:space="preserve">
This cell is intended for computing the co-wide figure</t>
        </r>
      </text>
    </comment>
    <comment ref="AH78" authorId="1" shapeId="0">
      <text>
        <r>
          <rPr>
            <b/>
            <sz val="8"/>
            <color indexed="81"/>
            <rFont val="Tahoma"/>
            <family val="2"/>
          </rPr>
          <t>ritamor:</t>
        </r>
        <r>
          <rPr>
            <sz val="8"/>
            <color indexed="81"/>
            <rFont val="Tahoma"/>
            <family val="2"/>
          </rPr>
          <t xml:space="preserve">
 CLASS A (5%)</t>
        </r>
      </text>
    </comment>
    <comment ref="AK88" authorId="0" shapeId="0">
      <text>
        <r>
          <rPr>
            <b/>
            <sz val="11"/>
            <color indexed="81"/>
            <rFont val="Tahoma"/>
            <family val="2"/>
          </rPr>
          <t>rmdacasin:</t>
        </r>
        <r>
          <rPr>
            <sz val="11"/>
            <color indexed="81"/>
            <rFont val="Tahoma"/>
            <family val="2"/>
          </rPr>
          <t xml:space="preserve">
This cell is intended for computing the co-wide figure</t>
        </r>
      </text>
    </comment>
    <comment ref="AH91" authorId="1" shapeId="0">
      <text>
        <r>
          <rPr>
            <b/>
            <sz val="8"/>
            <color indexed="81"/>
            <rFont val="Tahoma"/>
            <family val="2"/>
          </rPr>
          <t>ritamor:</t>
        </r>
        <r>
          <rPr>
            <sz val="8"/>
            <color indexed="81"/>
            <rFont val="Tahoma"/>
            <family val="2"/>
          </rPr>
          <t xml:space="preserve">
 CLASS A (5%)</t>
        </r>
      </text>
    </comment>
    <comment ref="AH106" authorId="1" shapeId="0">
      <text>
        <r>
          <rPr>
            <b/>
            <sz val="10"/>
            <color indexed="81"/>
            <rFont val="Tahoma"/>
            <family val="2"/>
          </rPr>
          <t>ritamor:</t>
        </r>
        <r>
          <rPr>
            <sz val="10"/>
            <color indexed="81"/>
            <rFont val="Tahoma"/>
            <family val="2"/>
          </rPr>
          <t xml:space="preserve">
 Yield dppm (10%)</t>
        </r>
      </text>
    </comment>
    <comment ref="AH119" authorId="1" shapeId="0">
      <text>
        <r>
          <rPr>
            <b/>
            <sz val="10"/>
            <color indexed="81"/>
            <rFont val="Tahoma"/>
            <family val="2"/>
          </rPr>
          <t>ritamor:</t>
        </r>
        <r>
          <rPr>
            <sz val="10"/>
            <color indexed="81"/>
            <rFont val="Tahoma"/>
            <family val="2"/>
          </rPr>
          <t xml:space="preserve">
% Yield (10%)</t>
        </r>
      </text>
    </comment>
    <comment ref="AH133" authorId="1" shapeId="0">
      <text>
        <r>
          <rPr>
            <b/>
            <sz val="10"/>
            <color indexed="81"/>
            <rFont val="Tahoma"/>
            <family val="2"/>
          </rPr>
          <t>ritamor:</t>
        </r>
        <r>
          <rPr>
            <sz val="10"/>
            <color indexed="81"/>
            <rFont val="Tahoma"/>
            <family val="2"/>
          </rPr>
          <t xml:space="preserve">
 Yield dppm (10%)</t>
        </r>
      </text>
    </comment>
    <comment ref="AH146" authorId="1" shapeId="0">
      <text>
        <r>
          <rPr>
            <b/>
            <sz val="10"/>
            <color indexed="81"/>
            <rFont val="Tahoma"/>
            <family val="2"/>
          </rPr>
          <t>ritamor:</t>
        </r>
        <r>
          <rPr>
            <sz val="10"/>
            <color indexed="81"/>
            <rFont val="Tahoma"/>
            <family val="2"/>
          </rPr>
          <t xml:space="preserve">
% Yield (10%)</t>
        </r>
      </text>
    </comment>
    <comment ref="AH160" authorId="1" shapeId="0">
      <text>
        <r>
          <rPr>
            <b/>
            <sz val="10"/>
            <color indexed="81"/>
            <rFont val="Tahoma"/>
            <family val="2"/>
          </rPr>
          <t>ritamor:</t>
        </r>
        <r>
          <rPr>
            <sz val="10"/>
            <color indexed="81"/>
            <rFont val="Tahoma"/>
            <family val="2"/>
          </rPr>
          <t xml:space="preserve">
Loss Cost (20%)</t>
        </r>
      </text>
    </comment>
    <comment ref="AH173" authorId="1" shapeId="0">
      <text>
        <r>
          <rPr>
            <b/>
            <sz val="10"/>
            <color indexed="81"/>
            <rFont val="Tahoma"/>
            <family val="2"/>
          </rPr>
          <t>ritamor:</t>
        </r>
        <r>
          <rPr>
            <sz val="10"/>
            <color indexed="81"/>
            <rFont val="Tahoma"/>
            <family val="2"/>
          </rPr>
          <t xml:space="preserve">
OQC LAR (5%)</t>
        </r>
      </text>
    </comment>
    <comment ref="AH187" authorId="1" shapeId="0">
      <text>
        <r>
          <rPr>
            <b/>
            <sz val="10"/>
            <color indexed="81"/>
            <rFont val="Tahoma"/>
            <family val="2"/>
          </rPr>
          <t>ritamor:</t>
        </r>
        <r>
          <rPr>
            <sz val="10"/>
            <color indexed="81"/>
            <rFont val="Tahoma"/>
            <family val="2"/>
          </rPr>
          <t xml:space="preserve">
OQC Dppm (5%)</t>
        </r>
      </text>
    </comment>
    <comment ref="AH199" authorId="1" shapeId="0">
      <text>
        <r>
          <rPr>
            <b/>
            <sz val="10"/>
            <color indexed="81"/>
            <rFont val="Tahoma"/>
            <family val="2"/>
          </rPr>
          <t>ritamor:</t>
        </r>
        <r>
          <rPr>
            <sz val="10"/>
            <color indexed="81"/>
            <rFont val="Tahoma"/>
            <family val="2"/>
          </rPr>
          <t xml:space="preserve">
OQC LAR (5%)</t>
        </r>
      </text>
    </comment>
    <comment ref="AH213" authorId="1" shapeId="0">
      <text>
        <r>
          <rPr>
            <b/>
            <sz val="10"/>
            <color indexed="81"/>
            <rFont val="Tahoma"/>
            <family val="2"/>
          </rPr>
          <t>ritamor:</t>
        </r>
        <r>
          <rPr>
            <sz val="10"/>
            <color indexed="81"/>
            <rFont val="Tahoma"/>
            <family val="2"/>
          </rPr>
          <t xml:space="preserve">
OQC Dppm (5%)</t>
        </r>
      </text>
    </comment>
    <comment ref="AK224" authorId="0" shapeId="0">
      <text>
        <r>
          <rPr>
            <b/>
            <sz val="11"/>
            <color indexed="81"/>
            <rFont val="Tahoma"/>
            <family val="2"/>
          </rPr>
          <t>rmdacasin:</t>
        </r>
        <r>
          <rPr>
            <sz val="11"/>
            <color indexed="81"/>
            <rFont val="Tahoma"/>
            <family val="2"/>
          </rPr>
          <t xml:space="preserve">
This cell is intended for computing the co-wide figure</t>
        </r>
      </text>
    </comment>
    <comment ref="AH227" authorId="1" shapeId="0">
      <text>
        <r>
          <rPr>
            <b/>
            <sz val="8"/>
            <color indexed="81"/>
            <rFont val="Tahoma"/>
            <family val="2"/>
          </rPr>
          <t>ritamor:</t>
        </r>
        <r>
          <rPr>
            <sz val="8"/>
            <color indexed="81"/>
            <rFont val="Tahoma"/>
            <family val="2"/>
          </rPr>
          <t xml:space="preserve">
 Suppliers Performance (5%)</t>
        </r>
      </text>
    </comment>
  </commentList>
</comments>
</file>

<file path=xl/comments3.xml><?xml version="1.0" encoding="utf-8"?>
<comments xmlns="http://schemas.openxmlformats.org/spreadsheetml/2006/main">
  <authors>
    <author>ritamor</author>
    <author>rmdacasin</author>
  </authors>
  <commentList>
    <comment ref="E4" authorId="0" shapeId="0">
      <text>
        <r>
          <rPr>
            <sz val="9"/>
            <rFont val="Arial"/>
            <family val="2"/>
          </rPr>
          <t>ritamor:
 Kindly input team members</t>
        </r>
      </text>
    </comment>
    <comment ref="AG51" authorId="1" shapeId="0">
      <text>
        <r>
          <rPr>
            <b/>
            <sz val="8"/>
            <color indexed="81"/>
            <rFont val="Tahoma"/>
            <family val="2"/>
          </rPr>
          <t>rmdacasin:</t>
        </r>
        <r>
          <rPr>
            <sz val="8"/>
            <color indexed="81"/>
            <rFont val="Tahoma"/>
            <family val="2"/>
          </rPr>
          <t xml:space="preserve">
This cell is intended for computing the co-wide figure</t>
        </r>
      </text>
    </comment>
    <comment ref="AD54" authorId="0" shapeId="0">
      <text>
        <r>
          <rPr>
            <b/>
            <sz val="8"/>
            <color indexed="81"/>
            <rFont val="Tahoma"/>
            <family val="2"/>
          </rPr>
          <t>ritamor:</t>
        </r>
        <r>
          <rPr>
            <sz val="8"/>
            <color indexed="81"/>
            <rFont val="Tahoma"/>
            <family val="2"/>
          </rPr>
          <t xml:space="preserve">
 CLASS A (5%)</t>
        </r>
      </text>
    </comment>
    <comment ref="AG65" authorId="1" shapeId="0">
      <text>
        <r>
          <rPr>
            <b/>
            <sz val="11"/>
            <color indexed="81"/>
            <rFont val="Tahoma"/>
            <family val="2"/>
          </rPr>
          <t>rmdacasin:</t>
        </r>
        <r>
          <rPr>
            <sz val="11"/>
            <color indexed="81"/>
            <rFont val="Tahoma"/>
            <family val="2"/>
          </rPr>
          <t xml:space="preserve">
This cell is intended for computing the co-wide figure</t>
        </r>
      </text>
    </comment>
    <comment ref="AD68" authorId="0" shapeId="0">
      <text>
        <r>
          <rPr>
            <b/>
            <sz val="8"/>
            <color indexed="81"/>
            <rFont val="Tahoma"/>
            <family val="2"/>
          </rPr>
          <t>ritamor:</t>
        </r>
        <r>
          <rPr>
            <sz val="8"/>
            <color indexed="81"/>
            <rFont val="Tahoma"/>
            <family val="2"/>
          </rPr>
          <t xml:space="preserve">
 CLASS A (5%)</t>
        </r>
      </text>
    </comment>
    <comment ref="AD83" authorId="0" shapeId="0">
      <text>
        <r>
          <rPr>
            <b/>
            <sz val="10"/>
            <color indexed="81"/>
            <rFont val="Tahoma"/>
            <family val="2"/>
          </rPr>
          <t>ritamor:</t>
        </r>
        <r>
          <rPr>
            <sz val="10"/>
            <color indexed="81"/>
            <rFont val="Tahoma"/>
            <family val="2"/>
          </rPr>
          <t xml:space="preserve">
 Yield dppm (20%)</t>
        </r>
      </text>
    </comment>
    <comment ref="AD96" authorId="0" shapeId="0">
      <text>
        <r>
          <rPr>
            <b/>
            <sz val="10"/>
            <color indexed="81"/>
            <rFont val="Tahoma"/>
            <family val="2"/>
          </rPr>
          <t>ritamor:</t>
        </r>
        <r>
          <rPr>
            <sz val="10"/>
            <color indexed="81"/>
            <rFont val="Tahoma"/>
            <family val="2"/>
          </rPr>
          <t xml:space="preserve">
% Yield (20%) </t>
        </r>
      </text>
    </comment>
    <comment ref="AD111" authorId="0" shapeId="0">
      <text>
        <r>
          <rPr>
            <b/>
            <sz val="10"/>
            <color indexed="81"/>
            <rFont val="Tahoma"/>
            <family val="2"/>
          </rPr>
          <t>ritamor:</t>
        </r>
        <r>
          <rPr>
            <sz val="10"/>
            <color indexed="81"/>
            <rFont val="Tahoma"/>
            <family val="2"/>
          </rPr>
          <t xml:space="preserve">
Loss Cost (20%)</t>
        </r>
      </text>
    </comment>
    <comment ref="AD124" authorId="0" shapeId="0">
      <text>
        <r>
          <rPr>
            <b/>
            <sz val="10"/>
            <color indexed="81"/>
            <rFont val="Tahoma"/>
            <family val="2"/>
          </rPr>
          <t>ritamor:</t>
        </r>
        <r>
          <rPr>
            <sz val="10"/>
            <color indexed="81"/>
            <rFont val="Tahoma"/>
            <family val="2"/>
          </rPr>
          <t xml:space="preserve">
OQC LAR (15%)</t>
        </r>
      </text>
    </comment>
    <comment ref="AD138" authorId="0" shapeId="0">
      <text>
        <r>
          <rPr>
            <b/>
            <sz val="10"/>
            <color indexed="81"/>
            <rFont val="Tahoma"/>
            <family val="2"/>
          </rPr>
          <t>ritamor:</t>
        </r>
        <r>
          <rPr>
            <sz val="10"/>
            <color indexed="81"/>
            <rFont val="Tahoma"/>
            <family val="2"/>
          </rPr>
          <t xml:space="preserve">
OQC Dppm (15%)</t>
        </r>
      </text>
    </comment>
  </commentList>
</comments>
</file>

<file path=xl/comments4.xml><?xml version="1.0" encoding="utf-8"?>
<comments xmlns="http://schemas.openxmlformats.org/spreadsheetml/2006/main">
  <authors>
    <author>ritamor</author>
  </authors>
  <commentList>
    <comment ref="E4" authorId="0" shapeId="0">
      <text>
        <r>
          <rPr>
            <sz val="9"/>
            <rFont val="Arial"/>
            <family val="2"/>
          </rPr>
          <t>ritamor:
 Kindly input team members</t>
        </r>
      </text>
    </comment>
    <comment ref="AH67" authorId="0" shapeId="0">
      <text>
        <r>
          <rPr>
            <b/>
            <sz val="8"/>
            <color indexed="81"/>
            <rFont val="Tahoma"/>
            <family val="2"/>
          </rPr>
          <t>ritamor:</t>
        </r>
        <r>
          <rPr>
            <sz val="8"/>
            <color indexed="81"/>
            <rFont val="Tahoma"/>
            <family val="2"/>
          </rPr>
          <t xml:space="preserve">
 CLASS A (5%)</t>
        </r>
      </text>
    </comment>
    <comment ref="AH81" authorId="0" shapeId="0">
      <text>
        <r>
          <rPr>
            <b/>
            <sz val="8"/>
            <color indexed="81"/>
            <rFont val="Tahoma"/>
            <family val="2"/>
          </rPr>
          <t>ritamor:</t>
        </r>
        <r>
          <rPr>
            <sz val="8"/>
            <color indexed="81"/>
            <rFont val="Tahoma"/>
            <family val="2"/>
          </rPr>
          <t xml:space="preserve">
 CLASS B/C (5%)</t>
        </r>
      </text>
    </comment>
    <comment ref="AH95" authorId="0" shapeId="0">
      <text>
        <r>
          <rPr>
            <b/>
            <sz val="8"/>
            <color indexed="81"/>
            <rFont val="Tahoma"/>
            <family val="2"/>
          </rPr>
          <t>ritamor:</t>
        </r>
        <r>
          <rPr>
            <sz val="8"/>
            <color indexed="81"/>
            <rFont val="Tahoma"/>
            <family val="2"/>
          </rPr>
          <t xml:space="preserve">
 CLASS A (5%)</t>
        </r>
      </text>
    </comment>
    <comment ref="AH110" authorId="0" shapeId="0">
      <text>
        <r>
          <rPr>
            <b/>
            <sz val="10"/>
            <color indexed="81"/>
            <rFont val="Tahoma"/>
            <family val="2"/>
          </rPr>
          <t>ritamor:</t>
        </r>
        <r>
          <rPr>
            <sz val="10"/>
            <color indexed="81"/>
            <rFont val="Tahoma"/>
            <family val="2"/>
          </rPr>
          <t xml:space="preserve">
 Yield dppm (10%)</t>
        </r>
      </text>
    </comment>
    <comment ref="AH123" authorId="0" shapeId="0">
      <text>
        <r>
          <rPr>
            <b/>
            <sz val="10"/>
            <color indexed="81"/>
            <rFont val="Tahoma"/>
            <family val="2"/>
          </rPr>
          <t>ritamor:</t>
        </r>
        <r>
          <rPr>
            <sz val="10"/>
            <color indexed="81"/>
            <rFont val="Tahoma"/>
            <family val="2"/>
          </rPr>
          <t xml:space="preserve">
% Yield (10%)</t>
        </r>
      </text>
    </comment>
    <comment ref="AH138" authorId="0" shapeId="0">
      <text>
        <r>
          <rPr>
            <b/>
            <sz val="10"/>
            <color indexed="81"/>
            <rFont val="Tahoma"/>
            <family val="2"/>
          </rPr>
          <t>ritamor:</t>
        </r>
        <r>
          <rPr>
            <sz val="10"/>
            <color indexed="81"/>
            <rFont val="Tahoma"/>
            <family val="2"/>
          </rPr>
          <t xml:space="preserve">
 Yield dppm (10%)</t>
        </r>
      </text>
    </comment>
    <comment ref="AH151" authorId="0" shapeId="0">
      <text>
        <r>
          <rPr>
            <b/>
            <sz val="10"/>
            <color indexed="81"/>
            <rFont val="Tahoma"/>
            <family val="2"/>
          </rPr>
          <t>ritamor:</t>
        </r>
        <r>
          <rPr>
            <sz val="10"/>
            <color indexed="81"/>
            <rFont val="Tahoma"/>
            <family val="2"/>
          </rPr>
          <t xml:space="preserve">
% Yield (10%)</t>
        </r>
      </text>
    </comment>
    <comment ref="AH165" authorId="0" shapeId="0">
      <text>
        <r>
          <rPr>
            <b/>
            <sz val="10"/>
            <color indexed="81"/>
            <rFont val="Tahoma"/>
            <family val="2"/>
          </rPr>
          <t>ritamor:</t>
        </r>
        <r>
          <rPr>
            <sz val="10"/>
            <color indexed="81"/>
            <rFont val="Tahoma"/>
            <family val="2"/>
          </rPr>
          <t xml:space="preserve">
Loss Cost (15%)</t>
        </r>
      </text>
    </comment>
    <comment ref="AH178" authorId="0" shapeId="0">
      <text>
        <r>
          <rPr>
            <b/>
            <sz val="10"/>
            <color indexed="81"/>
            <rFont val="Tahoma"/>
            <family val="2"/>
          </rPr>
          <t>ritamor:</t>
        </r>
        <r>
          <rPr>
            <sz val="10"/>
            <color indexed="81"/>
            <rFont val="Tahoma"/>
            <family val="2"/>
          </rPr>
          <t xml:space="preserve">
OQC LAR (5%)</t>
        </r>
      </text>
    </comment>
    <comment ref="AH192" authorId="0" shapeId="0">
      <text>
        <r>
          <rPr>
            <b/>
            <sz val="10"/>
            <color indexed="81"/>
            <rFont val="Tahoma"/>
            <family val="2"/>
          </rPr>
          <t>ritamor:</t>
        </r>
        <r>
          <rPr>
            <sz val="10"/>
            <color indexed="81"/>
            <rFont val="Tahoma"/>
            <family val="2"/>
          </rPr>
          <t xml:space="preserve">
OQC Dppm (10%)</t>
        </r>
      </text>
    </comment>
    <comment ref="AH204" authorId="0" shapeId="0">
      <text>
        <r>
          <rPr>
            <b/>
            <sz val="10"/>
            <color indexed="81"/>
            <rFont val="Tahoma"/>
            <family val="2"/>
          </rPr>
          <t>ritamor:</t>
        </r>
        <r>
          <rPr>
            <sz val="10"/>
            <color indexed="81"/>
            <rFont val="Tahoma"/>
            <family val="2"/>
          </rPr>
          <t xml:space="preserve">
OQC LAR (5%)</t>
        </r>
      </text>
    </comment>
    <comment ref="AH218" authorId="0" shapeId="0">
      <text>
        <r>
          <rPr>
            <b/>
            <sz val="10"/>
            <color indexed="81"/>
            <rFont val="Tahoma"/>
            <family val="2"/>
          </rPr>
          <t>ritamor:</t>
        </r>
        <r>
          <rPr>
            <sz val="10"/>
            <color indexed="81"/>
            <rFont val="Tahoma"/>
            <family val="2"/>
          </rPr>
          <t xml:space="preserve">
OQC Dppm (10%)</t>
        </r>
      </text>
    </comment>
  </commentList>
</comments>
</file>

<file path=xl/comments5.xml><?xml version="1.0" encoding="utf-8"?>
<comments xmlns="http://schemas.openxmlformats.org/spreadsheetml/2006/main">
  <authors>
    <author>ritamor</author>
    <author>Belen B. Perez</author>
    <author>rmdacasin</author>
  </authors>
  <commentList>
    <comment ref="E4" authorId="0" shapeId="0">
      <text>
        <r>
          <rPr>
            <sz val="9"/>
            <rFont val="Arial"/>
            <family val="2"/>
          </rPr>
          <t>ritamor:
 Kindly input team members</t>
        </r>
      </text>
    </comment>
    <comment ref="I14" authorId="1" shapeId="0">
      <text>
        <r>
          <rPr>
            <b/>
            <sz val="9"/>
            <color indexed="81"/>
            <rFont val="Tahoma"/>
            <family val="2"/>
          </rPr>
          <t>Belen B. Perez:</t>
        </r>
        <r>
          <rPr>
            <sz val="9"/>
            <color indexed="81"/>
            <rFont val="Tahoma"/>
            <family val="2"/>
          </rPr>
          <t xml:space="preserve">
waiting for the suppliers response - August 2024</t>
        </r>
      </text>
    </comment>
    <comment ref="I20" authorId="1" shapeId="0">
      <text>
        <r>
          <rPr>
            <b/>
            <sz val="9"/>
            <color indexed="81"/>
            <rFont val="Tahoma"/>
            <family val="2"/>
          </rPr>
          <t>Belen B. Perez:</t>
        </r>
        <r>
          <rPr>
            <sz val="9"/>
            <color indexed="81"/>
            <rFont val="Tahoma"/>
            <family val="2"/>
          </rPr>
          <t xml:space="preserve">
To scheduke the audit - August 2024</t>
        </r>
      </text>
    </comment>
    <comment ref="AK60" authorId="2" shapeId="0">
      <text>
        <r>
          <rPr>
            <b/>
            <sz val="8"/>
            <color indexed="81"/>
            <rFont val="Tahoma"/>
            <family val="2"/>
          </rPr>
          <t>rmdacasin:</t>
        </r>
        <r>
          <rPr>
            <sz val="8"/>
            <color indexed="81"/>
            <rFont val="Tahoma"/>
            <family val="2"/>
          </rPr>
          <t xml:space="preserve">
This cell is intended for computing the co-wide figure</t>
        </r>
      </text>
    </comment>
    <comment ref="AH63" authorId="0" shapeId="0">
      <text>
        <r>
          <rPr>
            <b/>
            <sz val="8"/>
            <color indexed="81"/>
            <rFont val="Tahoma"/>
            <family val="2"/>
          </rPr>
          <t>ritamor:</t>
        </r>
        <r>
          <rPr>
            <sz val="8"/>
            <color indexed="81"/>
            <rFont val="Tahoma"/>
            <family val="2"/>
          </rPr>
          <t xml:space="preserve">
 CLASS A (5%)</t>
        </r>
      </text>
    </comment>
    <comment ref="AK74" authorId="2" shapeId="0">
      <text>
        <r>
          <rPr>
            <b/>
            <sz val="11"/>
            <color indexed="81"/>
            <rFont val="Tahoma"/>
            <family val="2"/>
          </rPr>
          <t>rmdacasin:</t>
        </r>
        <r>
          <rPr>
            <sz val="11"/>
            <color indexed="81"/>
            <rFont val="Tahoma"/>
            <family val="2"/>
          </rPr>
          <t xml:space="preserve">
This cell is intended for computing the co-wide figure</t>
        </r>
      </text>
    </comment>
    <comment ref="AH77" authorId="0" shapeId="0">
      <text>
        <r>
          <rPr>
            <b/>
            <sz val="8"/>
            <color indexed="81"/>
            <rFont val="Tahoma"/>
            <family val="2"/>
          </rPr>
          <t>ritamor:</t>
        </r>
        <r>
          <rPr>
            <sz val="8"/>
            <color indexed="81"/>
            <rFont val="Tahoma"/>
            <family val="2"/>
          </rPr>
          <t xml:space="preserve">
 CLASS B/C (5%)</t>
        </r>
      </text>
    </comment>
    <comment ref="AH93" authorId="0" shapeId="0">
      <text>
        <r>
          <rPr>
            <b/>
            <sz val="10"/>
            <color indexed="81"/>
            <rFont val="Tahoma"/>
            <family val="2"/>
          </rPr>
          <t>ritamor:</t>
        </r>
        <r>
          <rPr>
            <sz val="10"/>
            <color indexed="81"/>
            <rFont val="Tahoma"/>
            <family val="2"/>
          </rPr>
          <t xml:space="preserve">
 Yield dppm (10%)</t>
        </r>
      </text>
    </comment>
    <comment ref="AH106" authorId="0" shapeId="0">
      <text>
        <r>
          <rPr>
            <b/>
            <sz val="10"/>
            <color indexed="81"/>
            <rFont val="Tahoma"/>
            <family val="2"/>
          </rPr>
          <t>ritamor:</t>
        </r>
        <r>
          <rPr>
            <sz val="10"/>
            <color indexed="81"/>
            <rFont val="Tahoma"/>
            <family val="2"/>
          </rPr>
          <t xml:space="preserve">
% Yield (10%)</t>
        </r>
      </text>
    </comment>
    <comment ref="AH120" authorId="0" shapeId="0">
      <text>
        <r>
          <rPr>
            <b/>
            <sz val="10"/>
            <color indexed="81"/>
            <rFont val="Tahoma"/>
            <family val="2"/>
          </rPr>
          <t>ritamor:</t>
        </r>
        <r>
          <rPr>
            <sz val="10"/>
            <color indexed="81"/>
            <rFont val="Tahoma"/>
            <family val="2"/>
          </rPr>
          <t xml:space="preserve">
 Yield dppm (10%)</t>
        </r>
      </text>
    </comment>
    <comment ref="AH133" authorId="0" shapeId="0">
      <text>
        <r>
          <rPr>
            <b/>
            <sz val="10"/>
            <color indexed="81"/>
            <rFont val="Tahoma"/>
            <family val="2"/>
          </rPr>
          <t>ritamor:</t>
        </r>
        <r>
          <rPr>
            <sz val="10"/>
            <color indexed="81"/>
            <rFont val="Tahoma"/>
            <family val="2"/>
          </rPr>
          <t xml:space="preserve">
% Yield (10%)</t>
        </r>
      </text>
    </comment>
    <comment ref="AH147" authorId="0" shapeId="0">
      <text>
        <r>
          <rPr>
            <b/>
            <sz val="10"/>
            <color indexed="81"/>
            <rFont val="Tahoma"/>
            <family val="2"/>
          </rPr>
          <t>ritamor:</t>
        </r>
        <r>
          <rPr>
            <sz val="10"/>
            <color indexed="81"/>
            <rFont val="Tahoma"/>
            <family val="2"/>
          </rPr>
          <t xml:space="preserve">
Loss Cost (20%)</t>
        </r>
      </text>
    </comment>
    <comment ref="AH160" authorId="0" shapeId="0">
      <text>
        <r>
          <rPr>
            <b/>
            <sz val="10"/>
            <color indexed="81"/>
            <rFont val="Tahoma"/>
            <family val="2"/>
          </rPr>
          <t>ritamor:</t>
        </r>
        <r>
          <rPr>
            <sz val="10"/>
            <color indexed="81"/>
            <rFont val="Tahoma"/>
            <family val="2"/>
          </rPr>
          <t xml:space="preserve">
OQC LAR (7.5%)</t>
        </r>
      </text>
    </comment>
    <comment ref="AH174" authorId="0" shapeId="0">
      <text>
        <r>
          <rPr>
            <b/>
            <sz val="10"/>
            <color indexed="81"/>
            <rFont val="Tahoma"/>
            <family val="2"/>
          </rPr>
          <t>ritamor:</t>
        </r>
        <r>
          <rPr>
            <sz val="10"/>
            <color indexed="81"/>
            <rFont val="Tahoma"/>
            <family val="2"/>
          </rPr>
          <t xml:space="preserve">
OQC Dppm (7.5%)</t>
        </r>
      </text>
    </comment>
    <comment ref="AH186" authorId="0" shapeId="0">
      <text>
        <r>
          <rPr>
            <b/>
            <sz val="10"/>
            <color indexed="81"/>
            <rFont val="Tahoma"/>
            <family val="2"/>
          </rPr>
          <t>ritamor:</t>
        </r>
        <r>
          <rPr>
            <sz val="10"/>
            <color indexed="81"/>
            <rFont val="Tahoma"/>
            <family val="2"/>
          </rPr>
          <t xml:space="preserve">
OQC LAR (7.5%)</t>
        </r>
      </text>
    </comment>
    <comment ref="AH200" authorId="0" shapeId="0">
      <text>
        <r>
          <rPr>
            <b/>
            <sz val="10"/>
            <color indexed="81"/>
            <rFont val="Tahoma"/>
            <family val="2"/>
          </rPr>
          <t>ritamor:</t>
        </r>
        <r>
          <rPr>
            <sz val="10"/>
            <color indexed="81"/>
            <rFont val="Tahoma"/>
            <family val="2"/>
          </rPr>
          <t xml:space="preserve">
OQC Dppm (7.5%)</t>
        </r>
      </text>
    </comment>
  </commentList>
</comments>
</file>

<file path=xl/comments6.xml><?xml version="1.0" encoding="utf-8"?>
<comments xmlns="http://schemas.openxmlformats.org/spreadsheetml/2006/main">
  <authors>
    <author>ritamor</author>
    <author>rmdacasin</author>
  </authors>
  <commentList>
    <comment ref="E4" authorId="0" shapeId="0">
      <text>
        <r>
          <rPr>
            <sz val="9"/>
            <rFont val="Arial"/>
            <family val="2"/>
          </rPr>
          <t>ritamor:
 Kindly input team members</t>
        </r>
      </text>
    </comment>
    <comment ref="AI60" authorId="1" shapeId="0">
      <text>
        <r>
          <rPr>
            <b/>
            <sz val="8"/>
            <color indexed="81"/>
            <rFont val="Tahoma"/>
            <family val="2"/>
          </rPr>
          <t>rmdacasin:</t>
        </r>
        <r>
          <rPr>
            <sz val="8"/>
            <color indexed="81"/>
            <rFont val="Tahoma"/>
            <family val="2"/>
          </rPr>
          <t xml:space="preserve">
This cell is intended for computing the co-wide figure</t>
        </r>
      </text>
    </comment>
    <comment ref="AF63" authorId="0" shapeId="0">
      <text>
        <r>
          <rPr>
            <b/>
            <sz val="8"/>
            <color indexed="81"/>
            <rFont val="Tahoma"/>
            <family val="2"/>
          </rPr>
          <t>ritamor:</t>
        </r>
        <r>
          <rPr>
            <sz val="8"/>
            <color indexed="81"/>
            <rFont val="Tahoma"/>
            <family val="2"/>
          </rPr>
          <t xml:space="preserve">
 CLASS A (5%)</t>
        </r>
      </text>
    </comment>
    <comment ref="AI74" authorId="1" shapeId="0">
      <text>
        <r>
          <rPr>
            <b/>
            <sz val="11"/>
            <color indexed="81"/>
            <rFont val="Tahoma"/>
            <family val="2"/>
          </rPr>
          <t>rmdacasin:</t>
        </r>
        <r>
          <rPr>
            <sz val="11"/>
            <color indexed="81"/>
            <rFont val="Tahoma"/>
            <family val="2"/>
          </rPr>
          <t xml:space="preserve">
This cell is intended for computing the co-wide figure</t>
        </r>
      </text>
    </comment>
    <comment ref="AF77" authorId="0" shapeId="0">
      <text>
        <r>
          <rPr>
            <b/>
            <sz val="8"/>
            <color indexed="81"/>
            <rFont val="Tahoma"/>
            <family val="2"/>
          </rPr>
          <t>ritamor:</t>
        </r>
        <r>
          <rPr>
            <sz val="8"/>
            <color indexed="81"/>
            <rFont val="Tahoma"/>
            <family val="2"/>
          </rPr>
          <t xml:space="preserve">
 CLASS B/C
 (5%)</t>
        </r>
      </text>
    </comment>
    <comment ref="AI88" authorId="1" shapeId="0">
      <text>
        <r>
          <rPr>
            <b/>
            <sz val="11"/>
            <color indexed="81"/>
            <rFont val="Tahoma"/>
            <family val="2"/>
          </rPr>
          <t>rmdacasin:</t>
        </r>
        <r>
          <rPr>
            <sz val="11"/>
            <color indexed="81"/>
            <rFont val="Tahoma"/>
            <family val="2"/>
          </rPr>
          <t xml:space="preserve">
This cell is intended for computing the co-wide figure</t>
        </r>
      </text>
    </comment>
    <comment ref="AF91" authorId="0" shapeId="0">
      <text>
        <r>
          <rPr>
            <b/>
            <sz val="8"/>
            <color indexed="81"/>
            <rFont val="Tahoma"/>
            <family val="2"/>
          </rPr>
          <t>ritamor:</t>
        </r>
        <r>
          <rPr>
            <sz val="8"/>
            <color indexed="81"/>
            <rFont val="Tahoma"/>
            <family val="2"/>
          </rPr>
          <t xml:space="preserve">
Internal Claim
 (5%)</t>
        </r>
      </text>
    </comment>
    <comment ref="AF105" authorId="0" shapeId="0">
      <text>
        <r>
          <rPr>
            <b/>
            <sz val="10"/>
            <color indexed="81"/>
            <rFont val="Tahoma"/>
            <family val="2"/>
          </rPr>
          <t>ritamor:</t>
        </r>
        <r>
          <rPr>
            <sz val="10"/>
            <color indexed="81"/>
            <rFont val="Tahoma"/>
            <family val="2"/>
          </rPr>
          <t xml:space="preserve">
 Yield dppm (15%)</t>
        </r>
      </text>
    </comment>
    <comment ref="AF118" authorId="0" shapeId="0">
      <text>
        <r>
          <rPr>
            <b/>
            <sz val="10"/>
            <color indexed="81"/>
            <rFont val="Tahoma"/>
            <family val="2"/>
          </rPr>
          <t>ritamor:</t>
        </r>
        <r>
          <rPr>
            <sz val="10"/>
            <color indexed="81"/>
            <rFont val="Tahoma"/>
            <family val="2"/>
          </rPr>
          <t xml:space="preserve">
% Yield (20%)</t>
        </r>
      </text>
    </comment>
    <comment ref="AF133" authorId="0" shapeId="0">
      <text>
        <r>
          <rPr>
            <b/>
            <sz val="10"/>
            <color indexed="81"/>
            <rFont val="Tahoma"/>
            <family val="2"/>
          </rPr>
          <t>ritamor:</t>
        </r>
        <r>
          <rPr>
            <sz val="10"/>
            <color indexed="81"/>
            <rFont val="Tahoma"/>
            <family val="2"/>
          </rPr>
          <t xml:space="preserve">
Loss Cost (20%)</t>
        </r>
      </text>
    </comment>
    <comment ref="AF146" authorId="0" shapeId="0">
      <text>
        <r>
          <rPr>
            <b/>
            <sz val="10"/>
            <color indexed="81"/>
            <rFont val="Tahoma"/>
            <family val="2"/>
          </rPr>
          <t>ritamor:</t>
        </r>
        <r>
          <rPr>
            <sz val="10"/>
            <color indexed="81"/>
            <rFont val="Tahoma"/>
            <family val="2"/>
          </rPr>
          <t xml:space="preserve">
OQC LAR (15%)</t>
        </r>
      </text>
    </comment>
    <comment ref="AF160" authorId="0" shapeId="0">
      <text>
        <r>
          <rPr>
            <b/>
            <sz val="10"/>
            <color indexed="81"/>
            <rFont val="Tahoma"/>
            <family val="2"/>
          </rPr>
          <t>ritamor:</t>
        </r>
        <r>
          <rPr>
            <sz val="10"/>
            <color indexed="81"/>
            <rFont val="Tahoma"/>
            <family val="2"/>
          </rPr>
          <t xml:space="preserve">
OQC Dppm (15%)</t>
        </r>
      </text>
    </comment>
  </commentList>
</comments>
</file>

<file path=xl/comments7.xml><?xml version="1.0" encoding="utf-8"?>
<comments xmlns="http://schemas.openxmlformats.org/spreadsheetml/2006/main">
  <authors>
    <author>ritamor</author>
    <author>rmdacasin</author>
  </authors>
  <commentList>
    <comment ref="E4" authorId="0" shapeId="0">
      <text>
        <r>
          <rPr>
            <sz val="9"/>
            <rFont val="Arial"/>
            <family val="2"/>
          </rPr>
          <t>ritamor:
 Kindly input team members</t>
        </r>
      </text>
    </comment>
    <comment ref="B6" authorId="1" shapeId="0">
      <text>
        <r>
          <rPr>
            <sz val="9"/>
            <rFont val="Arial"/>
            <family val="2"/>
          </rPr>
          <t>rmdacasin:
1. This Slogan should be rectified since this was applied in FY2007.
2. The concept of the Slogan should evolve in the 4 criteria of Key 11 vector alignment questionnaire of level 3.5</t>
        </r>
      </text>
    </comment>
    <comment ref="AH49" authorId="0" shapeId="0">
      <text>
        <r>
          <rPr>
            <b/>
            <sz val="8"/>
            <color indexed="81"/>
            <rFont val="Tahoma"/>
            <family val="2"/>
          </rPr>
          <t>ritamor:</t>
        </r>
        <r>
          <rPr>
            <sz val="8"/>
            <color indexed="81"/>
            <rFont val="Tahoma"/>
            <family val="2"/>
          </rPr>
          <t xml:space="preserve">
 CLASS A (50%)</t>
        </r>
      </text>
    </comment>
    <comment ref="AH63" authorId="0" shapeId="0">
      <text>
        <r>
          <rPr>
            <b/>
            <sz val="8"/>
            <color indexed="81"/>
            <rFont val="Tahoma"/>
            <family val="2"/>
          </rPr>
          <t>ritamor:</t>
        </r>
        <r>
          <rPr>
            <sz val="8"/>
            <color indexed="81"/>
            <rFont val="Tahoma"/>
            <family val="2"/>
          </rPr>
          <t xml:space="preserve">
 CLASS A (50%)</t>
        </r>
      </text>
    </comment>
  </commentList>
</comments>
</file>

<file path=xl/sharedStrings.xml><?xml version="1.0" encoding="utf-8"?>
<sst xmlns="http://schemas.openxmlformats.org/spreadsheetml/2006/main" count="1405" uniqueCount="382">
  <si>
    <t>TS Section</t>
  </si>
  <si>
    <t>1.) Customer Claim (Class A)</t>
  </si>
  <si>
    <t>Performance</t>
  </si>
  <si>
    <t>Accum. Actual Performance</t>
  </si>
  <si>
    <t>Actual Performance</t>
  </si>
  <si>
    <t>Achievement Rate</t>
  </si>
  <si>
    <t>Achievement Rate (Conditional)</t>
  </si>
  <si>
    <t>WEIGHTED AVERAGE</t>
  </si>
  <si>
    <t>2) Customer Claim (Class B/C)</t>
  </si>
  <si>
    <t xml:space="preserve">3.) FIRST PASS Yield - Dppm </t>
  </si>
  <si>
    <t>Actual Performance (Yield Dppm)</t>
  </si>
  <si>
    <t>Actual Performance (% Yield)</t>
  </si>
  <si>
    <t>Total OUTPUT</t>
  </si>
  <si>
    <t>Total INPUT</t>
  </si>
  <si>
    <t>TTL NG</t>
  </si>
  <si>
    <t>4.) FIRST PASS Yield - Percentage</t>
  </si>
  <si>
    <t>Output Qty</t>
  </si>
  <si>
    <t>Input Qty</t>
  </si>
  <si>
    <t>5.) Loss Cost Ratio to Sales</t>
  </si>
  <si>
    <t>TS  TTL Sales</t>
  </si>
  <si>
    <t>6.) OQC LAR</t>
  </si>
  <si>
    <t>No. of Lots Inspected</t>
  </si>
  <si>
    <t>No. of Lots OK</t>
  </si>
  <si>
    <t>7.) OQC Dppm</t>
  </si>
  <si>
    <t>Total Sample Size</t>
  </si>
  <si>
    <t>Achievement Rate (Weighted AVE)</t>
  </si>
  <si>
    <t>Actual loss cost</t>
  </si>
  <si>
    <t>Action Plan</t>
  </si>
  <si>
    <t>Division / Section:</t>
  </si>
  <si>
    <t>TS</t>
  </si>
  <si>
    <t>Ref. No.:</t>
  </si>
  <si>
    <t>Approved (sign)</t>
  </si>
  <si>
    <t>Theme</t>
  </si>
  <si>
    <t>Responsible Person</t>
  </si>
  <si>
    <t>Team Members</t>
  </si>
  <si>
    <t>Date Prepared:</t>
  </si>
  <si>
    <t>Quality Assurance System</t>
  </si>
  <si>
    <t>Approval:</t>
  </si>
  <si>
    <t>MMM</t>
  </si>
  <si>
    <t>Aiming for Improvement</t>
  </si>
  <si>
    <t>Slogan</t>
  </si>
  <si>
    <t>Area</t>
  </si>
  <si>
    <t>Objective</t>
  </si>
  <si>
    <t xml:space="preserve">Let's apply QA system on countermeasures at the source </t>
  </si>
  <si>
    <t xml:space="preserve">TS </t>
  </si>
  <si>
    <t>No</t>
  </si>
  <si>
    <t xml:space="preserve">Action </t>
  </si>
  <si>
    <t>Person</t>
  </si>
  <si>
    <t>Apr</t>
  </si>
  <si>
    <t>May</t>
  </si>
  <si>
    <t>Jun</t>
  </si>
  <si>
    <t>Jul</t>
  </si>
  <si>
    <t>Aug</t>
  </si>
  <si>
    <t>Sep</t>
  </si>
  <si>
    <t>Oct</t>
  </si>
  <si>
    <t>Nov</t>
  </si>
  <si>
    <t>Dec</t>
  </si>
  <si>
    <t>Jan</t>
  </si>
  <si>
    <t>Feb</t>
  </si>
  <si>
    <t>Mar</t>
  </si>
  <si>
    <t>Follow-up by Responsible Person</t>
  </si>
  <si>
    <t>Comments from Manager</t>
  </si>
  <si>
    <t>Key</t>
  </si>
  <si>
    <t>Key Leader</t>
  </si>
  <si>
    <t>Evaluation Factor</t>
  </si>
  <si>
    <t>YF</t>
  </si>
  <si>
    <t>PPS</t>
  </si>
  <si>
    <t>SG</t>
  </si>
  <si>
    <t>RDM</t>
  </si>
  <si>
    <t>MONTH
GROUP</t>
  </si>
  <si>
    <t>PPORF
LEVEL</t>
  </si>
  <si>
    <t>∆</t>
  </si>
  <si>
    <t>EMS</t>
  </si>
  <si>
    <t>Un</t>
  </si>
  <si>
    <t>Admin/Support Group/QAD</t>
  </si>
  <si>
    <t>COMPANY-WIDE
TRI-COLOR</t>
  </si>
  <si>
    <t>`</t>
  </si>
  <si>
    <t>COMPANY-WIDE
PPORF LEVEL</t>
  </si>
  <si>
    <t>TRI-COLOR SUMMARY</t>
  </si>
  <si>
    <t>Green</t>
  </si>
  <si>
    <t>Yellow</t>
  </si>
  <si>
    <t>Red</t>
  </si>
  <si>
    <t>KEY 11 LEVEL</t>
  </si>
  <si>
    <t>RATING</t>
  </si>
  <si>
    <t>TRI-COLOR</t>
  </si>
  <si>
    <t>COLOR</t>
  </si>
  <si>
    <t>RATE</t>
  </si>
  <si>
    <t xml:space="preserve"> &gt; 80%</t>
  </si>
  <si>
    <t>1 ~ 20</t>
  </si>
  <si>
    <t xml:space="preserve"> 50% - 79 %</t>
  </si>
  <si>
    <t>21 ~ 40</t>
  </si>
  <si>
    <t>&lt; 50%</t>
  </si>
  <si>
    <t>41 ~ 60</t>
  </si>
  <si>
    <t>61 ~ 80</t>
  </si>
  <si>
    <t>81 - 100</t>
  </si>
  <si>
    <t xml:space="preserve"> Pink cell should be updated</t>
  </si>
  <si>
    <t>Belen Perez</t>
  </si>
  <si>
    <t>3) Internal Customer Claim</t>
  </si>
  <si>
    <t xml:space="preserve">4.) FIRST PASS Yield - Dppm </t>
  </si>
  <si>
    <t>5.) FIRST PASS Yield - Percentage</t>
  </si>
  <si>
    <t>6.) Loss Cost Ratio to Sales</t>
  </si>
  <si>
    <t>7.) OQC LAR</t>
  </si>
  <si>
    <t>8.) OQC Dppm</t>
  </si>
  <si>
    <t>PPS Section</t>
  </si>
  <si>
    <t xml:space="preserve">6) FIRST PASS Yield - Dppm (Automotive) </t>
  </si>
  <si>
    <t>7.) FIRST PASS Yield - Percentage (Automotive)</t>
  </si>
  <si>
    <t>8.) Loss Cost Ratio to Sales</t>
  </si>
  <si>
    <t>9.) OQC LAR</t>
  </si>
  <si>
    <t>10.) OQC Dppm</t>
  </si>
  <si>
    <t>11.) OQC LAR (Automotive)</t>
  </si>
  <si>
    <t>12.) OQC Dppm (Automotive)</t>
  </si>
  <si>
    <t>3.) FIRST PASS Yield - Dppm (Total)</t>
  </si>
  <si>
    <t>4.) FIRST PASS Yield - Percentage(Total)</t>
  </si>
  <si>
    <t xml:space="preserve">5) FIRST PASS Yield - Dppm (Automotive) </t>
  </si>
  <si>
    <t>6.) FIRST PASS Yield - Percentage (Automotive)</t>
  </si>
  <si>
    <t>7.) Loss Cost Ratio to Sales</t>
  </si>
  <si>
    <t>10.) OQC LAR (Automotive)</t>
  </si>
  <si>
    <t>11.) OQC Dppm (Automotive)</t>
  </si>
  <si>
    <t>GBR</t>
  </si>
  <si>
    <t>8.) OQC LAR (Total)</t>
  </si>
  <si>
    <t>9.) OQC Dppm (Total)</t>
  </si>
  <si>
    <t>YF Section</t>
  </si>
  <si>
    <t>SUPPORT</t>
  </si>
  <si>
    <t>1.) Customer Claim (Internal)</t>
  </si>
  <si>
    <t>2) Supplier's Performance</t>
  </si>
  <si>
    <t>Rita D. Morallos</t>
  </si>
  <si>
    <t>Company-Wide</t>
  </si>
  <si>
    <t>3) Internal Claim</t>
  </si>
  <si>
    <t>4) FIRST PASS Yield - Dppm (Total)</t>
  </si>
  <si>
    <t>5.) FIRST PASS Yield - Percentage(Total)</t>
  </si>
  <si>
    <t>7) FIRST PASS Yield - Percentage (Automotive)</t>
  </si>
  <si>
    <t>8) Loss Cost Ratio to Sales</t>
  </si>
  <si>
    <t>9) OQC LAR</t>
  </si>
  <si>
    <t>10) OQC Dppm</t>
  </si>
  <si>
    <t>11) OQC LAR (Automotive)</t>
  </si>
  <si>
    <t>12) OQC Dppm (Automotive)</t>
  </si>
  <si>
    <t>PMI Actual Sales Performance</t>
  </si>
  <si>
    <t>PPS  TTL Sales</t>
  </si>
  <si>
    <t>YF  TTL Sales</t>
  </si>
  <si>
    <t>Support</t>
  </si>
  <si>
    <t xml:space="preserve">SUPPORT </t>
  </si>
  <si>
    <t xml:space="preserve">COMPANY-WIDE </t>
  </si>
  <si>
    <t>4.) FIRST PASS Yield - Dppm (Total)</t>
  </si>
  <si>
    <t>CN</t>
  </si>
  <si>
    <t>CN Section</t>
  </si>
  <si>
    <t>CN  TTL Sales</t>
  </si>
  <si>
    <t>TTN</t>
  </si>
  <si>
    <t>Company-wide</t>
  </si>
  <si>
    <t>ESM/EAN/RNS</t>
  </si>
  <si>
    <t>n/a</t>
  </si>
  <si>
    <t>Actions</t>
  </si>
  <si>
    <t>FY20 Tgt</t>
  </si>
  <si>
    <t>APM</t>
  </si>
  <si>
    <t xml:space="preserve">Actions </t>
  </si>
  <si>
    <t>FY19 Data</t>
  </si>
  <si>
    <t>SCR</t>
  </si>
  <si>
    <t xml:space="preserve">     CN -3
     TS-1
     Others - 0</t>
  </si>
  <si>
    <t>STP</t>
  </si>
  <si>
    <t xml:space="preserve">Automotive </t>
  </si>
  <si>
    <t xml:space="preserve">Non-automotive </t>
  </si>
  <si>
    <t>SUPPORT GROUP: 
Based on the Detailed Rule of Organization (DRO)</t>
  </si>
  <si>
    <t>EDP</t>
  </si>
  <si>
    <r>
      <t xml:space="preserve">Key </t>
    </r>
    <r>
      <rPr>
        <b/>
        <sz val="12"/>
        <color theme="1"/>
        <rFont val="Arial"/>
        <family val="2"/>
      </rPr>
      <t>11</t>
    </r>
  </si>
  <si>
    <r>
      <t>Evaluation Factor</t>
    </r>
    <r>
      <rPr>
        <b/>
        <sz val="9"/>
        <color theme="1"/>
        <rFont val="Arial"/>
        <family val="2"/>
      </rPr>
      <t xml:space="preserve">
Customer Claim</t>
    </r>
  </si>
  <si>
    <r>
      <t>Evaluation Factor</t>
    </r>
    <r>
      <rPr>
        <b/>
        <sz val="9"/>
        <color theme="1"/>
        <rFont val="Arial"/>
        <family val="2"/>
      </rPr>
      <t xml:space="preserve">
First Pass Yield / Dppm</t>
    </r>
  </si>
  <si>
    <r>
      <t>Evaluation Factor</t>
    </r>
    <r>
      <rPr>
        <b/>
        <sz val="9"/>
        <color theme="1"/>
        <rFont val="Arial"/>
        <family val="2"/>
      </rPr>
      <t xml:space="preserve">
OQC LAR / Dppm</t>
    </r>
  </si>
  <si>
    <r>
      <t xml:space="preserve">Evaluation Factor </t>
    </r>
    <r>
      <rPr>
        <b/>
        <sz val="9"/>
        <color theme="1"/>
        <rFont val="Arial"/>
        <family val="2"/>
      </rPr>
      <t xml:space="preserve">
Loss Cost Ratio to Sales</t>
    </r>
  </si>
  <si>
    <t>FY20 Data</t>
  </si>
  <si>
    <t>FY21 Tgt</t>
  </si>
  <si>
    <t>Class B/C
0</t>
  </si>
  <si>
    <t>Data consolidation coming from each group.</t>
  </si>
  <si>
    <t>RDM &amp; Key 11 Members</t>
  </si>
  <si>
    <t>&gt; Implement &amp; monitor the quality improvement  per production section as planned.</t>
  </si>
  <si>
    <t>Key 11 Members (Operations)</t>
  </si>
  <si>
    <t>Energy Consumption
(KwH per $1k sales)</t>
  </si>
  <si>
    <t>Energy Consumption (KwH per $1k sales)</t>
  </si>
  <si>
    <t>Overall Shipment Hit Rate</t>
  </si>
  <si>
    <t>1) Increase skills inventory on identified critical station or processes 
    - TS /CN/YF identified critical station or process     
   -  YF            : Plus 10 additional personnel certified in multi-process
   - PPS-TS    :  Plus 10 personnel certfied in automatic digital measuring device     
   - PPS -CN   : Plus 10 personnel certified in vertical and horizontal M/Cs                                                                                                                                                                                                                                                                 
   - Facility     : Equipment trouble shooting, repair and maintenance
   - SG:  2 skills per selected staff</t>
  </si>
  <si>
    <t>2. Create Flexi-line</t>
  </si>
  <si>
    <t>Class A
0</t>
  </si>
  <si>
    <t>Tristine Mabulac</t>
  </si>
  <si>
    <t>FY22 Act</t>
  </si>
  <si>
    <t>5S Check Sheet Score (Level 3.5 Work Place) -  99.63 points   (FY2022 actual)</t>
  </si>
  <si>
    <t>5S Check Sheet Score (Hidden Rooms) - 99.86 points (FY2022 actual)</t>
  </si>
  <si>
    <t>Waste segregation (common areas)-  50% reduction of audit findings (from 6 to 3)</t>
  </si>
  <si>
    <t>Waste segregation (defined / specific areas) - 50% reduction of audit findings (from 2 to 1)</t>
  </si>
  <si>
    <r>
      <t xml:space="preserve">5S Check Sheet Score (Common Areas) - 98.25 points   (FY2022 actual) - </t>
    </r>
    <r>
      <rPr>
        <sz val="12"/>
        <color indexed="12"/>
        <rFont val="Arial"/>
        <family val="2"/>
      </rPr>
      <t>for monitoring only</t>
    </r>
  </si>
  <si>
    <t xml:space="preserve">Water Consumption (cu.m) / headcount (Factory 1 and Factory 2) (10% reduction) </t>
  </si>
  <si>
    <t xml:space="preserve">Paper Consumption (reams) (10% reduction) </t>
  </si>
  <si>
    <t>Reduce Inventory variance from actual count vs.YPICS data by 3% reduction</t>
  </si>
  <si>
    <r>
      <t>Ink Consumption (5% Reduction in K Php) -</t>
    </r>
    <r>
      <rPr>
        <sz val="12"/>
        <color indexed="12"/>
        <rFont val="Arial"/>
        <family val="2"/>
      </rPr>
      <t xml:space="preserve"> for monitoring only</t>
    </r>
  </si>
  <si>
    <r>
      <t xml:space="preserve">Co. Wide Sales Turn Over Rate </t>
    </r>
    <r>
      <rPr>
        <sz val="12"/>
        <color indexed="12"/>
        <rFont val="Arial"/>
        <family val="2"/>
      </rPr>
      <t>(For Monitoring only)</t>
    </r>
    <r>
      <rPr>
        <sz val="12"/>
        <rFont val="Arial"/>
        <family val="2"/>
      </rPr>
      <t xml:space="preserve">
     Formula: =  </t>
    </r>
    <r>
      <rPr>
        <u/>
        <sz val="12"/>
        <rFont val="Arial"/>
        <family val="2"/>
      </rPr>
      <t>Total Sales ( 12 Months )</t>
    </r>
    <r>
      <rPr>
        <sz val="12"/>
        <rFont val="Arial"/>
        <family val="2"/>
      </rPr>
      <t xml:space="preserve">     
                        Month End Inventory</t>
    </r>
  </si>
  <si>
    <t>ROR</t>
  </si>
  <si>
    <t>Improved Labor Efficiency (DL) - by 5% from FY 2022 actual performance</t>
  </si>
  <si>
    <r>
      <t>Improved Labor Efficiency (DL + ODL) 3</t>
    </r>
    <r>
      <rPr>
        <b/>
        <sz val="12"/>
        <rFont val="Arial"/>
        <family val="2"/>
      </rPr>
      <t>%</t>
    </r>
    <r>
      <rPr>
        <sz val="12"/>
        <rFont val="Arial"/>
        <family val="2"/>
      </rPr>
      <t xml:space="preserve"> minimum  from FY 2022 actual performance</t>
    </r>
  </si>
  <si>
    <t>Machine Efficiency by 5% (PPS) Molding Machine, Stamping &amp; Grinding</t>
  </si>
  <si>
    <t>PPS-TS</t>
  </si>
  <si>
    <t>PPS-CN</t>
  </si>
  <si>
    <t>Shipment / Report Hit Rate (1st Pass) to 99.30% and over</t>
  </si>
  <si>
    <r>
      <t xml:space="preserve">Machine Utilization Rate by 80% - </t>
    </r>
    <r>
      <rPr>
        <sz val="12"/>
        <color indexed="30"/>
        <rFont val="Arial"/>
        <family val="2"/>
      </rPr>
      <t>Monitoring only</t>
    </r>
  </si>
  <si>
    <r>
      <t xml:space="preserve">PPS Machine Unplanned Downtime (5%) - </t>
    </r>
    <r>
      <rPr>
        <b/>
        <sz val="12"/>
        <rFont val="Arial"/>
        <family val="2"/>
      </rPr>
      <t xml:space="preserve"> </t>
    </r>
    <r>
      <rPr>
        <sz val="12"/>
        <color indexed="12"/>
        <rFont val="Arial"/>
        <family val="2"/>
      </rPr>
      <t>for monitoring only</t>
    </r>
  </si>
  <si>
    <r>
      <t xml:space="preserve">Line OEE (CN) - </t>
    </r>
    <r>
      <rPr>
        <sz val="12"/>
        <color indexed="12"/>
        <rFont val="Arial"/>
        <family val="2"/>
      </rPr>
      <t>Monitoring only</t>
    </r>
    <r>
      <rPr>
        <sz val="12"/>
        <rFont val="Arial"/>
        <family val="2"/>
      </rPr>
      <t xml:space="preserve"> (new evaluation factor)</t>
    </r>
  </si>
  <si>
    <t xml:space="preserve"> -</t>
  </si>
  <si>
    <t xml:space="preserve">      Line Availability (A%)</t>
  </si>
  <si>
    <t xml:space="preserve">      Line Performance (P%)</t>
  </si>
  <si>
    <t xml:space="preserve">      Line Quality (Q%)</t>
  </si>
  <si>
    <t>Skill flexibility actual application at least 1 shift/count- new evaluation factor in FY 2023</t>
  </si>
  <si>
    <t>Class A
2</t>
  </si>
  <si>
    <t>Dang Villabroza / D. Cuevas / Christian Panelo  / Marivic Datoon / Angelito Antonio</t>
  </si>
  <si>
    <t xml:space="preserve">Krish/
Avhic/
AMN </t>
  </si>
  <si>
    <t>Improve monitoring &amp; validation of customer feedback actions within the group / affected section.
Procedure: Three (3) months monitoring of actions.</t>
  </si>
  <si>
    <t>Support cost reduction program of the company
Identify and list down items base on cost and frequency.
Coordinate with suppliers for cost down</t>
  </si>
  <si>
    <t>13) Supplier's Performance</t>
  </si>
  <si>
    <t>Key 11</t>
  </si>
  <si>
    <r>
      <t>Evaluation Factor</t>
    </r>
    <r>
      <rPr>
        <b/>
        <sz val="12"/>
        <color theme="1"/>
        <rFont val="Arial"/>
        <family val="2"/>
      </rPr>
      <t xml:space="preserve">
Customer Claim</t>
    </r>
  </si>
  <si>
    <r>
      <t>Evaluation Factor</t>
    </r>
    <r>
      <rPr>
        <b/>
        <sz val="12"/>
        <color theme="1"/>
        <rFont val="Arial"/>
        <family val="2"/>
      </rPr>
      <t xml:space="preserve">
First Pass Yield / Dppm</t>
    </r>
  </si>
  <si>
    <r>
      <t xml:space="preserve">Evaluation Factor
</t>
    </r>
    <r>
      <rPr>
        <b/>
        <sz val="12"/>
        <color theme="1"/>
        <rFont val="Arial"/>
        <family val="2"/>
      </rPr>
      <t>First Pass Yield / Dppm (Automotive)</t>
    </r>
  </si>
  <si>
    <r>
      <t>Evaluation Factor</t>
    </r>
    <r>
      <rPr>
        <b/>
        <sz val="12"/>
        <color theme="1"/>
        <rFont val="Arial"/>
        <family val="2"/>
      </rPr>
      <t xml:space="preserve">
OQC LAR / Dppm</t>
    </r>
  </si>
  <si>
    <r>
      <t>Evaluation Factor</t>
    </r>
    <r>
      <rPr>
        <b/>
        <sz val="12"/>
        <color theme="1"/>
        <rFont val="Arial"/>
        <family val="2"/>
      </rPr>
      <t xml:space="preserve">
OQC LAR / Dppm (Automotive)</t>
    </r>
  </si>
  <si>
    <r>
      <t xml:space="preserve">Evaluation Factor </t>
    </r>
    <r>
      <rPr>
        <b/>
        <sz val="12"/>
        <color theme="1"/>
        <rFont val="Arial"/>
        <family val="2"/>
      </rPr>
      <t xml:space="preserve">
Loss Cost Ratio to Sales</t>
    </r>
  </si>
  <si>
    <r>
      <t xml:space="preserve">Evaluation Factor 
</t>
    </r>
    <r>
      <rPr>
        <b/>
        <sz val="12"/>
        <color theme="1"/>
        <rFont val="Arial"/>
        <family val="2"/>
      </rPr>
      <t>Customer Claim (Internal)</t>
    </r>
  </si>
  <si>
    <r>
      <t xml:space="preserve">Evaluation Factor </t>
    </r>
    <r>
      <rPr>
        <b/>
        <sz val="12"/>
        <color theme="1"/>
        <rFont val="Arial"/>
        <family val="2"/>
      </rPr>
      <t xml:space="preserve">
Supplier's Performance </t>
    </r>
  </si>
  <si>
    <r>
      <t xml:space="preserve">Evaluation Factor
</t>
    </r>
    <r>
      <rPr>
        <b/>
        <sz val="12"/>
        <color theme="1"/>
        <rFont val="Arial"/>
        <family val="2"/>
      </rPr>
      <t>Customer Claim (Internal)</t>
    </r>
  </si>
  <si>
    <r>
      <t>Evaluation Factor</t>
    </r>
    <r>
      <rPr>
        <b/>
        <sz val="12"/>
        <color theme="1"/>
        <rFont val="Arial"/>
        <family val="2"/>
      </rPr>
      <t xml:space="preserve">
Customer Claim (Internal)</t>
    </r>
  </si>
  <si>
    <r>
      <t>Evaluation Factor</t>
    </r>
    <r>
      <rPr>
        <b/>
        <sz val="12"/>
        <color theme="1"/>
        <rFont val="Arial"/>
        <family val="2"/>
      </rPr>
      <t xml:space="preserve">
Suppliers Performance</t>
    </r>
  </si>
  <si>
    <t>FY24 PPORF Evaluation Factor and Target per Key</t>
  </si>
  <si>
    <t>F3</t>
  </si>
  <si>
    <t>FY23 Act</t>
  </si>
  <si>
    <t>FY24 Tgt</t>
  </si>
  <si>
    <t>Value-add sales / manhour - Increase by $0.5/mhr (minimum)</t>
  </si>
  <si>
    <t xml:space="preserve">Conversion to: Auto / semi auto machine / semi-auto jigs </t>
  </si>
  <si>
    <r>
      <t xml:space="preserve">1. Customer Claim- Class A </t>
    </r>
    <r>
      <rPr>
        <sz val="12"/>
        <rFont val="Arial"/>
        <family val="2"/>
      </rPr>
      <t xml:space="preserve"> - </t>
    </r>
    <r>
      <rPr>
        <b/>
        <sz val="12"/>
        <rFont val="Arial"/>
        <family val="2"/>
      </rPr>
      <t xml:space="preserve">Total  </t>
    </r>
    <r>
      <rPr>
        <sz val="12"/>
        <rFont val="Arial"/>
        <family val="2"/>
      </rPr>
      <t xml:space="preserve">  Weighted AVE: (5%)</t>
    </r>
  </si>
  <si>
    <r>
      <t xml:space="preserve">2. Customer Claim- Class B/C </t>
    </r>
    <r>
      <rPr>
        <sz val="12"/>
        <rFont val="Arial"/>
        <family val="2"/>
      </rPr>
      <t xml:space="preserve"> Weighted AVE: (5%)</t>
    </r>
  </si>
  <si>
    <r>
      <t xml:space="preserve">3. Internal Customer Claim for </t>
    </r>
    <r>
      <rPr>
        <b/>
        <sz val="12"/>
        <rFont val="Arial"/>
        <family val="2"/>
      </rPr>
      <t>Support Group</t>
    </r>
    <r>
      <rPr>
        <sz val="12"/>
        <rFont val="Arial"/>
        <family val="2"/>
      </rPr>
      <t xml:space="preserve"> </t>
    </r>
    <r>
      <rPr>
        <sz val="12"/>
        <rFont val="Arial"/>
        <family val="2"/>
      </rPr>
      <t xml:space="preserve">(Weighted AVE: (50%) </t>
    </r>
  </si>
  <si>
    <r>
      <t xml:space="preserve">3. Internal Customer Claim for </t>
    </r>
    <r>
      <rPr>
        <b/>
        <sz val="12"/>
        <rFont val="Arial"/>
        <family val="2"/>
      </rPr>
      <t>Production</t>
    </r>
    <r>
      <rPr>
        <sz val="12"/>
        <rFont val="Arial"/>
        <family val="2"/>
      </rPr>
      <t xml:space="preserve"> (Weighted AVE: (5%) </t>
    </r>
  </si>
  <si>
    <r>
      <t xml:space="preserve">4. First Pass Dppm  </t>
    </r>
    <r>
      <rPr>
        <b/>
        <sz val="12"/>
        <rFont val="Arial"/>
        <family val="2"/>
      </rPr>
      <t xml:space="preserve">(Total) </t>
    </r>
    <r>
      <rPr>
        <sz val="12"/>
        <rFont val="Arial"/>
        <family val="2"/>
      </rPr>
      <t xml:space="preserve">  (Weighted AVE: (20%)</t>
    </r>
  </si>
  <si>
    <r>
      <t xml:space="preserve">4. First Pass Dppm -  </t>
    </r>
    <r>
      <rPr>
        <b/>
        <sz val="12"/>
        <rFont val="Arial"/>
        <family val="2"/>
      </rPr>
      <t xml:space="preserve">(Automotive only) </t>
    </r>
    <r>
      <rPr>
        <sz val="12"/>
        <rFont val="Arial"/>
        <family val="2"/>
      </rPr>
      <t xml:space="preserve">  (Weighted AVE: (20%)</t>
    </r>
  </si>
  <si>
    <r>
      <t xml:space="preserve">5. First Pass Yield - </t>
    </r>
    <r>
      <rPr>
        <b/>
        <sz val="12"/>
        <rFont val="Arial"/>
        <family val="2"/>
      </rPr>
      <t xml:space="preserve">(Total) </t>
    </r>
    <r>
      <rPr>
        <sz val="12"/>
        <rFont val="Arial"/>
        <family val="2"/>
      </rPr>
      <t xml:space="preserve"> (Weighted AVE: (20%)</t>
    </r>
  </si>
  <si>
    <r>
      <t xml:space="preserve">5. First Pass Yield - </t>
    </r>
    <r>
      <rPr>
        <b/>
        <sz val="12"/>
        <rFont val="Arial"/>
        <family val="2"/>
      </rPr>
      <t xml:space="preserve">(Automotive only) </t>
    </r>
    <r>
      <rPr>
        <sz val="12"/>
        <rFont val="Arial"/>
        <family val="2"/>
      </rPr>
      <t xml:space="preserve"> Weighted AVE: (20%)</t>
    </r>
  </si>
  <si>
    <r>
      <t xml:space="preserve">6. Loss Cost ratio to Sales -  </t>
    </r>
    <r>
      <rPr>
        <b/>
        <sz val="12"/>
        <rFont val="Arial"/>
        <family val="2"/>
      </rPr>
      <t>(Total) 9</t>
    </r>
    <r>
      <rPr>
        <sz val="12"/>
        <rFont val="Arial"/>
        <family val="2"/>
      </rPr>
      <t>Weighted AVE: (20%)</t>
    </r>
  </si>
  <si>
    <r>
      <t xml:space="preserve">7. OQC Dppm - </t>
    </r>
    <r>
      <rPr>
        <b/>
        <sz val="12"/>
        <rFont val="Arial"/>
        <family val="2"/>
      </rPr>
      <t>(Total)</t>
    </r>
    <r>
      <rPr>
        <sz val="12"/>
        <rFont val="Arial"/>
        <family val="2"/>
      </rPr>
      <t xml:space="preserve"> (Weighted AVE: (20%)</t>
    </r>
  </si>
  <si>
    <r>
      <t xml:space="preserve">7. OQC Dppm - </t>
    </r>
    <r>
      <rPr>
        <b/>
        <sz val="12"/>
        <rFont val="Arial"/>
        <family val="2"/>
      </rPr>
      <t xml:space="preserve"> (Automotive only) (</t>
    </r>
    <r>
      <rPr>
        <sz val="12"/>
        <rFont val="Arial"/>
        <family val="2"/>
      </rPr>
      <t>Weighted AVE: (20%)</t>
    </r>
  </si>
  <si>
    <r>
      <t xml:space="preserve">8. OQC LAR- </t>
    </r>
    <r>
      <rPr>
        <b/>
        <sz val="12"/>
        <rFont val="Arial"/>
        <family val="2"/>
      </rPr>
      <t xml:space="preserve"> (Total) </t>
    </r>
    <r>
      <rPr>
        <sz val="12"/>
        <rFont val="Arial"/>
        <family val="2"/>
      </rPr>
      <t>Weighted AVE: (20%)</t>
    </r>
  </si>
  <si>
    <r>
      <t xml:space="preserve">8. OQC LAR- </t>
    </r>
    <r>
      <rPr>
        <b/>
        <sz val="12"/>
        <rFont val="Arial"/>
        <family val="2"/>
      </rPr>
      <t xml:space="preserve"> (Automotive only) </t>
    </r>
    <r>
      <rPr>
        <sz val="12"/>
        <rFont val="Arial"/>
        <family val="2"/>
      </rPr>
      <t>(Weighted AVE: (20%)</t>
    </r>
  </si>
  <si>
    <t>9. Supplier's Performance- (Delivery, Quality, Cost/Services) - (direct / indeirect Suppliers)
 (Weighted AVE: 50%)</t>
  </si>
  <si>
    <t>(FAS) Transfer of know-how to line engineers thru trainings (Two skill sets)</t>
  </si>
  <si>
    <t>FY23</t>
  </si>
  <si>
    <t>FY24Tgt</t>
  </si>
  <si>
    <t>Class A
10</t>
  </si>
  <si>
    <t>Class A
9</t>
  </si>
  <si>
    <t>Class B/C
4</t>
  </si>
  <si>
    <t>FY2024 KEY 11 TRI-COLOR EVALUATION</t>
  </si>
  <si>
    <t xml:space="preserve">Vilma Medrano / Axl Villanueva </t>
  </si>
  <si>
    <t>Jezelle Alcantara</t>
  </si>
  <si>
    <t>FY 24Tgt</t>
  </si>
  <si>
    <t>Improve product condition of Mold insert products (FRS018 &amp; FUS006)</t>
  </si>
  <si>
    <t>APM / HAV / RDM</t>
  </si>
  <si>
    <t>Strengthen machine or product qualification and inspection for grinded parts</t>
  </si>
  <si>
    <t xml:space="preserve">Nolasco Mendoza / Belen Perez
</t>
  </si>
  <si>
    <t>Enhance product qualification for Molding parts prior mass production</t>
  </si>
  <si>
    <t xml:space="preserve">APM, FMC, HAV/ RDM
</t>
  </si>
  <si>
    <t>Enhancement of product and die set evaluation</t>
  </si>
  <si>
    <t>T. Nozaki / APM / FMC / RDM / HAV</t>
  </si>
  <si>
    <t>Nolasco M. / Mark Del Rosario / Miily L. / Jo C. / Lovie A</t>
  </si>
  <si>
    <r>
      <rPr>
        <sz val="12"/>
        <color indexed="8"/>
        <rFont val="Arial"/>
        <family val="2"/>
      </rPr>
      <t>Class A</t>
    </r>
    <r>
      <rPr>
        <b/>
        <sz val="12"/>
        <color indexed="8"/>
        <rFont val="Arial"/>
        <family val="2"/>
      </rPr>
      <t xml:space="preserve">
2</t>
    </r>
  </si>
  <si>
    <t>System Improvement through automation
 &lt;&gt;Automation of product dimension result</t>
  </si>
  <si>
    <t>&lt;&gt; Boost Efficiency and Quality with Higher YIELD / Lower DPPM for Better Performance</t>
  </si>
  <si>
    <t>&lt;&gt; Enhance Outgoing LAR while Decreasing DPPM</t>
  </si>
  <si>
    <t>&lt;&gt; Customer Satisfaction Enhancement: Minimizing Customer’s Complaints</t>
  </si>
  <si>
    <t xml:space="preserve"> &lt;&gt; Attainment of Company-Wide Loss Cost Ratio to Sales Goal </t>
  </si>
  <si>
    <t xml:space="preserve"> Joylyn P. / Tristine M. / Carlo P. / Belen P. / Jezelle A. / Armida M.
Lina Palencia - Asst Leader</t>
  </si>
  <si>
    <t xml:space="preserve"> &lt;&gt; Internal claim - zero claim
 &lt;&gt; Supplier performance improvement using the SPRR rule</t>
  </si>
  <si>
    <t>Automation of  In-line Monitoring and quality feedback recording</t>
  </si>
  <si>
    <t>QAD
(Carlo)</t>
  </si>
  <si>
    <t>Jhon Carlo Paran</t>
  </si>
  <si>
    <t>Prevention of wear and tear for machine critical parts
&gt;Implement control and safety level of critical machine parts
&gt;Review all machine pre-production check sheets and collaborate with YEC to determine important check points.</t>
  </si>
  <si>
    <t>DLT / MMM / RDM</t>
  </si>
  <si>
    <t>HVT and MPC Machine Modernization
&gt;Review all machine pre-production check sheets and collaborate with YEC to determine important check points.</t>
  </si>
  <si>
    <t>DLT / TS ENGRS</t>
  </si>
  <si>
    <t>Enhance the certification &amp; training record of Visual Inspectors
&gt;Implement interactive way of validation process.
&gt;Provide skill map/matrix to easily determine visual inspector current skill.</t>
  </si>
  <si>
    <t>RDM / KRIS / TRAINERS / HRS / ISS</t>
  </si>
  <si>
    <t xml:space="preserve"> Kris Poblete, Armida Monsanto, Judith Cataya, Abigail Guttierez, Rai Inocencio, Rose Jewel Bates, Abigail Gutierrez, Joyce Sustento</t>
  </si>
  <si>
    <t>Armida Monsanto</t>
  </si>
  <si>
    <t>Class A
1</t>
  </si>
  <si>
    <t>Class B/C
1</t>
  </si>
  <si>
    <t>Cecille A. / Ramil A. / Mary Joy M. / Angelito DP / Vallerie L.</t>
  </si>
  <si>
    <t>Class A
6</t>
  </si>
  <si>
    <t>Class B/C
3</t>
  </si>
  <si>
    <t>1. Train and certify to all product category (assembly &amp; visual)
2. Train and certify in basic auditing course
   2.1 Conduct station check (daily)
   2.2 Structure basic close-loop reporting system
3. Implement use of cap with blue lining as identification 
of Cross-Line-Operator (CLO)</t>
  </si>
  <si>
    <t xml:space="preserve">Cecille A. / Val L. / Tristine M. </t>
  </si>
  <si>
    <t>Mobile 3D Coplanarity Inspection &amp; Emboss Packing M/C</t>
  </si>
  <si>
    <t>A. De Pedro / ROR</t>
  </si>
  <si>
    <t>Visual Inspection Automation using IV2 Camera</t>
  </si>
  <si>
    <t>PJS008 - 21 Automation</t>
  </si>
  <si>
    <t>Angelito DP / KTE / ROR</t>
  </si>
  <si>
    <t>AAT Improvement thru automation</t>
  </si>
  <si>
    <t>Angelito DP / Engelbert S / Andy U / Valerie L</t>
  </si>
  <si>
    <t>Cellular Line Layout</t>
  </si>
  <si>
    <t xml:space="preserve">Angelito DP / C. Dominguez </t>
  </si>
  <si>
    <t>Continue activity as per plan.</t>
  </si>
  <si>
    <t>&gt; Implement actions to improve OQC LAR/Dppm for non-automotive products.</t>
  </si>
  <si>
    <t>April 2024
Armida M.</t>
  </si>
  <si>
    <t>- Start to implement all action plans based on the set target (reference: FY2024 plans and program). 
- To check and monitor all actions taken on lot out off target.</t>
  </si>
  <si>
    <t>April 2024
MMM</t>
  </si>
  <si>
    <t>Monitor implementation of generated strategies and actions plans related to quality improvement</t>
  </si>
  <si>
    <t>NP</t>
  </si>
  <si>
    <t>Belen/Axl</t>
  </si>
  <si>
    <t>RDM / Belen/ Jezelle</t>
  </si>
  <si>
    <t>Limit set-up material to a maximum 5pcs or 1 panel</t>
  </si>
  <si>
    <t xml:space="preserve">Vilma/Axl   </t>
  </si>
  <si>
    <t xml:space="preserve">Elevate the Defect Escalation System from 3 to 1 piece for the major process (eg. machine &amp; visual) </t>
  </si>
  <si>
    <t>Vilma/Axl/ Belen</t>
  </si>
  <si>
    <t>Implement 1 day lead time from the date received
 Existing: Once parts /materials are complete</t>
  </si>
  <si>
    <t>Acel</t>
  </si>
  <si>
    <t xml:space="preserve">Process simplification of shipment label </t>
  </si>
  <si>
    <t>Vilma /Axl /Belen</t>
  </si>
  <si>
    <t>Implement CAPA validation onsite using 8D report validation process</t>
  </si>
  <si>
    <t>April</t>
  </si>
  <si>
    <t xml:space="preserve">Implement item 3,4 &amp; 5 to minimize loss cost </t>
  </si>
  <si>
    <t xml:space="preserve">Monitor the progress of Plans &amp; Programs action items to sustain on-target performance </t>
  </si>
  <si>
    <t>Revision of work instructions and incorporation of the standard set-up sample to be disposed</t>
  </si>
  <si>
    <t>Consider to improve yield performance of CN174D products</t>
  </si>
  <si>
    <t>No received internal claim for April 2024</t>
  </si>
  <si>
    <t xml:space="preserve">
April 2024
RDM</t>
  </si>
  <si>
    <t>April 2024
RNS</t>
  </si>
  <si>
    <t>EF with issue is the OQC LAR &amp; Dppm - implement all actions to prevent reccurence</t>
  </si>
  <si>
    <t>Overall performance is good. Just watch out for OQC LAR/Dppm</t>
  </si>
  <si>
    <t>No received internal claim for May 2024</t>
  </si>
  <si>
    <t>Gear to No internal claims received for the succeeeding months of FY, 2024</t>
  </si>
  <si>
    <t>No internal claims received for April , 2024</t>
  </si>
  <si>
    <t>Start to plan for item#6 to speed up the processing of shipment label</t>
  </si>
  <si>
    <t xml:space="preserve">Include the defect escalation monitoring during weekly line performance assessment </t>
  </si>
  <si>
    <t>Continous implementation to improvement actions for all evaluation factors.</t>
  </si>
  <si>
    <t>May 2024
Armida M.</t>
  </si>
  <si>
    <t>- Strictly monitor the implementation of actions taken on all off target evaluation factors.</t>
  </si>
  <si>
    <t>May 2024
MMM</t>
  </si>
  <si>
    <t>Close monitoring shall be conducted to ensure the consistency in implementation of generated actions for OQC lot-out.</t>
  </si>
  <si>
    <t xml:space="preserve">
May 2024
RDM</t>
  </si>
  <si>
    <t>Continue to implement immediate and preventive actions for internal claims and loss cost to maintain the quality performance of PPS. </t>
  </si>
  <si>
    <t>May  2024
RNS</t>
  </si>
  <si>
    <t>TS Section has off target performance (Yield, Loss cost &amp; OQC LAR)- Need to implement all formulated actions per as planned.</t>
  </si>
  <si>
    <t>Please implement all derived actions.</t>
  </si>
  <si>
    <t>June 2024
Armida M.</t>
  </si>
  <si>
    <t>- Check and monitor the consistency on derived actions and improvements on all off target evaluation factors.</t>
  </si>
  <si>
    <t>&gt; Provide improvement actions to improve Yield &amp; OQC LAR/Dppm</t>
  </si>
  <si>
    <t>Continue to implement all actions derived in Q1 to maintain the good performance.</t>
  </si>
  <si>
    <t xml:space="preserve">Focus on yield Dppm reduction -system enhancement 1) control of prod NG by controlling the parts usage during machine conversion 2) change the defect escalation rule for immediate analysis &amp; improvement </t>
  </si>
  <si>
    <t xml:space="preserve">Initiate initial management program </t>
  </si>
  <si>
    <t>Monitor loss cost and Generate action on LAR</t>
  </si>
  <si>
    <t>Need to implement automation skill - Schedule on June-2024</t>
  </si>
  <si>
    <t>No received internal claim for June 2024</t>
  </si>
  <si>
    <t xml:space="preserve">
June 2024
RDM</t>
  </si>
  <si>
    <t>June  2024
RNS</t>
  </si>
  <si>
    <t>Overall performance is on target. Keep it up.</t>
  </si>
  <si>
    <t>Please implement all derived actions consistently</t>
  </si>
  <si>
    <t>No received internal claim for July 2024</t>
  </si>
  <si>
    <t>Need to provide concrete analysis and immediate actions for the Bubbless problem to control the increasing trend of  internal claim and Off target LAR  Yield</t>
  </si>
  <si>
    <t>Continue the update for intial management.</t>
  </si>
  <si>
    <t>July 2024 Armida M.</t>
  </si>
  <si>
    <t>- Continuous monitoring on the consistency and implementation of all generated actions to all off target evaluation factors.</t>
  </si>
  <si>
    <t>To complete the system of Inline monitoring and quality feedback recording( Automation)</t>
  </si>
  <si>
    <t xml:space="preserve">
July 2024
RDM</t>
  </si>
  <si>
    <t>The Yield &amp; LAR of co-wide declined, thus actions from each section is important to impact to total performance</t>
  </si>
  <si>
    <t>July  2024
RNS</t>
  </si>
  <si>
    <t>Be mindful of each group's performanxe &amp; implement actions accordingly</t>
  </si>
  <si>
    <t>Sept 14, 2024</t>
  </si>
  <si>
    <t>August 2024 Armida M.</t>
  </si>
  <si>
    <t>- Strictly monitor the implementation of lot-out &amp; external claim CAPA to improve the total quality performance.</t>
  </si>
  <si>
    <t>August 2024
MMM</t>
  </si>
  <si>
    <t>Ensure the consistent implementation of all generated actions and programs for quality improvement</t>
  </si>
  <si>
    <t>July 2024
MMM</t>
  </si>
  <si>
    <t>&gt; Implementation of Spike Control across the CN</t>
  </si>
  <si>
    <t>Convene with the team to derived actions to improve Yield &amp; OQC/LAR Dppm</t>
  </si>
  <si>
    <t>The system for improvement through automation during measurement data gathering has been completed. Need to monitor the effectiveness of this system.</t>
  </si>
  <si>
    <t xml:space="preserve">Focus on yield Dppm reduction through system enhancement 1) control of prod NG by controlling the parts usage during machine conversion 2) change the defect escalation rule for immediate analysis &amp; improvement </t>
  </si>
  <si>
    <t>Focus the improvement for lot-out and loss cost for both PPD-CN and PPD-TS products</t>
  </si>
  <si>
    <t>Initiate improvement on HF106-03#IN
Monitor thr result after the improvement</t>
  </si>
  <si>
    <t>No received internal claim for August 2024</t>
  </si>
  <si>
    <t xml:space="preserve">
Aug 2024
RDM</t>
  </si>
  <si>
    <t>Aug  2024
RNS</t>
  </si>
  <si>
    <t>EF of co-wide is on target even if TS &amp; CN performance is off target</t>
  </si>
  <si>
    <t>Continue to derive actions and make a way to implement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</si>
</sst>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9">
    <numFmt numFmtId="41" formatCode="_-* #,##0_-;\-* #,##0_-;_-* &quot;-&quot;_-;_-@_-"/>
    <numFmt numFmtId="43" formatCode="_-* #,##0.00_-;\-* #,##0.00_-;_-* &quot;-&quot;??_-;_-@_-"/>
    <numFmt numFmtId="164" formatCode="&quot;$&quot;#,##0_);\(&quot;$&quot;#,##0\)"/>
    <numFmt numFmtId="165" formatCode="&quot;$&quot;#,##0.00_);[Red]\(&quot;$&quot;#,##0.0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quot;\&quot;#,##0.00;[Red]&quot;\&quot;\-#,##0.00"/>
    <numFmt numFmtId="171" formatCode="&quot;\&quot;#,##0;[Red]&quot;\&quot;\-#,##0"/>
    <numFmt numFmtId="172" formatCode="0%;[Red]\(0%\)"/>
    <numFmt numFmtId="173" formatCode="00,000.00"/>
    <numFmt numFmtId="174" formatCode="0,000.00"/>
    <numFmt numFmtId="175" formatCode="#,##0.0_);\(#,##0.0\)"/>
    <numFmt numFmtId="176" formatCode="0.00_)"/>
    <numFmt numFmtId="177" formatCode="0%;\(0%\)"/>
    <numFmt numFmtId="178" formatCode="0.0%;\(0.0%\)"/>
    <numFmt numFmtId="179" formatCode="&quot;   &quot;@"/>
    <numFmt numFmtId="180" formatCode="_(* #,##0_);_(* \(#,##0\);_(* &quot;-&quot;_)"/>
    <numFmt numFmtId="181" formatCode="_-&quot;$&quot;* #,##0_-;\-&quot;$&quot;* #,##0_-;_-&quot;$&quot;* &quot;-&quot;_-;_-@_-"/>
    <numFmt numFmtId="182" formatCode="_-&quot;$&quot;* #,##0.00_-;\-&quot;$&quot;* #,##0.00_-;_-&quot;$&quot;* &quot;-&quot;??_-;_-@_-"/>
    <numFmt numFmtId="183" formatCode="_(* #,##0.0_);_(* \(#,##0.0\);_(* &quot;-&quot;??_);_(@_)"/>
    <numFmt numFmtId="184" formatCode="0.0%;[Red]\(0.0%\)"/>
    <numFmt numFmtId="185" formatCode="0.0"/>
    <numFmt numFmtId="186" formatCode="[$-409]mmm\-yy;@"/>
    <numFmt numFmtId="187" formatCode="[$-409]d\-mmm\-yy;@"/>
    <numFmt numFmtId="188" formatCode="0.0%"/>
    <numFmt numFmtId="189" formatCode="0.0000%"/>
    <numFmt numFmtId="190" formatCode="_(* #,##0.00_);_(* \(#,##0.00\);_(* \-??_);_(@_)"/>
    <numFmt numFmtId="191" formatCode="#,##0.000"/>
    <numFmt numFmtId="192" formatCode="_-&quot;$&quot;* #,##0_-;&quot;-$&quot;* #,##0_-;_-&quot;$&quot;* \-_-;_-@_-"/>
    <numFmt numFmtId="193" formatCode="_-* #,##0_-;\-* #,##0_-;_-* \-_-;_-@_-"/>
    <numFmt numFmtId="194" formatCode="&quot;\\\\$&quot;#,##0;&quot;\\\\(\\\\$&quot;#,##0&quot;\\\\)&quot;"/>
    <numFmt numFmtId="195" formatCode="#,##0;&quot;\\\\(&quot;#,##0&quot;\\\\)&quot;"/>
    <numFmt numFmtId="196" formatCode="_-&quot;$&quot;* #,##0.00_-;&quot;-$&quot;* #,##0.00_-;_-&quot;$&quot;* \-??_-;_-@_-"/>
    <numFmt numFmtId="197" formatCode="#,##0.00000000"/>
    <numFmt numFmtId="198" formatCode="_-* #,##0.00_-;\-* #,##0.00_-;_-* \-??_-;_-@_-"/>
    <numFmt numFmtId="199" formatCode="_-* #,##0.00\ _F_-;\-* #,##0.00\ _F_-;_-* \-??\ _F_-;_-@_-"/>
    <numFmt numFmtId="200" formatCode="&quot;\\\\$&quot;#,##0.00;&quot;\\\\(\\\\$&quot;#,##0.00&quot;\\\\)&quot;"/>
    <numFmt numFmtId="201" formatCode="&quot;$&quot;#,##0;&quot;-$&quot;#,##0"/>
    <numFmt numFmtId="202" formatCode="_-* #,##0\ _F_-;\-* #,##0\ _F_-;_-* &quot;- &quot;_F_-;_-@_-"/>
    <numFmt numFmtId="203" formatCode="&quot;$&quot;#,##0;[Red]&quot;-$&quot;#,##0"/>
    <numFmt numFmtId="204" formatCode="_(* #,##0_);_(* \(#,##0\);_(* \-_)"/>
    <numFmt numFmtId="205" formatCode="#,##0.0000"/>
    <numFmt numFmtId="206" formatCode="_-* #,##0&quot; F&quot;_-;\-* #,##0&quot; F&quot;_-;_-* &quot;- F&quot;_-;_-@_-"/>
    <numFmt numFmtId="207" formatCode="_-* #,##0.00&quot; F&quot;_-;\-* #,##0.00&quot; F&quot;_-;_-* \-??&quot; F&quot;_-;_-@_-"/>
    <numFmt numFmtId="208" formatCode="_(&quot;$&quot;* #,##0.00_);_(&quot;$&quot;* \(#,##0.00\);_(&quot;$&quot;* \-??_);_(@_)"/>
    <numFmt numFmtId="209" formatCode="0.000"/>
    <numFmt numFmtId="210" formatCode="0.000%"/>
  </numFmts>
  <fonts count="134">
    <font>
      <sz val="11"/>
      <color theme="1"/>
      <name val="Calibri"/>
      <family val="2"/>
      <scheme val="minor"/>
    </font>
    <font>
      <sz val="11"/>
      <color indexed="8"/>
      <name val="Calibri"/>
      <family val="2"/>
    </font>
    <font>
      <sz val="11"/>
      <color indexed="8"/>
      <name val="Calibri"/>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0"/>
      <name val="Arial"/>
      <family val="2"/>
    </font>
    <font>
      <b/>
      <sz val="10"/>
      <name val="Arial"/>
      <family val="2"/>
    </font>
    <font>
      <sz val="10"/>
      <color indexed="8"/>
      <name val="Arial"/>
      <family val="2"/>
    </font>
    <font>
      <sz val="11"/>
      <name val="ＭＳ Ｐゴシック"/>
      <family val="3"/>
      <charset val="128"/>
    </font>
    <font>
      <b/>
      <sz val="12"/>
      <name val="Arial"/>
      <family val="2"/>
    </font>
    <font>
      <b/>
      <sz val="8"/>
      <color indexed="81"/>
      <name val="Tahoma"/>
      <family val="2"/>
    </font>
    <font>
      <sz val="8"/>
      <color indexed="81"/>
      <name val="Tahoma"/>
      <family val="2"/>
    </font>
    <font>
      <b/>
      <sz val="11"/>
      <color indexed="81"/>
      <name val="Tahoma"/>
      <family val="2"/>
    </font>
    <font>
      <sz val="11"/>
      <color indexed="81"/>
      <name val="Tahoma"/>
      <family val="2"/>
    </font>
    <font>
      <b/>
      <sz val="10"/>
      <color indexed="81"/>
      <name val="Tahoma"/>
      <family val="2"/>
    </font>
    <font>
      <sz val="10"/>
      <color indexed="81"/>
      <name val="Tahoma"/>
      <family val="2"/>
    </font>
    <font>
      <sz val="10"/>
      <name val="Helv"/>
    </font>
    <font>
      <b/>
      <sz val="10"/>
      <name val="MS Sans"/>
    </font>
    <font>
      <sz val="12"/>
      <name val="Osaka"/>
    </font>
    <font>
      <sz val="9"/>
      <name val="?? ??"/>
    </font>
    <font>
      <sz val="12"/>
      <name val="Times New Roman"/>
      <family val="1"/>
    </font>
    <font>
      <sz val="11"/>
      <name val="gfÛSVbNM"/>
    </font>
    <font>
      <b/>
      <i/>
      <sz val="16"/>
      <name val="Helv"/>
    </font>
    <font>
      <b/>
      <sz val="18"/>
      <color indexed="56"/>
      <name val="Cambria"/>
      <family val="1"/>
    </font>
    <font>
      <b/>
      <sz val="10"/>
      <name val="MS Sans Serif"/>
      <family val="2"/>
    </font>
    <font>
      <sz val="8"/>
      <name val="Arial"/>
      <family val="2"/>
    </font>
    <font>
      <b/>
      <sz val="10"/>
      <color indexed="57"/>
      <name val="Arial"/>
      <family val="2"/>
    </font>
    <font>
      <sz val="9"/>
      <name val="ＭＳ 明朝"/>
    </font>
    <font>
      <sz val="11"/>
      <name val="ＭＳ Ｐゴシック"/>
    </font>
    <font>
      <u/>
      <sz val="8.8000000000000007"/>
      <color indexed="12"/>
      <name val="ＭＳ ゴシック"/>
    </font>
    <font>
      <u/>
      <sz val="8.8000000000000007"/>
      <color indexed="36"/>
      <name val="ＭＳ ゴシック"/>
    </font>
    <font>
      <sz val="9"/>
      <name val="Arial"/>
      <family val="2"/>
    </font>
    <font>
      <b/>
      <sz val="18"/>
      <color indexed="56"/>
      <name val="Cambria"/>
      <family val="2"/>
    </font>
    <font>
      <sz val="12"/>
      <name val="Arial"/>
      <family val="2"/>
    </font>
    <font>
      <b/>
      <sz val="9"/>
      <color indexed="81"/>
      <name val="Tahoma"/>
      <family val="2"/>
    </font>
    <font>
      <sz val="9"/>
      <color indexed="81"/>
      <name val="Tahoma"/>
      <family val="2"/>
    </font>
    <font>
      <u/>
      <sz val="10"/>
      <color indexed="12"/>
      <name val="Arial"/>
      <family val="2"/>
    </font>
    <font>
      <b/>
      <sz val="10"/>
      <name val="MS Sans Serif"/>
      <family val="2"/>
    </font>
    <font>
      <sz val="11"/>
      <color indexed="8"/>
      <name val="Calibri"/>
      <family val="2"/>
    </font>
    <font>
      <b/>
      <sz val="10"/>
      <name val="MS Sans Serif"/>
      <family val="2"/>
    </font>
    <font>
      <sz val="11"/>
      <color indexed="8"/>
      <name val="Calibri"/>
      <family val="2"/>
    </font>
    <font>
      <sz val="10"/>
      <name val="Helv"/>
      <family val="2"/>
    </font>
    <font>
      <sz val="9"/>
      <name val="?? ??"/>
      <family val="1"/>
      <charset val="128"/>
    </font>
    <font>
      <sz val="9"/>
      <name val="ＭＳ 明朝"/>
      <family val="1"/>
      <charset val="128"/>
    </font>
    <font>
      <sz val="11"/>
      <name val="ＭＳ Ｐゴシック"/>
      <charset val="128"/>
    </font>
    <font>
      <b/>
      <i/>
      <sz val="16"/>
      <name val="Helv"/>
      <family val="2"/>
    </font>
    <font>
      <b/>
      <sz val="10"/>
      <name val="MS Sans"/>
      <family val="1"/>
    </font>
    <font>
      <b/>
      <sz val="15"/>
      <color indexed="54"/>
      <name val="Calibri"/>
      <family val="2"/>
    </font>
    <font>
      <b/>
      <sz val="13"/>
      <color indexed="54"/>
      <name val="Calibri"/>
      <family val="2"/>
    </font>
    <font>
      <b/>
      <sz val="11"/>
      <color indexed="54"/>
      <name val="Calibri"/>
      <family val="2"/>
    </font>
    <font>
      <sz val="18"/>
      <color indexed="54"/>
      <name val="Calibri Light"/>
      <family val="2"/>
    </font>
    <font>
      <sz val="11"/>
      <color indexed="9"/>
      <name val="ＭＳ Ｐゴシック"/>
    </font>
    <font>
      <sz val="11"/>
      <color indexed="8"/>
      <name val="ＭＳ Ｐゴシック"/>
    </font>
    <font>
      <sz val="11"/>
      <color indexed="17"/>
      <name val="ＭＳ Ｐゴシック"/>
    </font>
    <font>
      <b/>
      <sz val="10"/>
      <name val="MS Sans Serif"/>
      <family val="2"/>
    </font>
    <font>
      <b/>
      <sz val="15"/>
      <color indexed="56"/>
      <name val="ＭＳ Ｐゴシック"/>
    </font>
    <font>
      <b/>
      <sz val="11"/>
      <color indexed="56"/>
      <name val="ＭＳ Ｐゴシック"/>
    </font>
    <font>
      <b/>
      <sz val="11"/>
      <color indexed="9"/>
      <name val="ＭＳ Ｐゴシック"/>
    </font>
    <font>
      <sz val="11"/>
      <color indexed="62"/>
      <name val="ＭＳ Ｐゴシック"/>
    </font>
    <font>
      <b/>
      <sz val="18"/>
      <color indexed="56"/>
      <name val="ＭＳ Ｐゴシック"/>
    </font>
    <font>
      <sz val="11"/>
      <color indexed="60"/>
      <name val="ＭＳ Ｐゴシック"/>
    </font>
    <font>
      <sz val="11"/>
      <color indexed="52"/>
      <name val="ＭＳ Ｐゴシック"/>
    </font>
    <font>
      <b/>
      <sz val="11"/>
      <color indexed="63"/>
      <name val="ＭＳ Ｐゴシック"/>
    </font>
    <font>
      <sz val="11"/>
      <color indexed="20"/>
      <name val="ＭＳ Ｐゴシック"/>
    </font>
    <font>
      <b/>
      <sz val="13"/>
      <color indexed="56"/>
      <name val="ＭＳ Ｐゴシック"/>
    </font>
    <font>
      <b/>
      <sz val="11"/>
      <color indexed="52"/>
      <name val="ＭＳ Ｐゴシック"/>
    </font>
    <font>
      <i/>
      <sz val="11"/>
      <color indexed="23"/>
      <name val="ＭＳ Ｐゴシック"/>
    </font>
    <font>
      <sz val="11"/>
      <color indexed="10"/>
      <name val="ＭＳ Ｐゴシック"/>
    </font>
    <font>
      <b/>
      <sz val="11"/>
      <color indexed="8"/>
      <name val="ＭＳ Ｐゴシック"/>
    </font>
    <font>
      <sz val="10"/>
      <color indexed="8"/>
      <name val="Arial "/>
    </font>
    <font>
      <sz val="12"/>
      <color indexed="9"/>
      <name val="Arial"/>
      <family val="2"/>
    </font>
    <font>
      <sz val="10"/>
      <name val="Times New Roman"/>
      <family val="1"/>
    </font>
    <font>
      <b/>
      <i/>
      <sz val="16"/>
      <name val="Arial"/>
      <family val="2"/>
    </font>
    <font>
      <sz val="10"/>
      <color indexed="8"/>
      <name val="MS Sans Serif"/>
      <family val="2"/>
    </font>
    <font>
      <b/>
      <sz val="11"/>
      <name val="Times New Roman"/>
      <family val="1"/>
    </font>
    <font>
      <sz val="12"/>
      <name val="新細明體"/>
    </font>
    <font>
      <b/>
      <sz val="12"/>
      <color indexed="8"/>
      <name val="Times New Roman"/>
      <family val="1"/>
    </font>
    <font>
      <sz val="10"/>
      <color indexed="8"/>
      <name val="MS Sans Serif"/>
      <family val="2"/>
    </font>
    <font>
      <sz val="11"/>
      <color theme="1"/>
      <name val="Calibri"/>
      <family val="2"/>
      <scheme val="minor"/>
    </font>
    <font>
      <sz val="11"/>
      <color theme="1"/>
      <name val="Arial"/>
      <family val="2"/>
    </font>
    <font>
      <b/>
      <sz val="10"/>
      <color theme="1"/>
      <name val="Arial"/>
      <family val="2"/>
    </font>
    <font>
      <b/>
      <sz val="14"/>
      <color theme="1"/>
      <name val="Arial"/>
      <family val="2"/>
    </font>
    <font>
      <sz val="12"/>
      <color theme="1"/>
      <name val="Arial"/>
      <family val="2"/>
    </font>
    <font>
      <b/>
      <sz val="12"/>
      <color theme="1"/>
      <name val="Arial"/>
      <family val="2"/>
    </font>
    <font>
      <b/>
      <sz val="11"/>
      <color theme="1"/>
      <name val="Arial"/>
      <family val="2"/>
    </font>
    <font>
      <b/>
      <sz val="18"/>
      <color theme="1"/>
      <name val="Arial"/>
      <family val="2"/>
    </font>
    <font>
      <sz val="18"/>
      <color theme="1"/>
      <name val="Arial"/>
      <family val="2"/>
    </font>
    <font>
      <sz val="10"/>
      <color theme="1"/>
      <name val="Arial"/>
      <family val="2"/>
    </font>
    <font>
      <sz val="11"/>
      <color theme="1"/>
      <name val="Calibri"/>
      <family val="2"/>
    </font>
    <font>
      <b/>
      <sz val="20"/>
      <color theme="1"/>
      <name val="Arial"/>
      <family val="2"/>
    </font>
    <font>
      <b/>
      <i/>
      <sz val="13"/>
      <color theme="1"/>
      <name val="Arial"/>
      <family val="2"/>
    </font>
    <font>
      <b/>
      <sz val="13"/>
      <color theme="1"/>
      <name val="Arial"/>
      <family val="2"/>
    </font>
    <font>
      <sz val="9"/>
      <color theme="1"/>
      <name val="Arial"/>
      <family val="2"/>
    </font>
    <font>
      <b/>
      <sz val="9"/>
      <color theme="1"/>
      <name val="Arial"/>
      <family val="2"/>
    </font>
    <font>
      <sz val="8"/>
      <color theme="1"/>
      <name val="Arial"/>
      <family val="2"/>
    </font>
    <font>
      <sz val="7"/>
      <color theme="1"/>
      <name val="Arial"/>
      <family val="2"/>
    </font>
    <font>
      <sz val="20"/>
      <color theme="1"/>
      <name val="Arial"/>
      <family val="2"/>
    </font>
    <font>
      <sz val="14"/>
      <color theme="1"/>
      <name val="Arial"/>
      <family val="2"/>
    </font>
    <font>
      <sz val="12"/>
      <color indexed="81"/>
      <name val="Tahoma"/>
      <family val="2"/>
    </font>
    <font>
      <sz val="10"/>
      <color indexed="81"/>
      <name val="Calibri"/>
      <family val="2"/>
    </font>
    <font>
      <b/>
      <sz val="20"/>
      <name val="Arial"/>
      <family val="2"/>
    </font>
    <font>
      <sz val="12"/>
      <color indexed="12"/>
      <name val="Arial"/>
      <family val="2"/>
    </font>
    <font>
      <u/>
      <sz val="12"/>
      <name val="Arial"/>
      <family val="2"/>
    </font>
    <font>
      <sz val="12"/>
      <color indexed="30"/>
      <name val="Arial"/>
      <family val="2"/>
    </font>
    <font>
      <sz val="12"/>
      <color theme="1"/>
      <name val="Calibri"/>
      <family val="2"/>
      <scheme val="minor"/>
    </font>
    <font>
      <sz val="12"/>
      <color indexed="8"/>
      <name val="Arial"/>
      <family val="2"/>
    </font>
    <font>
      <b/>
      <i/>
      <sz val="12"/>
      <color theme="1"/>
      <name val="Arial"/>
      <family val="2"/>
    </font>
    <font>
      <sz val="12"/>
      <color theme="1"/>
      <name val="Calibri"/>
      <family val="2"/>
    </font>
    <font>
      <sz val="12"/>
      <color theme="0"/>
      <name val="Arial"/>
      <family val="2"/>
    </font>
    <font>
      <b/>
      <sz val="12"/>
      <color indexed="8"/>
      <name val="Arial"/>
      <family val="2"/>
    </font>
    <font>
      <sz val="12"/>
      <color rgb="FF3333FF"/>
      <name val="Arial"/>
      <family val="2"/>
    </font>
    <font>
      <b/>
      <sz val="12"/>
      <color rgb="FF0000FF"/>
      <name val="Arial"/>
      <family val="2"/>
    </font>
    <font>
      <sz val="12"/>
      <color rgb="FF0000FF"/>
      <name val="Arial"/>
      <family val="2"/>
    </font>
    <font>
      <sz val="13"/>
      <color theme="1"/>
      <name val="Arial"/>
      <family val="2"/>
    </font>
    <font>
      <b/>
      <sz val="14"/>
      <color theme="1"/>
      <name val="Calibri"/>
      <family val="2"/>
    </font>
    <font>
      <sz val="14"/>
      <color theme="1"/>
      <name val="Calibri"/>
      <family val="2"/>
      <scheme val="minor"/>
    </font>
    <font>
      <sz val="11"/>
      <color indexed="8"/>
      <name val="Arial"/>
      <family val="2"/>
    </font>
    <font>
      <b/>
      <sz val="9"/>
      <color theme="0"/>
      <name val="Arial"/>
      <family val="2"/>
    </font>
    <font>
      <b/>
      <sz val="12"/>
      <color theme="0"/>
      <name val="Arial"/>
      <family val="2"/>
    </font>
    <font>
      <sz val="10"/>
      <color theme="0"/>
      <name val="Arial"/>
      <family val="2"/>
    </font>
    <font>
      <b/>
      <sz val="10"/>
      <color theme="0"/>
      <name val="Arial"/>
      <family val="2"/>
    </font>
  </fonts>
  <fills count="56">
    <fill>
      <patternFill patternType="none"/>
    </fill>
    <fill>
      <patternFill patternType="gray125"/>
    </fill>
    <fill>
      <patternFill patternType="solid">
        <fgColor indexed="11"/>
        <bgColor indexed="64"/>
      </patternFill>
    </fill>
    <fill>
      <patternFill patternType="solid">
        <fgColor indexed="31"/>
      </patternFill>
    </fill>
    <fill>
      <patternFill patternType="solid">
        <fgColor indexed="31"/>
        <bgColor indexed="64"/>
      </patternFill>
    </fill>
    <fill>
      <patternFill patternType="solid">
        <fgColor indexed="27"/>
        <bgColor indexed="64"/>
      </patternFill>
    </fill>
    <fill>
      <patternFill patternType="solid">
        <fgColor indexed="45"/>
      </patternFill>
    </fill>
    <fill>
      <patternFill patternType="solid">
        <fgColor indexed="45"/>
        <bgColor indexed="64"/>
      </patternFill>
    </fill>
    <fill>
      <patternFill patternType="solid">
        <fgColor indexed="47"/>
        <bgColor indexed="64"/>
      </patternFill>
    </fill>
    <fill>
      <patternFill patternType="solid">
        <fgColor indexed="42"/>
      </patternFill>
    </fill>
    <fill>
      <patternFill patternType="solid">
        <fgColor indexed="42"/>
        <bgColor indexed="64"/>
      </patternFill>
    </fill>
    <fill>
      <patternFill patternType="solid">
        <fgColor indexed="9"/>
        <bgColor indexed="64"/>
      </patternFill>
    </fill>
    <fill>
      <patternFill patternType="solid">
        <fgColor indexed="46"/>
      </patternFill>
    </fill>
    <fill>
      <patternFill patternType="solid">
        <fgColor indexed="46"/>
        <bgColor indexed="64"/>
      </patternFill>
    </fill>
    <fill>
      <patternFill patternType="solid">
        <fgColor indexed="26"/>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44"/>
        <bgColor indexed="64"/>
      </patternFill>
    </fill>
    <fill>
      <patternFill patternType="solid">
        <fgColor indexed="29"/>
      </patternFill>
    </fill>
    <fill>
      <patternFill patternType="solid">
        <fgColor indexed="29"/>
        <bgColor indexed="64"/>
      </patternFill>
    </fill>
    <fill>
      <patternFill patternType="solid">
        <fgColor indexed="11"/>
      </patternFill>
    </fill>
    <fill>
      <patternFill patternType="solid">
        <fgColor indexed="22"/>
        <bgColor indexed="64"/>
      </patternFill>
    </fill>
    <fill>
      <patternFill patternType="solid">
        <fgColor indexed="43"/>
        <bgColor indexed="64"/>
      </patternFill>
    </fill>
    <fill>
      <patternFill patternType="solid">
        <fgColor indexed="51"/>
      </patternFill>
    </fill>
    <fill>
      <patternFill patternType="solid">
        <fgColor indexed="51"/>
        <bgColor indexed="64"/>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36"/>
        <bgColor indexed="64"/>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7"/>
        <bgColor indexed="64"/>
      </patternFill>
    </fill>
    <fill>
      <patternFill patternType="solid">
        <fgColor indexed="62"/>
      </patternFill>
    </fill>
    <fill>
      <patternFill patternType="solid">
        <fgColor indexed="62"/>
        <bgColor indexed="64"/>
      </patternFill>
    </fill>
    <fill>
      <patternFill patternType="solid">
        <fgColor indexed="10"/>
      </patternFill>
    </fill>
    <fill>
      <patternFill patternType="solid">
        <fgColor indexed="10"/>
        <bgColor indexed="64"/>
      </patternFill>
    </fill>
    <fill>
      <patternFill patternType="solid">
        <fgColor indexed="53"/>
        <bgColor indexed="64"/>
      </patternFill>
    </fill>
    <fill>
      <patternFill patternType="solid">
        <fgColor indexed="57"/>
      </patternFill>
    </fill>
    <fill>
      <patternFill patternType="solid">
        <fgColor indexed="55"/>
        <bgColor indexed="64"/>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41"/>
        <bgColor indexed="64"/>
      </patternFill>
    </fill>
    <fill>
      <patternFill patternType="solid">
        <fgColor rgb="FF00FF00"/>
        <bgColor indexed="64"/>
      </patternFill>
    </fill>
    <fill>
      <patternFill patternType="solid">
        <fgColor theme="2" tint="-9.9978637043366805E-2"/>
        <bgColor indexed="64"/>
      </patternFill>
    </fill>
    <fill>
      <patternFill patternType="solid">
        <fgColor rgb="FFFF99FF"/>
        <bgColor indexed="64"/>
      </patternFill>
    </fill>
    <fill>
      <patternFill patternType="solid">
        <fgColor rgb="FFFF0000"/>
        <bgColor indexed="64"/>
      </patternFill>
    </fill>
    <fill>
      <patternFill patternType="solid">
        <fgColor rgb="FFFFFF00"/>
        <bgColor indexed="64"/>
      </patternFill>
    </fill>
    <fill>
      <patternFill patternType="solid">
        <fgColor theme="0" tint="-0.249977111117893"/>
        <bgColor indexed="64"/>
      </patternFill>
    </fill>
  </fills>
  <borders count="103">
    <border>
      <left/>
      <right/>
      <top/>
      <bottom/>
      <diagonal/>
    </border>
    <border>
      <left/>
      <right/>
      <top style="thin">
        <color indexed="64"/>
      </top>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medium">
        <color indexed="8"/>
      </top>
      <bottom style="medium">
        <color indexed="8"/>
      </bottom>
      <diagonal/>
    </border>
    <border>
      <left/>
      <right/>
      <top style="thin">
        <color indexed="64"/>
      </top>
      <bottom style="thin">
        <color indexed="64"/>
      </bottom>
      <diagonal/>
    </border>
    <border>
      <left/>
      <right/>
      <top style="thin">
        <color indexed="8"/>
      </top>
      <bottom style="thin">
        <color indexed="8"/>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indexed="44"/>
      </bottom>
      <diagonal/>
    </border>
    <border>
      <left/>
      <right/>
      <top/>
      <bottom style="medium">
        <color indexed="30"/>
      </bottom>
      <diagonal/>
    </border>
    <border>
      <left/>
      <right/>
      <top/>
      <bottom style="medium">
        <color indexed="4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8"/>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ck">
        <color indexed="12"/>
      </right>
      <top style="thick">
        <color indexed="12"/>
      </top>
      <bottom style="thick">
        <color indexed="12"/>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8"/>
      </bottom>
      <diagonal/>
    </border>
    <border>
      <left style="medium">
        <color indexed="64"/>
      </left>
      <right/>
      <top style="thin">
        <color indexed="64"/>
      </top>
      <bottom/>
      <diagonal/>
    </border>
    <border>
      <left style="thin">
        <color indexed="64"/>
      </left>
      <right/>
      <top style="medium">
        <color indexed="64"/>
      </top>
      <bottom style="medium">
        <color indexed="64"/>
      </bottom>
      <diagonal/>
    </border>
    <border diagonalDown="1">
      <left style="medium">
        <color indexed="64"/>
      </left>
      <right style="thin">
        <color indexed="64"/>
      </right>
      <top style="medium">
        <color indexed="64"/>
      </top>
      <bottom style="medium">
        <color indexed="64"/>
      </bottom>
      <diagonal style="thin">
        <color indexed="64"/>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bottom/>
      <diagonal/>
    </border>
    <border>
      <left style="medium">
        <color indexed="64"/>
      </left>
      <right style="medium">
        <color indexed="64"/>
      </right>
      <top style="thin">
        <color indexed="64"/>
      </top>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3185">
    <xf numFmtId="0" fontId="0" fillId="0" borderId="0"/>
    <xf numFmtId="0" fontId="18" fillId="0" borderId="0"/>
    <xf numFmtId="169" fontId="18" fillId="0" borderId="0" applyFont="0" applyFill="0" applyBorder="0" applyAlignment="0" applyProtection="0"/>
    <xf numFmtId="167" fontId="18" fillId="0" borderId="0" applyFont="0" applyFill="0" applyBorder="0" applyAlignment="0" applyProtection="0"/>
    <xf numFmtId="0" fontId="31" fillId="0" borderId="0" applyProtection="0"/>
    <xf numFmtId="0" fontId="18" fillId="2" borderId="0" applyNumberFormat="0" applyFont="0" applyBorder="0" applyAlignment="0" applyProtection="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54" fillId="0" borderId="0"/>
    <xf numFmtId="0" fontId="18" fillId="0" borderId="0"/>
    <xf numFmtId="0" fontId="18" fillId="0" borderId="0"/>
    <xf numFmtId="0" fontId="29" fillId="0" borderId="0"/>
    <xf numFmtId="0" fontId="29" fillId="0" borderId="0"/>
    <xf numFmtId="0" fontId="54" fillId="0" borderId="0"/>
    <xf numFmtId="0" fontId="29" fillId="0" borderId="0"/>
    <xf numFmtId="0" fontId="29" fillId="0" borderId="0"/>
    <xf numFmtId="0" fontId="54" fillId="0" borderId="0"/>
    <xf numFmtId="0" fontId="18" fillId="0" borderId="0"/>
    <xf numFmtId="0" fontId="29" fillId="0" borderId="0"/>
    <xf numFmtId="0" fontId="29" fillId="0" borderId="0"/>
    <xf numFmtId="0" fontId="54" fillId="0" borderId="0"/>
    <xf numFmtId="0" fontId="18" fillId="0" borderId="0"/>
    <xf numFmtId="0" fontId="29" fillId="0" borderId="0"/>
    <xf numFmtId="0" fontId="29" fillId="0" borderId="0"/>
    <xf numFmtId="0" fontId="54" fillId="0" borderId="0"/>
    <xf numFmtId="0" fontId="18" fillId="0" borderId="0"/>
    <xf numFmtId="0" fontId="18" fillId="0" borderId="0"/>
    <xf numFmtId="0" fontId="18" fillId="0" borderId="0"/>
    <xf numFmtId="0" fontId="29" fillId="0" borderId="0"/>
    <xf numFmtId="0" fontId="29" fillId="0" borderId="0"/>
    <xf numFmtId="0" fontId="54" fillId="0" borderId="0"/>
    <xf numFmtId="0" fontId="18" fillId="0" borderId="0"/>
    <xf numFmtId="0" fontId="18" fillId="0" borderId="0"/>
    <xf numFmtId="0" fontId="29" fillId="0" borderId="0"/>
    <xf numFmtId="0" fontId="29" fillId="0" borderId="0"/>
    <xf numFmtId="0" fontId="54"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9" fillId="0" borderId="0"/>
    <xf numFmtId="0" fontId="29" fillId="0" borderId="0"/>
    <xf numFmtId="0" fontId="54"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8" fillId="0" borderId="0"/>
    <xf numFmtId="0" fontId="18" fillId="0" borderId="0"/>
    <xf numFmtId="0" fontId="18" fillId="0" borderId="0"/>
    <xf numFmtId="0" fontId="18" fillId="0" borderId="0"/>
    <xf numFmtId="0" fontId="18" fillId="0" borderId="0"/>
    <xf numFmtId="0" fontId="20" fillId="0" borderId="0">
      <alignment vertical="top"/>
    </xf>
    <xf numFmtId="0" fontId="20" fillId="0" borderId="0">
      <alignment vertical="top"/>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9" fillId="0" borderId="0"/>
    <xf numFmtId="0" fontId="29" fillId="0" borderId="0"/>
    <xf numFmtId="0" fontId="54" fillId="0" borderId="0"/>
    <xf numFmtId="0" fontId="29" fillId="0" borderId="0"/>
    <xf numFmtId="0" fontId="29" fillId="0" borderId="0"/>
    <xf numFmtId="0" fontId="54" fillId="0" borderId="0"/>
    <xf numFmtId="0" fontId="18" fillId="0" borderId="0"/>
    <xf numFmtId="0" fontId="29" fillId="0" borderId="0"/>
    <xf numFmtId="0" fontId="29" fillId="0" borderId="0"/>
    <xf numFmtId="0" fontId="54" fillId="0" borderId="0"/>
    <xf numFmtId="0" fontId="18" fillId="0" borderId="0"/>
    <xf numFmtId="0" fontId="18" fillId="0" borderId="0"/>
    <xf numFmtId="0" fontId="18" fillId="0" borderId="0"/>
    <xf numFmtId="0" fontId="29" fillId="0" borderId="0"/>
    <xf numFmtId="0" fontId="29" fillId="0" borderId="0"/>
    <xf numFmtId="0" fontId="54"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9" fillId="0" borderId="0"/>
    <xf numFmtId="0" fontId="29" fillId="0" borderId="0"/>
    <xf numFmtId="0" fontId="54" fillId="0" borderId="0"/>
    <xf numFmtId="0" fontId="18" fillId="0" borderId="0"/>
    <xf numFmtId="0" fontId="18" fillId="0" borderId="0"/>
    <xf numFmtId="0" fontId="18" fillId="0" borderId="0"/>
    <xf numFmtId="0" fontId="18" fillId="0" borderId="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54"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9" fillId="0" borderId="0"/>
    <xf numFmtId="0" fontId="29" fillId="0" borderId="0"/>
    <xf numFmtId="0" fontId="54" fillId="0" borderId="0"/>
    <xf numFmtId="0" fontId="18" fillId="0" borderId="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29" fillId="0" borderId="0"/>
    <xf numFmtId="0" fontId="54" fillId="0" borderId="0"/>
    <xf numFmtId="0" fontId="29" fillId="0" borderId="0"/>
    <xf numFmtId="0" fontId="29" fillId="0" borderId="0"/>
    <xf numFmtId="0" fontId="54" fillId="0" borderId="0"/>
    <xf numFmtId="0" fontId="29" fillId="0" borderId="0"/>
    <xf numFmtId="0" fontId="29" fillId="0" borderId="0"/>
    <xf numFmtId="0" fontId="54" fillId="0" borderId="0"/>
    <xf numFmtId="0" fontId="54" fillId="0" borderId="0"/>
    <xf numFmtId="0" fontId="54" fillId="0" borderId="0"/>
    <xf numFmtId="0" fontId="54" fillId="0" borderId="0"/>
    <xf numFmtId="0" fontId="29" fillId="0" borderId="0"/>
    <xf numFmtId="0" fontId="29" fillId="0" borderId="0"/>
    <xf numFmtId="0" fontId="29" fillId="0" borderId="0"/>
    <xf numFmtId="0" fontId="54" fillId="0" borderId="0"/>
    <xf numFmtId="0" fontId="54" fillId="0" borderId="0"/>
    <xf numFmtId="0" fontId="54" fillId="0" borderId="0"/>
    <xf numFmtId="0" fontId="54" fillId="0" borderId="0"/>
    <xf numFmtId="0" fontId="54" fillId="0" borderId="0"/>
    <xf numFmtId="0" fontId="29" fillId="0" borderId="0"/>
    <xf numFmtId="0" fontId="29" fillId="0" borderId="0"/>
    <xf numFmtId="0" fontId="54" fillId="0" borderId="0"/>
    <xf numFmtId="0" fontId="18" fillId="0" borderId="0"/>
    <xf numFmtId="0" fontId="18" fillId="0" borderId="0"/>
    <xf numFmtId="0" fontId="30" fillId="0" borderId="0" applyNumberFormat="0" applyFill="0" applyBorder="0" applyAlignment="0" applyProtection="0"/>
    <xf numFmtId="0" fontId="30" fillId="0" borderId="0" applyNumberFormat="0" applyFill="0" applyBorder="0" applyAlignment="0" applyProtection="0"/>
    <xf numFmtId="0" fontId="5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5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5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5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5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5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59" fillId="0" borderId="0" applyNumberFormat="0" applyFill="0" applyBorder="0" applyAlignment="0" applyProtection="0"/>
    <xf numFmtId="0" fontId="18" fillId="0" borderId="0"/>
    <xf numFmtId="0" fontId="18"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0" fillId="0" borderId="0" applyNumberFormat="0" applyFill="0" applyBorder="0" applyAlignment="0" applyProtection="0"/>
    <xf numFmtId="0" fontId="30" fillId="0" borderId="0" applyNumberFormat="0" applyFill="0" applyBorder="0" applyAlignment="0" applyProtection="0"/>
    <xf numFmtId="0" fontId="59" fillId="0" borderId="0" applyNumberFormat="0" applyFill="0" applyBorder="0" applyAlignment="0" applyProtection="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18" fillId="0" borderId="0"/>
    <xf numFmtId="0" fontId="18" fillId="0" borderId="0"/>
    <xf numFmtId="0" fontId="33" fillId="0" borderId="0"/>
    <xf numFmtId="41" fontId="18" fillId="0" borderId="0" applyFont="0" applyFill="0" applyBorder="0" applyAlignment="0" applyProtection="0"/>
    <xf numFmtId="43" fontId="18" fillId="0" borderId="0" applyFont="0" applyFill="0" applyBorder="0" applyAlignment="0" applyProtection="0"/>
    <xf numFmtId="170" fontId="18" fillId="0" borderId="0" applyFont="0" applyFill="0" applyBorder="0" applyAlignment="0" applyProtection="0"/>
    <xf numFmtId="171" fontId="18" fillId="0" borderId="0" applyFont="0" applyFill="0" applyBorder="0" applyAlignment="0" applyProtection="0"/>
    <xf numFmtId="0" fontId="34" fillId="0" borderId="0"/>
    <xf numFmtId="0" fontId="2"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4" borderId="0" applyNumberFormat="0" applyBorder="0" applyAlignment="0" applyProtection="0"/>
    <xf numFmtId="0" fontId="2" fillId="15"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5"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2" fillId="16"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65" fillId="4" borderId="0" applyNumberFormat="0" applyBorder="0" applyAlignment="0" applyProtection="0">
      <alignment vertical="center"/>
    </xf>
    <xf numFmtId="0" fontId="65" fillId="7" borderId="0" applyNumberFormat="0" applyBorder="0" applyAlignment="0" applyProtection="0">
      <alignment vertical="center"/>
    </xf>
    <xf numFmtId="0" fontId="65" fillId="10" borderId="0" applyNumberFormat="0" applyBorder="0" applyAlignment="0" applyProtection="0">
      <alignment vertical="center"/>
    </xf>
    <xf numFmtId="0" fontId="65" fillId="13" borderId="0" applyNumberFormat="0" applyBorder="0" applyAlignment="0" applyProtection="0">
      <alignment vertical="center"/>
    </xf>
    <xf numFmtId="0" fontId="65" fillId="5" borderId="0" applyNumberFormat="0" applyBorder="0" applyAlignment="0" applyProtection="0">
      <alignment vertical="center"/>
    </xf>
    <xf numFmtId="0" fontId="65" fillId="8" borderId="0" applyNumberFormat="0" applyBorder="0" applyAlignment="0" applyProtection="0">
      <alignment vertical="center"/>
    </xf>
    <xf numFmtId="181" fontId="18" fillId="0" borderId="0" applyFont="0" applyFill="0" applyBorder="0" applyAlignment="0" applyProtection="0"/>
    <xf numFmtId="173" fontId="18" fillId="0" borderId="0" applyFont="0" applyFill="0" applyBorder="0" applyAlignment="0" applyProtection="0"/>
    <xf numFmtId="174" fontId="18" fillId="0" borderId="0" applyFont="0" applyFill="0" applyBorder="0" applyAlignment="0" applyProtection="0"/>
    <xf numFmtId="0" fontId="2"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2"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2"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2"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2"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2" borderId="0" applyNumberFormat="0" applyBorder="0" applyAlignment="0" applyProtection="0"/>
    <xf numFmtId="0" fontId="2" fillId="21" borderId="0" applyNumberFormat="0" applyBorder="0" applyAlignment="0" applyProtection="0"/>
    <xf numFmtId="0" fontId="2"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2"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 borderId="0" applyNumberFormat="0" applyBorder="0" applyAlignment="0" applyProtection="0"/>
    <xf numFmtId="0" fontId="2"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2"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23"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2"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2"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2"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65" fillId="18" borderId="0" applyNumberFormat="0" applyBorder="0" applyAlignment="0" applyProtection="0">
      <alignment vertical="center"/>
    </xf>
    <xf numFmtId="0" fontId="65" fillId="20" borderId="0" applyNumberFormat="0" applyBorder="0" applyAlignment="0" applyProtection="0">
      <alignment vertical="center"/>
    </xf>
    <xf numFmtId="0" fontId="65" fillId="2" borderId="0" applyNumberFormat="0" applyBorder="0" applyAlignment="0" applyProtection="0">
      <alignment vertical="center"/>
    </xf>
    <xf numFmtId="0" fontId="65" fillId="13" borderId="0" applyNumberFormat="0" applyBorder="0" applyAlignment="0" applyProtection="0">
      <alignment vertical="center"/>
    </xf>
    <xf numFmtId="0" fontId="65" fillId="18" borderId="0" applyNumberFormat="0" applyBorder="0" applyAlignment="0" applyProtection="0">
      <alignment vertical="center"/>
    </xf>
    <xf numFmtId="0" fontId="65" fillId="25" borderId="0" applyNumberFormat="0" applyBorder="0" applyAlignment="0" applyProtection="0">
      <alignment vertical="center"/>
    </xf>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18"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2" borderId="0" applyNumberFormat="0" applyBorder="0" applyAlignment="0" applyProtection="0"/>
    <xf numFmtId="0" fontId="17" fillId="21"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30" borderId="0" applyNumberFormat="0" applyBorder="0" applyAlignment="0" applyProtection="0"/>
    <xf numFmtId="0" fontId="17" fillId="28" borderId="0" applyNumberFormat="0" applyBorder="0" applyAlignment="0" applyProtection="0"/>
    <xf numFmtId="0" fontId="17" fillId="30" borderId="0" applyNumberFormat="0" applyBorder="0" applyAlignment="0" applyProtection="0"/>
    <xf numFmtId="0" fontId="17" fillId="30"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30"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64" fillId="27" borderId="0" applyNumberFormat="0" applyBorder="0" applyAlignment="0" applyProtection="0">
      <alignment vertical="center"/>
    </xf>
    <xf numFmtId="0" fontId="64" fillId="20" borderId="0" applyNumberFormat="0" applyBorder="0" applyAlignment="0" applyProtection="0">
      <alignment vertical="center"/>
    </xf>
    <xf numFmtId="0" fontId="64" fillId="2" borderId="0" applyNumberFormat="0" applyBorder="0" applyAlignment="0" applyProtection="0">
      <alignment vertical="center"/>
    </xf>
    <xf numFmtId="0" fontId="64" fillId="29" borderId="0" applyNumberFormat="0" applyBorder="0" applyAlignment="0" applyProtection="0">
      <alignment vertical="center"/>
    </xf>
    <xf numFmtId="0" fontId="64" fillId="32" borderId="0" applyNumberFormat="0" applyBorder="0" applyAlignment="0" applyProtection="0">
      <alignment vertical="center"/>
    </xf>
    <xf numFmtId="0" fontId="64" fillId="34" borderId="0" applyNumberFormat="0" applyBorder="0" applyAlignment="0" applyProtection="0">
      <alignment vertical="center"/>
    </xf>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2"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42" borderId="0" applyNumberFormat="0" applyBorder="0" applyAlignment="0" applyProtection="0"/>
    <xf numFmtId="0" fontId="17" fillId="41"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30" borderId="0" applyNumberFormat="0" applyBorder="0" applyAlignment="0" applyProtection="0"/>
    <xf numFmtId="0" fontId="17" fillId="28" borderId="0" applyNumberFormat="0" applyBorder="0" applyAlignment="0" applyProtection="0"/>
    <xf numFmtId="0" fontId="17" fillId="30" borderId="0" applyNumberFormat="0" applyBorder="0" applyAlignment="0" applyProtection="0"/>
    <xf numFmtId="0" fontId="17" fillId="30"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30"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7"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35" borderId="0" applyNumberFormat="0" applyBorder="0" applyAlignment="0" applyProtection="0"/>
    <xf numFmtId="0" fontId="17" fillId="43"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164" fontId="37" fillId="0" borderId="1" applyAlignment="0" applyProtection="0"/>
    <xf numFmtId="164" fontId="37" fillId="0" borderId="1" applyAlignment="0" applyProtection="0"/>
    <xf numFmtId="164" fontId="50" fillId="0" borderId="1" applyAlignment="0" applyProtection="0"/>
    <xf numFmtId="164" fontId="52" fillId="0" borderId="1" applyAlignment="0" applyProtection="0"/>
    <xf numFmtId="164" fontId="37" fillId="0" borderId="1" applyAlignment="0" applyProtection="0"/>
    <xf numFmtId="164" fontId="37" fillId="0" borderId="1" applyAlignment="0" applyProtection="0"/>
    <xf numFmtId="201" fontId="67" fillId="0" borderId="2" applyAlignment="0" applyProtection="0"/>
    <xf numFmtId="201" fontId="37" fillId="0" borderId="2" applyAlignment="0" applyProtection="0"/>
    <xf numFmtId="164" fontId="67" fillId="0" borderId="1" applyAlignment="0" applyProtection="0"/>
    <xf numFmtId="164" fontId="37" fillId="0" borderId="1" applyAlignment="0" applyProtection="0"/>
    <xf numFmtId="0" fontId="20" fillId="0" borderId="0" applyFill="0" applyBorder="0" applyAlignment="0"/>
    <xf numFmtId="0" fontId="18" fillId="0" borderId="0" applyFill="0" applyBorder="0" applyAlignment="0"/>
    <xf numFmtId="0" fontId="18" fillId="0" borderId="0" applyFill="0" applyBorder="0" applyAlignment="0"/>
    <xf numFmtId="184" fontId="29" fillId="0" borderId="0" applyFill="0" applyBorder="0" applyAlignment="0"/>
    <xf numFmtId="184" fontId="29" fillId="0" borderId="0" applyFill="0" applyBorder="0" applyAlignment="0"/>
    <xf numFmtId="203" fontId="18" fillId="0" borderId="0" applyFill="0" applyBorder="0" applyAlignment="0"/>
    <xf numFmtId="184" fontId="54" fillId="0" borderId="0" applyFill="0" applyBorder="0" applyAlignment="0"/>
    <xf numFmtId="203" fontId="18" fillId="0" borderId="0" applyFill="0" applyBorder="0" applyAlignment="0"/>
    <xf numFmtId="172" fontId="29" fillId="0" borderId="0" applyFill="0" applyBorder="0" applyAlignment="0"/>
    <xf numFmtId="172" fontId="29" fillId="0" borderId="0" applyFill="0" applyBorder="0" applyAlignment="0"/>
    <xf numFmtId="188" fontId="18" fillId="0" borderId="0" applyFill="0" applyBorder="0" applyAlignment="0"/>
    <xf numFmtId="172" fontId="54" fillId="0" borderId="0" applyFill="0" applyBorder="0" applyAlignment="0"/>
    <xf numFmtId="188" fontId="18" fillId="0" borderId="0" applyFill="0" applyBorder="0" applyAlignment="0"/>
    <xf numFmtId="178" fontId="29" fillId="0" borderId="0" applyFill="0" applyBorder="0" applyAlignment="0"/>
    <xf numFmtId="178" fontId="29" fillId="0" borderId="0" applyFill="0" applyBorder="0" applyAlignment="0"/>
    <xf numFmtId="0" fontId="88" fillId="0" borderId="0" applyFill="0" applyBorder="0" applyAlignment="0"/>
    <xf numFmtId="178" fontId="54" fillId="0" borderId="0" applyFill="0" applyBorder="0" applyAlignment="0"/>
    <xf numFmtId="179" fontId="29" fillId="0" borderId="0" applyFill="0" applyBorder="0" applyAlignment="0"/>
    <xf numFmtId="179" fontId="29" fillId="0" borderId="0" applyFill="0" applyBorder="0" applyAlignment="0"/>
    <xf numFmtId="192" fontId="18" fillId="0" borderId="0" applyFill="0" applyBorder="0" applyAlignment="0"/>
    <xf numFmtId="179" fontId="54" fillId="0" borderId="0" applyFill="0" applyBorder="0" applyAlignment="0"/>
    <xf numFmtId="192" fontId="18" fillId="0" borderId="0" applyFill="0" applyBorder="0" applyAlignment="0"/>
    <xf numFmtId="183" fontId="29" fillId="0" borderId="0" applyFill="0" applyBorder="0" applyAlignment="0"/>
    <xf numFmtId="183" fontId="29" fillId="0" borderId="0" applyFill="0" applyBorder="0" applyAlignment="0"/>
    <xf numFmtId="201" fontId="18" fillId="0" borderId="0" applyFill="0" applyBorder="0" applyAlignment="0"/>
    <xf numFmtId="183" fontId="54" fillId="0" borderId="0" applyFill="0" applyBorder="0" applyAlignment="0"/>
    <xf numFmtId="201" fontId="18" fillId="0" borderId="0" applyFill="0" applyBorder="0" applyAlignment="0"/>
    <xf numFmtId="180" fontId="29" fillId="0" borderId="0" applyFill="0" applyBorder="0" applyAlignment="0"/>
    <xf numFmtId="180" fontId="29" fillId="0" borderId="0" applyFill="0" applyBorder="0" applyAlignment="0"/>
    <xf numFmtId="193" fontId="18" fillId="0" borderId="0" applyFill="0" applyBorder="0" applyAlignment="0"/>
    <xf numFmtId="180" fontId="54" fillId="0" borderId="0" applyFill="0" applyBorder="0" applyAlignment="0"/>
    <xf numFmtId="193" fontId="18" fillId="0" borderId="0" applyFill="0" applyBorder="0" applyAlignment="0"/>
    <xf numFmtId="184" fontId="29" fillId="0" borderId="0" applyFill="0" applyBorder="0" applyAlignment="0"/>
    <xf numFmtId="184" fontId="29" fillId="0" borderId="0" applyFill="0" applyBorder="0" applyAlignment="0"/>
    <xf numFmtId="203" fontId="18" fillId="0" borderId="0" applyFill="0" applyBorder="0" applyAlignment="0"/>
    <xf numFmtId="184" fontId="54" fillId="0" borderId="0" applyFill="0" applyBorder="0" applyAlignment="0"/>
    <xf numFmtId="203" fontId="18" fillId="0" borderId="0" applyFill="0" applyBorder="0" applyAlignment="0"/>
    <xf numFmtId="0" fontId="11" fillId="22" borderId="3" applyNumberFormat="0" applyAlignment="0" applyProtection="0"/>
    <xf numFmtId="0" fontId="11" fillId="22" borderId="3" applyNumberFormat="0" applyAlignment="0" applyProtection="0"/>
    <xf numFmtId="0" fontId="11" fillId="22" borderId="3" applyNumberFormat="0" applyAlignment="0" applyProtection="0"/>
    <xf numFmtId="0" fontId="11" fillId="44" borderId="3" applyNumberFormat="0" applyAlignment="0" applyProtection="0"/>
    <xf numFmtId="0" fontId="11" fillId="22" borderId="3" applyNumberFormat="0" applyAlignment="0" applyProtection="0"/>
    <xf numFmtId="0" fontId="11" fillId="22" borderId="3" applyNumberFormat="0" applyAlignment="0" applyProtection="0"/>
    <xf numFmtId="0" fontId="11" fillId="22" borderId="3" applyNumberFormat="0" applyAlignment="0" applyProtection="0"/>
    <xf numFmtId="0" fontId="11" fillId="22" borderId="3" applyNumberFormat="0" applyAlignment="0" applyProtection="0"/>
    <xf numFmtId="0" fontId="13" fillId="42" borderId="4" applyNumberFormat="0" applyAlignment="0" applyProtection="0"/>
    <xf numFmtId="0" fontId="13" fillId="42" borderId="4" applyNumberFormat="0" applyAlignment="0" applyProtection="0"/>
    <xf numFmtId="0" fontId="13" fillId="42" borderId="4" applyNumberFormat="0" applyAlignment="0" applyProtection="0"/>
    <xf numFmtId="0" fontId="13" fillId="45" borderId="4" applyNumberFormat="0" applyAlignment="0" applyProtection="0"/>
    <xf numFmtId="0" fontId="13" fillId="42" borderId="4" applyNumberFormat="0" applyAlignment="0" applyProtection="0"/>
    <xf numFmtId="0" fontId="13" fillId="42" borderId="4" applyNumberFormat="0" applyAlignment="0" applyProtection="0"/>
    <xf numFmtId="0" fontId="13" fillId="42" borderId="4" applyNumberFormat="0" applyAlignment="0" applyProtection="0"/>
    <xf numFmtId="0" fontId="13" fillId="42" borderId="4" applyNumberFormat="0" applyAlignment="0" applyProtection="0"/>
    <xf numFmtId="169" fontId="51" fillId="0" borderId="0" applyFont="0" applyFill="0" applyBorder="0" applyAlignment="0" applyProtection="0"/>
    <xf numFmtId="167" fontId="18" fillId="0" borderId="0" applyFont="0" applyFill="0" applyBorder="0" applyAlignment="0" applyProtection="0"/>
    <xf numFmtId="183" fontId="18" fillId="0" borderId="0" applyFont="0" applyFill="0" applyBorder="0" applyAlignment="0" applyProtection="0"/>
    <xf numFmtId="183" fontId="18" fillId="0" borderId="0" applyFont="0" applyFill="0" applyBorder="0" applyAlignment="0" applyProtection="0"/>
    <xf numFmtId="183" fontId="1" fillId="0" borderId="0" applyFont="0" applyFill="0" applyBorder="0" applyAlignment="0" applyProtection="0"/>
    <xf numFmtId="201" fontId="18" fillId="0" borderId="0" applyFill="0" applyBorder="0" applyAlignment="0" applyProtection="0"/>
    <xf numFmtId="183" fontId="1" fillId="0" borderId="0" applyFont="0" applyFill="0" applyBorder="0" applyAlignment="0" applyProtection="0"/>
    <xf numFmtId="201" fontId="18" fillId="0" borderId="0" applyFill="0" applyBorder="0" applyAlignment="0" applyProtection="0"/>
    <xf numFmtId="183" fontId="54"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53"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90" fontId="18" fillId="0" borderId="0" applyFill="0" applyBorder="0" applyAlignment="0" applyProtection="0"/>
    <xf numFmtId="169" fontId="1" fillId="0" borderId="0" applyFont="0" applyFill="0" applyBorder="0" applyAlignment="0" applyProtection="0"/>
    <xf numFmtId="190" fontId="18" fillId="0" borderId="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85" fontId="18" fillId="0" borderId="0" applyFill="0" applyBorder="0" applyAlignment="0" applyProtection="0"/>
    <xf numFmtId="190" fontId="18" fillId="0" borderId="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90" fontId="18" fillId="0" borderId="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90" fontId="18" fillId="0" borderId="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90" fontId="18" fillId="0" borderId="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90" fontId="18" fillId="0" borderId="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8"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95" fontId="84" fillId="0" borderId="0"/>
    <xf numFmtId="195" fontId="84" fillId="0" borderId="0"/>
    <xf numFmtId="167" fontId="18" fillId="0" borderId="0" applyFont="0" applyFill="0" applyBorder="0" applyAlignment="0" applyProtection="0">
      <alignment vertical="center"/>
    </xf>
    <xf numFmtId="0" fontId="86" fillId="0" borderId="0" applyNumberFormat="0" applyFill="0" applyBorder="0" applyAlignment="0" applyProtection="0"/>
    <xf numFmtId="0" fontId="90" fillId="0" borderId="0" applyNumberFormat="0" applyFill="0" applyBorder="0" applyAlignment="0" applyProtection="0"/>
    <xf numFmtId="184" fontId="18" fillId="0" borderId="0" applyFont="0" applyFill="0" applyBorder="0" applyAlignment="0" applyProtection="0"/>
    <xf numFmtId="184" fontId="18" fillId="0" borderId="0" applyFont="0" applyFill="0" applyBorder="0" applyAlignment="0" applyProtection="0"/>
    <xf numFmtId="184" fontId="1" fillId="0" borderId="0" applyFont="0" applyFill="0" applyBorder="0" applyAlignment="0" applyProtection="0"/>
    <xf numFmtId="203" fontId="18" fillId="0" borderId="0" applyFill="0" applyBorder="0" applyAlignment="0" applyProtection="0"/>
    <xf numFmtId="184" fontId="1" fillId="0" borderId="0" applyFont="0" applyFill="0" applyBorder="0" applyAlignment="0" applyProtection="0"/>
    <xf numFmtId="203" fontId="18" fillId="0" borderId="0" applyFill="0" applyBorder="0" applyAlignment="0" applyProtection="0"/>
    <xf numFmtId="184" fontId="54"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53"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86" fontId="18" fillId="0" borderId="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2"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8"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86" fillId="0" borderId="0" applyNumberFormat="0" applyFill="0" applyBorder="0" applyAlignment="0" applyProtection="0"/>
    <xf numFmtId="0" fontId="90" fillId="0" borderId="0" applyNumberFormat="0" applyFill="0" applyBorder="0" applyAlignment="0" applyProtection="0"/>
    <xf numFmtId="200" fontId="84" fillId="0" borderId="0"/>
    <xf numFmtId="200" fontId="84" fillId="0" borderId="0"/>
    <xf numFmtId="14" fontId="20" fillId="0" borderId="0" applyFill="0" applyBorder="0" applyAlignment="0"/>
    <xf numFmtId="14" fontId="20" fillId="0" borderId="0" applyFill="0" applyBorder="0" applyAlignment="0"/>
    <xf numFmtId="194" fontId="84" fillId="0" borderId="0"/>
    <xf numFmtId="194" fontId="84" fillId="0" borderId="0"/>
    <xf numFmtId="168" fontId="29" fillId="0" borderId="0" applyFill="0" applyBorder="0" applyAlignment="0"/>
    <xf numFmtId="168" fontId="29" fillId="0" borderId="0" applyFill="0" applyBorder="0" applyAlignment="0"/>
    <xf numFmtId="0" fontId="18" fillId="0" borderId="0" applyFill="0" applyBorder="0" applyAlignment="0"/>
    <xf numFmtId="168" fontId="54" fillId="0" borderId="0" applyFill="0" applyBorder="0" applyAlignment="0"/>
    <xf numFmtId="0" fontId="18" fillId="0" borderId="0" applyFill="0" applyBorder="0" applyAlignment="0"/>
    <xf numFmtId="175" fontId="29" fillId="0" borderId="0" applyFill="0" applyBorder="0" applyAlignment="0"/>
    <xf numFmtId="175" fontId="29" fillId="0" borderId="0" applyFill="0" applyBorder="0" applyAlignment="0"/>
    <xf numFmtId="203" fontId="18" fillId="0" borderId="0" applyFill="0" applyBorder="0" applyAlignment="0"/>
    <xf numFmtId="175" fontId="54" fillId="0" borderId="0" applyFill="0" applyBorder="0" applyAlignment="0"/>
    <xf numFmtId="203" fontId="18" fillId="0" borderId="0" applyFill="0" applyBorder="0" applyAlignment="0"/>
    <xf numFmtId="168" fontId="29" fillId="0" borderId="0" applyFill="0" applyBorder="0" applyAlignment="0"/>
    <xf numFmtId="168" fontId="29" fillId="0" borderId="0" applyFill="0" applyBorder="0" applyAlignment="0"/>
    <xf numFmtId="201" fontId="18" fillId="0" borderId="0" applyFill="0" applyBorder="0" applyAlignment="0"/>
    <xf numFmtId="168" fontId="54" fillId="0" borderId="0" applyFill="0" applyBorder="0" applyAlignment="0"/>
    <xf numFmtId="201" fontId="18" fillId="0" borderId="0" applyFill="0" applyBorder="0" applyAlignment="0"/>
    <xf numFmtId="178" fontId="29" fillId="0" borderId="0" applyFill="0" applyBorder="0" applyAlignment="0"/>
    <xf numFmtId="178" fontId="29" fillId="0" borderId="0" applyFill="0" applyBorder="0" applyAlignment="0"/>
    <xf numFmtId="193" fontId="18" fillId="0" borderId="0" applyFill="0" applyBorder="0" applyAlignment="0"/>
    <xf numFmtId="178" fontId="54" fillId="0" borderId="0" applyFill="0" applyBorder="0" applyAlignment="0"/>
    <xf numFmtId="193" fontId="18" fillId="0" borderId="0" applyFill="0" applyBorder="0" applyAlignment="0"/>
    <xf numFmtId="175" fontId="29" fillId="0" borderId="0" applyFill="0" applyBorder="0" applyAlignment="0"/>
    <xf numFmtId="175" fontId="29" fillId="0" borderId="0" applyFill="0" applyBorder="0" applyAlignment="0"/>
    <xf numFmtId="203" fontId="18" fillId="0" borderId="0" applyFill="0" applyBorder="0" applyAlignment="0"/>
    <xf numFmtId="175" fontId="54" fillId="0" borderId="0" applyFill="0" applyBorder="0" applyAlignment="0"/>
    <xf numFmtId="203" fontId="18" fillId="0" borderId="0" applyFill="0" applyBorder="0" applyAlignment="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38" fontId="38" fillId="22" borderId="0" applyNumberFormat="0" applyBorder="0" applyAlignment="0" applyProtection="0"/>
    <xf numFmtId="0" fontId="22" fillId="0" borderId="5" applyNumberFormat="0" applyAlignment="0" applyProtection="0">
      <alignment horizontal="left" vertical="center"/>
    </xf>
    <xf numFmtId="0" fontId="22" fillId="0" borderId="6" applyNumberFormat="0" applyAlignment="0" applyProtection="0"/>
    <xf numFmtId="0" fontId="22" fillId="0" borderId="6" applyNumberFormat="0" applyAlignment="0" applyProtection="0"/>
    <xf numFmtId="0" fontId="22" fillId="0" borderId="7">
      <alignment horizontal="left" vertical="center"/>
    </xf>
    <xf numFmtId="0" fontId="22" fillId="0" borderId="8">
      <alignment horizontal="left" vertical="center"/>
    </xf>
    <xf numFmtId="0" fontId="22" fillId="0" borderId="8">
      <alignment horizontal="left" vertical="center"/>
    </xf>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60" fillId="0" borderId="10" applyNumberFormat="0" applyFill="0" applyAlignment="0" applyProtection="0"/>
    <xf numFmtId="0" fontId="86" fillId="0" borderId="0" applyNumberFormat="0" applyFill="0" applyBorder="0" applyAlignment="0" applyProtection="0"/>
    <xf numFmtId="0" fontId="90" fillId="0" borderId="0" applyNumberFormat="0" applyFill="0" applyBorder="0" applyAlignment="0" applyProtection="0"/>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4" fillId="0" borderId="11" applyNumberFormat="0" applyFill="0" applyAlignment="0" applyProtection="0"/>
    <xf numFmtId="0" fontId="4" fillId="0" borderId="11" applyNumberFormat="0" applyFill="0" applyAlignment="0" applyProtection="0"/>
    <xf numFmtId="0" fontId="4" fillId="0" borderId="11" applyNumberFormat="0" applyFill="0" applyAlignment="0" applyProtection="0"/>
    <xf numFmtId="0" fontId="61" fillId="0" borderId="12" applyNumberFormat="0" applyFill="0" applyAlignment="0" applyProtection="0"/>
    <xf numFmtId="0" fontId="86" fillId="0" borderId="0" applyNumberFormat="0" applyFill="0" applyBorder="0" applyAlignment="0" applyProtection="0"/>
    <xf numFmtId="0" fontId="90" fillId="0" borderId="0" applyNumberFormat="0" applyFill="0" applyBorder="0" applyAlignment="0" applyProtection="0"/>
    <xf numFmtId="0" fontId="4" fillId="0" borderId="11" applyNumberFormat="0" applyFill="0" applyAlignment="0" applyProtection="0"/>
    <xf numFmtId="0" fontId="4" fillId="0" borderId="11" applyNumberFormat="0" applyFill="0" applyAlignment="0" applyProtection="0"/>
    <xf numFmtId="0" fontId="4" fillId="0" borderId="11" applyNumberFormat="0" applyFill="0" applyAlignment="0" applyProtection="0"/>
    <xf numFmtId="0" fontId="4" fillId="0" borderId="11" applyNumberFormat="0" applyFill="0" applyAlignment="0" applyProtection="0"/>
    <xf numFmtId="0" fontId="4" fillId="0" borderId="11" applyNumberFormat="0" applyFill="0" applyAlignment="0" applyProtection="0"/>
    <xf numFmtId="0" fontId="5" fillId="0" borderId="13" applyNumberFormat="0" applyFill="0" applyAlignment="0" applyProtection="0"/>
    <xf numFmtId="0" fontId="5" fillId="0" borderId="13" applyNumberFormat="0" applyFill="0" applyAlignment="0" applyProtection="0"/>
    <xf numFmtId="0" fontId="5" fillId="0" borderId="13" applyNumberFormat="0" applyFill="0" applyAlignment="0" applyProtection="0"/>
    <xf numFmtId="0" fontId="62" fillId="0" borderId="14" applyNumberFormat="0" applyFill="0" applyAlignment="0" applyProtection="0"/>
    <xf numFmtId="0" fontId="5" fillId="0" borderId="13" applyNumberFormat="0" applyFill="0" applyAlignment="0" applyProtection="0"/>
    <xf numFmtId="0" fontId="5" fillId="0" borderId="13" applyNumberFormat="0" applyFill="0" applyAlignment="0" applyProtection="0"/>
    <xf numFmtId="0" fontId="5" fillId="0" borderId="13" applyNumberFormat="0" applyFill="0" applyAlignment="0" applyProtection="0"/>
    <xf numFmtId="0" fontId="5" fillId="0" borderId="13" applyNumberFormat="0" applyFill="0" applyAlignment="0" applyProtection="0"/>
    <xf numFmtId="0" fontId="5" fillId="0" borderId="13"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2"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49" fillId="0" borderId="0" applyNumberFormat="0" applyFill="0" applyBorder="0" applyAlignment="0" applyProtection="0">
      <alignment vertical="top"/>
      <protection locked="0"/>
    </xf>
    <xf numFmtId="0" fontId="38" fillId="14" borderId="15" applyNumberFormat="0" applyBorder="0" applyAlignment="0" applyProtection="0"/>
    <xf numFmtId="0" fontId="38" fillId="14" borderId="15" applyNumberFormat="0" applyBorder="0" applyAlignment="0" applyProtection="0"/>
    <xf numFmtId="0" fontId="38" fillId="14" borderId="0" applyNumberFormat="0" applyBorder="0" applyAlignment="0" applyProtection="0"/>
    <xf numFmtId="10" fontId="38" fillId="14" borderId="15" applyNumberFormat="0" applyBorder="0" applyAlignment="0" applyProtection="0"/>
    <xf numFmtId="0" fontId="38" fillId="14" borderId="0" applyNumberFormat="0" applyBorder="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8" borderId="3" applyNumberFormat="0" applyAlignment="0" applyProtection="0"/>
    <xf numFmtId="0" fontId="9" fillId="16" borderId="3" applyNumberFormat="0" applyAlignment="0" applyProtection="0"/>
    <xf numFmtId="0" fontId="9" fillId="8" borderId="3" applyNumberFormat="0" applyAlignment="0" applyProtection="0"/>
    <xf numFmtId="0" fontId="9" fillId="16" borderId="3" applyNumberFormat="0" applyAlignment="0" applyProtection="0"/>
    <xf numFmtId="0" fontId="9" fillId="8" borderId="3" applyNumberFormat="0" applyAlignment="0" applyProtection="0"/>
    <xf numFmtId="0" fontId="9" fillId="16" borderId="3" applyNumberFormat="0" applyAlignment="0" applyProtection="0"/>
    <xf numFmtId="0" fontId="9" fillId="8" borderId="3" applyNumberFormat="0" applyAlignment="0" applyProtection="0"/>
    <xf numFmtId="0" fontId="9" fillId="16" borderId="3" applyNumberFormat="0" applyAlignment="0" applyProtection="0"/>
    <xf numFmtId="0" fontId="9" fillId="8" borderId="3" applyNumberFormat="0" applyAlignment="0" applyProtection="0"/>
    <xf numFmtId="0" fontId="9" fillId="8" borderId="3" applyNumberFormat="0" applyAlignment="0" applyProtection="0"/>
    <xf numFmtId="10" fontId="39" fillId="0" borderId="15"/>
    <xf numFmtId="10" fontId="39" fillId="0" borderId="16"/>
    <xf numFmtId="10" fontId="39" fillId="0" borderId="16"/>
    <xf numFmtId="168" fontId="29" fillId="0" borderId="0" applyFill="0" applyBorder="0" applyAlignment="0"/>
    <xf numFmtId="168" fontId="29" fillId="0" borderId="0" applyFill="0" applyBorder="0" applyAlignment="0"/>
    <xf numFmtId="0" fontId="18" fillId="0" borderId="0" applyFill="0" applyBorder="0" applyAlignment="0"/>
    <xf numFmtId="168" fontId="54" fillId="0" borderId="0" applyFill="0" applyBorder="0" applyAlignment="0"/>
    <xf numFmtId="0" fontId="18" fillId="0" borderId="0" applyFill="0" applyBorder="0" applyAlignment="0"/>
    <xf numFmtId="175" fontId="29" fillId="0" borderId="0" applyFill="0" applyBorder="0" applyAlignment="0"/>
    <xf numFmtId="175" fontId="29" fillId="0" borderId="0" applyFill="0" applyBorder="0" applyAlignment="0"/>
    <xf numFmtId="203" fontId="18" fillId="0" borderId="0" applyFill="0" applyBorder="0" applyAlignment="0"/>
    <xf numFmtId="175" fontId="54" fillId="0" borderId="0" applyFill="0" applyBorder="0" applyAlignment="0"/>
    <xf numFmtId="203" fontId="18" fillId="0" borderId="0" applyFill="0" applyBorder="0" applyAlignment="0"/>
    <xf numFmtId="168" fontId="29" fillId="0" borderId="0" applyFill="0" applyBorder="0" applyAlignment="0"/>
    <xf numFmtId="168" fontId="29" fillId="0" borderId="0" applyFill="0" applyBorder="0" applyAlignment="0"/>
    <xf numFmtId="201" fontId="18" fillId="0" borderId="0" applyFill="0" applyBorder="0" applyAlignment="0"/>
    <xf numFmtId="168" fontId="54" fillId="0" borderId="0" applyFill="0" applyBorder="0" applyAlignment="0"/>
    <xf numFmtId="201" fontId="18" fillId="0" borderId="0" applyFill="0" applyBorder="0" applyAlignment="0"/>
    <xf numFmtId="178" fontId="29" fillId="0" borderId="0" applyFill="0" applyBorder="0" applyAlignment="0"/>
    <xf numFmtId="178" fontId="29" fillId="0" borderId="0" applyFill="0" applyBorder="0" applyAlignment="0"/>
    <xf numFmtId="193" fontId="18" fillId="0" borderId="0" applyFill="0" applyBorder="0" applyAlignment="0"/>
    <xf numFmtId="178" fontId="54" fillId="0" borderId="0" applyFill="0" applyBorder="0" applyAlignment="0"/>
    <xf numFmtId="193" fontId="18" fillId="0" borderId="0" applyFill="0" applyBorder="0" applyAlignment="0"/>
    <xf numFmtId="175" fontId="29" fillId="0" borderId="0" applyFill="0" applyBorder="0" applyAlignment="0"/>
    <xf numFmtId="175" fontId="29" fillId="0" borderId="0" applyFill="0" applyBorder="0" applyAlignment="0"/>
    <xf numFmtId="203" fontId="18" fillId="0" borderId="0" applyFill="0" applyBorder="0" applyAlignment="0"/>
    <xf numFmtId="175" fontId="54" fillId="0" borderId="0" applyFill="0" applyBorder="0" applyAlignment="0"/>
    <xf numFmtId="203" fontId="18" fillId="0" borderId="0" applyFill="0" applyBorder="0" applyAlignment="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0" fontId="12" fillId="0" borderId="17" applyNumberFormat="0" applyFill="0" applyAlignment="0" applyProtection="0"/>
    <xf numFmtId="177" fontId="18" fillId="0" borderId="0" applyFill="0" applyBorder="0" applyAlignment="0" applyProtection="0"/>
    <xf numFmtId="205" fontId="18" fillId="0" borderId="0" applyFill="0" applyBorder="0" applyAlignment="0" applyProtection="0"/>
    <xf numFmtId="202" fontId="18" fillId="0" borderId="0" applyFill="0" applyBorder="0" applyAlignment="0" applyProtection="0"/>
    <xf numFmtId="199" fontId="18" fillId="0" borderId="0" applyFill="0" applyBorder="0" applyAlignment="0" applyProtection="0"/>
    <xf numFmtId="206" fontId="18" fillId="0" borderId="0" applyFill="0" applyBorder="0" applyAlignment="0" applyProtection="0"/>
    <xf numFmtId="207" fontId="18" fillId="0" borderId="0" applyFill="0" applyBorder="0" applyAlignment="0" applyProtection="0"/>
    <xf numFmtId="197" fontId="18" fillId="0" borderId="0" applyFill="0" applyBorder="0" applyAlignment="0" applyProtection="0"/>
    <xf numFmtId="191" fontId="18" fillId="0" borderId="0" applyFill="0" applyBorder="0" applyAlignment="0" applyProtection="0"/>
    <xf numFmtId="206" fontId="18" fillId="0" borderId="0" applyFill="0" applyBorder="0" applyAlignment="0" applyProtection="0"/>
    <xf numFmtId="207" fontId="18" fillId="0" borderId="0" applyFill="0" applyBorder="0" applyAlignment="0" applyProtection="0"/>
    <xf numFmtId="0" fontId="32" fillId="0" borderId="0"/>
    <xf numFmtId="0" fontId="32" fillId="0" borderId="0"/>
    <xf numFmtId="0" fontId="55" fillId="0" borderId="0"/>
    <xf numFmtId="0" fontId="40" fillId="0" borderId="0"/>
    <xf numFmtId="0" fontId="40" fillId="0" borderId="0"/>
    <xf numFmtId="0" fontId="56" fillId="0" borderId="0"/>
    <xf numFmtId="0" fontId="41" fillId="0" borderId="0">
      <alignment vertical="center"/>
      <protection locked="0"/>
    </xf>
    <xf numFmtId="0" fontId="41" fillId="0" borderId="0">
      <alignment vertical="center"/>
      <protection locked="0"/>
    </xf>
    <xf numFmtId="0" fontId="57" fillId="0" borderId="0">
      <alignment vertical="center"/>
      <protection locked="0"/>
    </xf>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46"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4" fillId="0" borderId="0"/>
    <xf numFmtId="0" fontId="84" fillId="0" borderId="0"/>
    <xf numFmtId="176" fontId="35" fillId="0" borderId="0"/>
    <xf numFmtId="176" fontId="35" fillId="0" borderId="0"/>
    <xf numFmtId="176" fontId="85" fillId="0" borderId="0"/>
    <xf numFmtId="176" fontId="58" fillId="0" borderId="0"/>
    <xf numFmtId="176" fontId="85"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0"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 fillId="0" borderId="0"/>
    <xf numFmtId="0" fontId="46" fillId="0" borderId="0">
      <alignment vertical="center"/>
    </xf>
    <xf numFmtId="0" fontId="18" fillId="0" borderId="0"/>
    <xf numFmtId="0" fontId="82" fillId="0" borderId="0"/>
    <xf numFmtId="0" fontId="18" fillId="0" borderId="0"/>
    <xf numFmtId="0" fontId="18"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9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21" fillId="0" borderId="0">
      <alignment vertical="center"/>
    </xf>
    <xf numFmtId="0" fontId="18" fillId="0" borderId="0"/>
    <xf numFmtId="0" fontId="18" fillId="14" borderId="18" applyNumberFormat="0" applyFont="0" applyAlignment="0" applyProtection="0"/>
    <xf numFmtId="0" fontId="18" fillId="14" borderId="18" applyNumberFormat="0" applyAlignment="0" applyProtection="0"/>
    <xf numFmtId="0" fontId="18" fillId="14" borderId="18" applyNumberFormat="0" applyAlignment="0" applyProtection="0"/>
    <xf numFmtId="0" fontId="1" fillId="14" borderId="18" applyNumberFormat="0" applyFont="0" applyAlignment="0" applyProtection="0"/>
    <xf numFmtId="0" fontId="18" fillId="47" borderId="18" applyNumberFormat="0" applyFont="0" applyAlignment="0" applyProtection="0"/>
    <xf numFmtId="0" fontId="18" fillId="14" borderId="18" applyNumberFormat="0" applyAlignment="0" applyProtection="0"/>
    <xf numFmtId="0" fontId="18" fillId="14" borderId="18" applyNumberFormat="0" applyAlignment="0" applyProtection="0"/>
    <xf numFmtId="0" fontId="1" fillId="14" borderId="18" applyNumberFormat="0" applyFont="0" applyAlignment="0" applyProtection="0"/>
    <xf numFmtId="0" fontId="1" fillId="14" borderId="18" applyNumberFormat="0" applyFont="0" applyAlignment="0" applyProtection="0"/>
    <xf numFmtId="0" fontId="18" fillId="14" borderId="18" applyNumberFormat="0" applyAlignment="0" applyProtection="0"/>
    <xf numFmtId="0" fontId="18" fillId="14" borderId="18" applyNumberFormat="0" applyAlignment="0" applyProtection="0"/>
    <xf numFmtId="40" fontId="18" fillId="0" borderId="0" applyFont="0" applyFill="0" applyBorder="0" applyAlignment="0" applyProtection="0"/>
    <xf numFmtId="38" fontId="18" fillId="0" borderId="0" applyFont="0" applyFill="0" applyBorder="0" applyAlignment="0" applyProtection="0"/>
    <xf numFmtId="0" fontId="10" fillId="22" borderId="19" applyNumberFormat="0" applyAlignment="0" applyProtection="0"/>
    <xf numFmtId="0" fontId="10" fillId="22" borderId="19" applyNumberFormat="0" applyAlignment="0" applyProtection="0"/>
    <xf numFmtId="0" fontId="10" fillId="22" borderId="19" applyNumberFormat="0" applyAlignment="0" applyProtection="0"/>
    <xf numFmtId="0" fontId="10" fillId="44" borderId="19" applyNumberFormat="0" applyAlignment="0" applyProtection="0"/>
    <xf numFmtId="0" fontId="10" fillId="22" borderId="19" applyNumberFormat="0" applyAlignment="0" applyProtection="0"/>
    <xf numFmtId="0" fontId="10" fillId="22" borderId="19" applyNumberFormat="0" applyAlignment="0" applyProtection="0"/>
    <xf numFmtId="0" fontId="10" fillId="22" borderId="19" applyNumberFormat="0" applyAlignment="0" applyProtection="0"/>
    <xf numFmtId="0" fontId="10" fillId="22" borderId="19" applyNumberFormat="0" applyAlignment="0" applyProtection="0"/>
    <xf numFmtId="0" fontId="38" fillId="0" borderId="0" applyFill="0" applyBorder="0" applyProtection="0">
      <alignment horizontal="center" vertical="center"/>
    </xf>
    <xf numFmtId="0" fontId="38" fillId="0" borderId="0" applyFill="0" applyBorder="0" applyProtection="0">
      <alignment horizontal="center" vertical="center"/>
    </xf>
    <xf numFmtId="9" fontId="51" fillId="0" borderId="0" applyFont="0" applyFill="0" applyBorder="0" applyAlignment="0" applyProtection="0"/>
    <xf numFmtId="172" fontId="18" fillId="0" borderId="0" applyFont="0" applyFill="0" applyBorder="0" applyAlignment="0" applyProtection="0"/>
    <xf numFmtId="172" fontId="18" fillId="0" borderId="0" applyFont="0" applyFill="0" applyBorder="0" applyAlignment="0" applyProtection="0"/>
    <xf numFmtId="172" fontId="1" fillId="0" borderId="0" applyFont="0" applyFill="0" applyBorder="0" applyAlignment="0" applyProtection="0"/>
    <xf numFmtId="172" fontId="18" fillId="0" borderId="0" applyFill="0" applyBorder="0" applyAlignment="0" applyProtection="0"/>
    <xf numFmtId="172" fontId="1" fillId="0" borderId="0" applyFont="0" applyFill="0" applyBorder="0" applyAlignment="0" applyProtection="0"/>
    <xf numFmtId="172" fontId="18" fillId="0" borderId="0" applyFill="0" applyBorder="0" applyAlignment="0" applyProtection="0"/>
    <xf numFmtId="172" fontId="54" fillId="0" borderId="0" applyFont="0" applyFill="0" applyBorder="0" applyAlignment="0" applyProtection="0"/>
    <xf numFmtId="177" fontId="18" fillId="0" borderId="0" applyFont="0" applyFill="0" applyBorder="0" applyAlignment="0" applyProtection="0"/>
    <xf numFmtId="177" fontId="1" fillId="0" borderId="0" applyFont="0" applyFill="0" applyBorder="0" applyAlignment="0" applyProtection="0"/>
    <xf numFmtId="177" fontId="18" fillId="0" borderId="0" applyFill="0" applyBorder="0" applyAlignment="0" applyProtection="0"/>
    <xf numFmtId="177" fontId="18" fillId="0" borderId="0" applyFill="0" applyBorder="0" applyAlignment="0" applyProtection="0"/>
    <xf numFmtId="10" fontId="18" fillId="0" borderId="0" applyFont="0" applyFill="0" applyBorder="0" applyAlignment="0" applyProtection="0"/>
    <xf numFmtId="10" fontId="1" fillId="0" borderId="0" applyFont="0" applyFill="0" applyBorder="0" applyAlignment="0" applyProtection="0"/>
    <xf numFmtId="10" fontId="18" fillId="0" borderId="0" applyFill="0" applyBorder="0" applyAlignment="0" applyProtection="0"/>
    <xf numFmtId="10" fontId="18" fillId="0" borderId="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82" fillId="0" borderId="0" applyFont="0" applyFill="0" applyBorder="0" applyAlignment="0" applyProtection="0">
      <alignment vertical="center"/>
    </xf>
    <xf numFmtId="9" fontId="18" fillId="0" borderId="0" applyFont="0" applyFill="0" applyBorder="0" applyAlignment="0" applyProtection="0"/>
    <xf numFmtId="9" fontId="1" fillId="0" borderId="0" applyFont="0" applyFill="0" applyBorder="0" applyAlignment="0" applyProtection="0"/>
    <xf numFmtId="9" fontId="18" fillId="0" borderId="0" applyFill="0" applyBorder="0" applyAlignment="0" applyProtection="0"/>
    <xf numFmtId="9" fontId="1" fillId="0" borderId="0" applyFont="0" applyFill="0" applyBorder="0" applyAlignment="0" applyProtection="0"/>
    <xf numFmtId="9" fontId="46"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ill="0" applyBorder="0" applyAlignment="0" applyProtection="0"/>
    <xf numFmtId="9" fontId="8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168" fontId="29" fillId="0" borderId="0" applyFill="0" applyBorder="0" applyAlignment="0"/>
    <xf numFmtId="168" fontId="29" fillId="0" borderId="0" applyFill="0" applyBorder="0" applyAlignment="0"/>
    <xf numFmtId="0" fontId="18" fillId="0" borderId="0" applyFill="0" applyBorder="0" applyAlignment="0"/>
    <xf numFmtId="168" fontId="54" fillId="0" borderId="0" applyFill="0" applyBorder="0" applyAlignment="0"/>
    <xf numFmtId="0" fontId="18" fillId="0" borderId="0" applyFill="0" applyBorder="0" applyAlignment="0"/>
    <xf numFmtId="175" fontId="29" fillId="0" borderId="0" applyFill="0" applyBorder="0" applyAlignment="0"/>
    <xf numFmtId="175" fontId="29" fillId="0" borderId="0" applyFill="0" applyBorder="0" applyAlignment="0"/>
    <xf numFmtId="175" fontId="18" fillId="0" borderId="0" applyFill="0" applyBorder="0" applyAlignment="0"/>
    <xf numFmtId="175" fontId="54" fillId="0" borderId="0" applyFill="0" applyBorder="0" applyAlignment="0"/>
    <xf numFmtId="175" fontId="18" fillId="0" borderId="0" applyFill="0" applyBorder="0" applyAlignment="0"/>
    <xf numFmtId="168" fontId="29" fillId="0" borderId="0" applyFill="0" applyBorder="0" applyAlignment="0"/>
    <xf numFmtId="168" fontId="29" fillId="0" borderId="0" applyFill="0" applyBorder="0" applyAlignment="0"/>
    <xf numFmtId="208" fontId="18" fillId="0" borderId="0" applyFill="0" applyBorder="0" applyAlignment="0"/>
    <xf numFmtId="168" fontId="54" fillId="0" borderId="0" applyFill="0" applyBorder="0" applyAlignment="0"/>
    <xf numFmtId="208" fontId="18" fillId="0" borderId="0" applyFill="0" applyBorder="0" applyAlignment="0"/>
    <xf numFmtId="178" fontId="29" fillId="0" borderId="0" applyFill="0" applyBorder="0" applyAlignment="0"/>
    <xf numFmtId="178" fontId="29" fillId="0" borderId="0" applyFill="0" applyBorder="0" applyAlignment="0"/>
    <xf numFmtId="178" fontId="18" fillId="0" borderId="0" applyFill="0" applyBorder="0" applyAlignment="0"/>
    <xf numFmtId="178" fontId="54" fillId="0" borderId="0" applyFill="0" applyBorder="0" applyAlignment="0"/>
    <xf numFmtId="178" fontId="18" fillId="0" borderId="0" applyFill="0" applyBorder="0" applyAlignment="0"/>
    <xf numFmtId="175" fontId="29" fillId="0" borderId="0" applyFill="0" applyBorder="0" applyAlignment="0"/>
    <xf numFmtId="175" fontId="29" fillId="0" borderId="0" applyFill="0" applyBorder="0" applyAlignment="0"/>
    <xf numFmtId="175" fontId="18" fillId="0" borderId="0" applyFill="0" applyBorder="0" applyAlignment="0"/>
    <xf numFmtId="175" fontId="54" fillId="0" borderId="0" applyFill="0" applyBorder="0" applyAlignment="0"/>
    <xf numFmtId="175" fontId="18" fillId="0" borderId="0" applyFill="0" applyBorder="0" applyAlignment="0"/>
    <xf numFmtId="0" fontId="83" fillId="0" borderId="0" applyNumberFormat="0" applyBorder="0" applyAlignment="0"/>
    <xf numFmtId="0" fontId="83" fillId="0" borderId="0" applyNumberFormat="0" applyBorder="0" applyAlignment="0"/>
    <xf numFmtId="0" fontId="19" fillId="0" borderId="0" applyNumberFormat="0" applyFill="0" applyBorder="0" applyAlignment="0" applyProtection="0"/>
    <xf numFmtId="0" fontId="29" fillId="0" borderId="0"/>
    <xf numFmtId="0" fontId="18" fillId="0" borderId="0"/>
    <xf numFmtId="0" fontId="18" fillId="0" borderId="0"/>
    <xf numFmtId="0" fontId="18" fillId="0" borderId="0"/>
    <xf numFmtId="0" fontId="29" fillId="0" borderId="0"/>
    <xf numFmtId="0" fontId="54" fillId="0" borderId="0"/>
    <xf numFmtId="0" fontId="18" fillId="0" borderId="0"/>
    <xf numFmtId="0" fontId="89" fillId="0" borderId="0"/>
    <xf numFmtId="0" fontId="89" fillId="0" borderId="0"/>
    <xf numFmtId="0" fontId="18" fillId="0" borderId="0" applyNumberFormat="0" applyBorder="0" applyAlignment="0" applyProtection="0"/>
    <xf numFmtId="0" fontId="18" fillId="0" borderId="0" applyNumberFormat="0" applyBorder="0" applyAlignment="0" applyProtection="0"/>
    <xf numFmtId="49" fontId="20" fillId="0" borderId="0" applyFill="0" applyBorder="0" applyAlignment="0"/>
    <xf numFmtId="49" fontId="20" fillId="0" borderId="0" applyFill="0" applyBorder="0" applyAlignment="0"/>
    <xf numFmtId="179" fontId="29" fillId="0" borderId="0" applyFill="0" applyBorder="0" applyAlignment="0"/>
    <xf numFmtId="179" fontId="29" fillId="0" borderId="0" applyFill="0" applyBorder="0" applyAlignment="0"/>
    <xf numFmtId="0" fontId="18" fillId="0" borderId="0" applyFill="0" applyBorder="0" applyAlignment="0"/>
    <xf numFmtId="179" fontId="54" fillId="0" borderId="0" applyFill="0" applyBorder="0" applyAlignment="0"/>
    <xf numFmtId="0" fontId="18" fillId="0" borderId="0" applyFill="0" applyBorder="0" applyAlignment="0"/>
    <xf numFmtId="180" fontId="29" fillId="0" borderId="0" applyFill="0" applyBorder="0" applyAlignment="0"/>
    <xf numFmtId="180" fontId="29" fillId="0" borderId="0" applyFill="0" applyBorder="0" applyAlignment="0"/>
    <xf numFmtId="204" fontId="18" fillId="0" borderId="0" applyFill="0" applyBorder="0" applyAlignment="0"/>
    <xf numFmtId="180" fontId="54" fillId="0" borderId="0" applyFill="0" applyBorder="0" applyAlignment="0"/>
    <xf numFmtId="204" fontId="18" fillId="0" borderId="0" applyFill="0" applyBorder="0" applyAlignment="0"/>
    <xf numFmtId="40" fontId="87" fillId="0" borderId="0"/>
    <xf numFmtId="40" fontId="87" fillId="0" borderId="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63" fillId="0" borderId="0" applyNumberFormat="0" applyFill="0" applyBorder="0" applyAlignment="0" applyProtection="0"/>
    <xf numFmtId="0" fontId="45"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1" applyNumberFormat="0" applyFill="0" applyAlignment="0" applyProtection="0"/>
    <xf numFmtId="0" fontId="86" fillId="0" borderId="0" applyNumberFormat="0" applyFill="0" applyBorder="0" applyAlignment="0" applyProtection="0"/>
    <xf numFmtId="0" fontId="90" fillId="0" borderId="0" applyNumberFormat="0" applyFill="0" applyBorder="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0" fontId="16" fillId="0" borderId="20" applyNumberFormat="0" applyFill="0" applyAlignment="0" applyProtection="0"/>
    <xf numFmtId="41" fontId="18" fillId="0" borderId="0" applyFont="0" applyFill="0" applyBorder="0" applyAlignment="0" applyProtection="0"/>
    <xf numFmtId="43"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64" fillId="37" borderId="0" applyNumberFormat="0" applyBorder="0" applyAlignment="0" applyProtection="0">
      <alignment vertical="center"/>
    </xf>
    <xf numFmtId="0" fontId="64" fillId="39" borderId="0" applyNumberFormat="0" applyBorder="0" applyAlignment="0" applyProtection="0">
      <alignment vertical="center"/>
    </xf>
    <xf numFmtId="0" fontId="64" fillId="35" borderId="0" applyNumberFormat="0" applyBorder="0" applyAlignment="0" applyProtection="0">
      <alignment vertical="center"/>
    </xf>
    <xf numFmtId="0" fontId="64" fillId="29" borderId="0" applyNumberFormat="0" applyBorder="0" applyAlignment="0" applyProtection="0">
      <alignment vertical="center"/>
    </xf>
    <xf numFmtId="0" fontId="64" fillId="32" borderId="0" applyNumberFormat="0" applyBorder="0" applyAlignment="0" applyProtection="0">
      <alignment vertical="center"/>
    </xf>
    <xf numFmtId="0" fontId="64" fillId="40" borderId="0" applyNumberFormat="0" applyBorder="0" applyAlignment="0" applyProtection="0">
      <alignment vertical="center"/>
    </xf>
    <xf numFmtId="0" fontId="72" fillId="0" borderId="0" applyNumberFormat="0" applyFill="0" applyBorder="0" applyAlignment="0" applyProtection="0">
      <alignment vertical="center"/>
    </xf>
    <xf numFmtId="0" fontId="70" fillId="42" borderId="4" applyNumberFormat="0" applyAlignment="0" applyProtection="0">
      <alignment vertical="center"/>
    </xf>
    <xf numFmtId="0" fontId="73" fillId="23" borderId="0" applyNumberFormat="0" applyBorder="0" applyAlignment="0" applyProtection="0">
      <alignment vertical="center"/>
    </xf>
    <xf numFmtId="0" fontId="42" fillId="0" borderId="0" applyNumberFormat="0" applyFill="0" applyBorder="0" applyAlignment="0" applyProtection="0">
      <alignment vertical="top"/>
      <protection locked="0"/>
    </xf>
    <xf numFmtId="0" fontId="18" fillId="14" borderId="18" applyNumberFormat="0" applyFont="0" applyAlignment="0" applyProtection="0">
      <alignment vertical="center"/>
    </xf>
    <xf numFmtId="0" fontId="74" fillId="0" borderId="17" applyNumberFormat="0" applyFill="0" applyAlignment="0" applyProtection="0">
      <alignment vertical="center"/>
    </xf>
    <xf numFmtId="0" fontId="18" fillId="0" borderId="0"/>
    <xf numFmtId="0" fontId="71" fillId="8" borderId="3" applyNumberFormat="0" applyAlignment="0" applyProtection="0">
      <alignment vertical="center"/>
    </xf>
    <xf numFmtId="0" fontId="75" fillId="22" borderId="19" applyNumberFormat="0" applyAlignment="0" applyProtection="0">
      <alignment vertical="center"/>
    </xf>
    <xf numFmtId="193" fontId="18" fillId="0" borderId="0" applyFill="0" applyBorder="0" applyAlignment="0" applyProtection="0"/>
    <xf numFmtId="198" fontId="18" fillId="0" borderId="0" applyFill="0" applyBorder="0" applyAlignment="0" applyProtection="0"/>
    <xf numFmtId="193" fontId="18" fillId="0" borderId="0" applyFill="0" applyBorder="0" applyAlignment="0" applyProtection="0"/>
    <xf numFmtId="198" fontId="18" fillId="0" borderId="0" applyFill="0" applyBorder="0" applyAlignment="0" applyProtection="0"/>
    <xf numFmtId="0" fontId="88" fillId="0" borderId="0"/>
    <xf numFmtId="0" fontId="76" fillId="7" borderId="0" applyNumberFormat="0" applyBorder="0" applyAlignment="0" applyProtection="0">
      <alignment vertical="center"/>
    </xf>
    <xf numFmtId="169" fontId="18" fillId="0" borderId="0" applyFont="0" applyFill="0" applyBorder="0" applyAlignment="0" applyProtection="0"/>
    <xf numFmtId="167" fontId="18" fillId="0" borderId="0" applyFont="0" applyFill="0" applyBorder="0" applyAlignment="0" applyProtection="0"/>
    <xf numFmtId="0" fontId="18" fillId="0" borderId="0"/>
    <xf numFmtId="0" fontId="66" fillId="10" borderId="0" applyNumberFormat="0" applyBorder="0" applyAlignment="0" applyProtection="0">
      <alignment vertical="center"/>
    </xf>
    <xf numFmtId="0" fontId="43" fillId="0" borderId="0" applyNumberFormat="0" applyFill="0" applyBorder="0" applyAlignment="0" applyProtection="0">
      <alignment vertical="top"/>
      <protection locked="0"/>
    </xf>
    <xf numFmtId="0" fontId="68" fillId="0" borderId="9" applyNumberFormat="0" applyFill="0" applyAlignment="0" applyProtection="0">
      <alignment vertical="center"/>
    </xf>
    <xf numFmtId="0" fontId="77" fillId="0" borderId="11" applyNumberFormat="0" applyFill="0" applyAlignment="0" applyProtection="0">
      <alignment vertical="center"/>
    </xf>
    <xf numFmtId="0" fontId="69" fillId="0" borderId="13" applyNumberFormat="0" applyFill="0" applyAlignment="0" applyProtection="0">
      <alignment vertical="center"/>
    </xf>
    <xf numFmtId="0" fontId="69" fillId="0" borderId="0" applyNumberFormat="0" applyFill="0" applyBorder="0" applyAlignment="0" applyProtection="0">
      <alignment vertical="center"/>
    </xf>
    <xf numFmtId="0" fontId="78" fillId="22" borderId="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192" fontId="18" fillId="0" borderId="0" applyFill="0" applyBorder="0" applyAlignment="0" applyProtection="0"/>
    <xf numFmtId="196" fontId="18" fillId="0" borderId="0" applyFill="0" applyBorder="0" applyAlignment="0" applyProtection="0"/>
    <xf numFmtId="192" fontId="18" fillId="0" borderId="0" applyFill="0" applyBorder="0" applyAlignment="0" applyProtection="0"/>
    <xf numFmtId="168" fontId="18" fillId="0" borderId="0" applyFont="0" applyFill="0" applyBorder="0" applyAlignment="0" applyProtection="0"/>
    <xf numFmtId="166" fontId="18" fillId="0" borderId="0" applyFont="0" applyFill="0" applyBorder="0" applyAlignment="0" applyProtection="0"/>
    <xf numFmtId="0" fontId="81" fillId="0" borderId="20" applyNumberFormat="0" applyFill="0" applyAlignment="0" applyProtection="0">
      <alignment vertical="center"/>
    </xf>
    <xf numFmtId="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8" fontId="1" fillId="0" borderId="0" applyFont="0" applyFill="0" applyBorder="0" applyAlignment="0" applyProtection="0"/>
    <xf numFmtId="9" fontId="1" fillId="0" borderId="0" applyFont="0" applyFill="0" applyBorder="0" applyAlignment="0" applyProtection="0"/>
    <xf numFmtId="0" fontId="1" fillId="0" borderId="0"/>
    <xf numFmtId="0" fontId="56" fillId="0" borderId="0"/>
    <xf numFmtId="0" fontId="21" fillId="0" borderId="0">
      <alignment vertical="center"/>
      <protection locked="0"/>
    </xf>
    <xf numFmtId="43" fontId="1"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86" fillId="0" borderId="0" applyNumberFormat="0" applyFill="0" applyBorder="0" applyAlignment="0" applyProtection="0"/>
    <xf numFmtId="168" fontId="1" fillId="0" borderId="0" applyFon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9" fontId="1" fillId="0" borderId="0" applyFont="0" applyFill="0" applyBorder="0" applyAlignment="0" applyProtection="0"/>
    <xf numFmtId="0" fontId="86" fillId="0" borderId="0" applyNumberFormat="0" applyFill="0" applyBorder="0" applyAlignment="0" applyProtection="0"/>
    <xf numFmtId="9" fontId="1" fillId="0" borderId="0" applyFont="0" applyFill="0" applyBorder="0" applyAlignment="0" applyProtection="0"/>
    <xf numFmtId="168"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8"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8" fillId="0" borderId="0" applyFont="0" applyFill="0" applyBorder="0" applyAlignment="0" applyProtection="0"/>
  </cellStyleXfs>
  <cellXfs count="1296">
    <xf numFmtId="0" fontId="0" fillId="0" borderId="0" xfId="0"/>
    <xf numFmtId="10" fontId="46" fillId="0" borderId="15" xfId="2466" applyNumberFormat="1" applyFont="1" applyFill="1" applyBorder="1" applyAlignment="1">
      <alignment horizontal="center" vertical="center"/>
    </xf>
    <xf numFmtId="1" fontId="46" fillId="0" borderId="15" xfId="1883" applyNumberFormat="1" applyFont="1" applyFill="1" applyBorder="1" applyAlignment="1">
      <alignment horizontal="center" vertical="center"/>
    </xf>
    <xf numFmtId="1" fontId="46" fillId="0" borderId="15" xfId="1883" quotePrefix="1" applyNumberFormat="1" applyFont="1" applyFill="1" applyBorder="1" applyAlignment="1">
      <alignment horizontal="center" vertical="center"/>
    </xf>
    <xf numFmtId="10" fontId="46" fillId="0" borderId="15" xfId="2466" applyNumberFormat="1" applyFont="1" applyFill="1" applyBorder="1" applyAlignment="1">
      <alignment horizontal="center" vertical="center" wrapText="1"/>
    </xf>
    <xf numFmtId="10" fontId="46" fillId="0" borderId="15" xfId="1883" applyNumberFormat="1" applyFont="1" applyFill="1" applyBorder="1" applyAlignment="1">
      <alignment horizontal="center" vertical="center"/>
    </xf>
    <xf numFmtId="39" fontId="46" fillId="0" borderId="15" xfId="1883" applyNumberFormat="1" applyFont="1" applyFill="1" applyBorder="1" applyAlignment="1">
      <alignment horizontal="center" vertical="center" wrapText="1"/>
    </xf>
    <xf numFmtId="2" fontId="46" fillId="0" borderId="15" xfId="1883" applyNumberFormat="1" applyFont="1" applyFill="1" applyBorder="1" applyAlignment="1">
      <alignment horizontal="center" vertical="center"/>
    </xf>
    <xf numFmtId="0" fontId="92" fillId="0" borderId="0" xfId="0" applyFont="1"/>
    <xf numFmtId="0" fontId="98" fillId="0" borderId="0" xfId="2352" applyFont="1"/>
    <xf numFmtId="0" fontId="99" fillId="0" borderId="0" xfId="2352" applyFont="1"/>
    <xf numFmtId="0" fontId="94" fillId="0" borderId="70" xfId="2352" applyFont="1" applyBorder="1" applyAlignment="1">
      <alignment horizontal="center" vertical="top" wrapText="1"/>
    </xf>
    <xf numFmtId="17" fontId="94" fillId="0" borderId="36" xfId="2352" applyNumberFormat="1" applyFont="1" applyBorder="1" applyAlignment="1">
      <alignment horizontal="center" vertical="center"/>
    </xf>
    <xf numFmtId="0" fontId="94" fillId="0" borderId="36" xfId="2352" applyFont="1" applyBorder="1" applyAlignment="1">
      <alignment horizontal="center" vertical="center"/>
    </xf>
    <xf numFmtId="0" fontId="94" fillId="0" borderId="69" xfId="2352" applyFont="1" applyBorder="1" applyAlignment="1">
      <alignment horizontal="center" vertical="center"/>
    </xf>
    <xf numFmtId="17" fontId="94" fillId="0" borderId="69" xfId="2352" applyNumberFormat="1" applyFont="1" applyBorder="1" applyAlignment="1">
      <alignment horizontal="center" vertical="center"/>
    </xf>
    <xf numFmtId="0" fontId="94" fillId="0" borderId="54" xfId="2352" applyFont="1" applyBorder="1" applyAlignment="1">
      <alignment horizontal="center" vertical="center" wrapText="1"/>
    </xf>
    <xf numFmtId="0" fontId="99" fillId="0" borderId="35" xfId="2352" applyFont="1" applyBorder="1" applyAlignment="1">
      <alignment horizontal="center" vertical="center"/>
    </xf>
    <xf numFmtId="0" fontId="95" fillId="0" borderId="0" xfId="2352" applyFont="1" applyAlignment="1">
      <alignment horizontal="center" vertical="center"/>
    </xf>
    <xf numFmtId="0" fontId="96" fillId="0" borderId="25" xfId="2352" applyFont="1" applyBorder="1" applyAlignment="1">
      <alignment horizontal="center" vertical="top" wrapText="1"/>
    </xf>
    <xf numFmtId="0" fontId="96" fillId="0" borderId="0" xfId="2352" applyFont="1" applyAlignment="1">
      <alignment horizontal="center" vertical="center"/>
    </xf>
    <xf numFmtId="0" fontId="96" fillId="0" borderId="23" xfId="2352" applyFont="1" applyBorder="1" applyAlignment="1">
      <alignment horizontal="center" vertical="center"/>
    </xf>
    <xf numFmtId="0" fontId="96" fillId="0" borderId="24" xfId="2352" applyFont="1" applyBorder="1" applyAlignment="1">
      <alignment horizontal="center" vertical="center"/>
    </xf>
    <xf numFmtId="0" fontId="99" fillId="0" borderId="5" xfId="2352" applyFont="1" applyBorder="1" applyAlignment="1">
      <alignment horizontal="center" vertical="center"/>
    </xf>
    <xf numFmtId="0" fontId="96" fillId="0" borderId="37" xfId="2352" applyFont="1" applyBorder="1" applyAlignment="1">
      <alignment horizontal="center" vertical="center"/>
    </xf>
    <xf numFmtId="10" fontId="100" fillId="48" borderId="15" xfId="2465" applyNumberFormat="1" applyFont="1" applyFill="1" applyBorder="1" applyAlignment="1">
      <alignment horizontal="center" vertical="center"/>
    </xf>
    <xf numFmtId="2" fontId="93" fillId="0" borderId="15" xfId="2465" applyNumberFormat="1" applyFont="1" applyFill="1" applyBorder="1" applyAlignment="1">
      <alignment horizontal="center" vertical="center"/>
    </xf>
    <xf numFmtId="10" fontId="100" fillId="2" borderId="15" xfId="2465" applyNumberFormat="1" applyFont="1" applyFill="1" applyBorder="1" applyAlignment="1">
      <alignment horizontal="center" vertical="center"/>
    </xf>
    <xf numFmtId="10" fontId="100" fillId="0" borderId="15" xfId="2465" applyNumberFormat="1" applyFont="1" applyFill="1" applyBorder="1" applyAlignment="1">
      <alignment horizontal="center" vertical="center"/>
    </xf>
    <xf numFmtId="2" fontId="96" fillId="0" borderId="41" xfId="2465" applyNumberFormat="1" applyFont="1" applyFill="1" applyBorder="1" applyAlignment="1">
      <alignment horizontal="center" vertical="center"/>
    </xf>
    <xf numFmtId="0" fontId="95" fillId="0" borderId="55" xfId="2352" applyFont="1" applyBorder="1" applyAlignment="1">
      <alignment horizontal="center" vertical="center"/>
    </xf>
    <xf numFmtId="0" fontId="95" fillId="0" borderId="0" xfId="2352" applyFont="1"/>
    <xf numFmtId="0" fontId="96" fillId="0" borderId="40" xfId="2352" applyFont="1" applyBorder="1" applyAlignment="1">
      <alignment horizontal="center" vertical="center"/>
    </xf>
    <xf numFmtId="0" fontId="95" fillId="0" borderId="56" xfId="2352" applyFont="1" applyBorder="1"/>
    <xf numFmtId="10" fontId="95" fillId="0" borderId="0" xfId="2352" applyNumberFormat="1" applyFont="1" applyAlignment="1">
      <alignment horizontal="center" vertical="center"/>
    </xf>
    <xf numFmtId="2" fontId="93" fillId="0" borderId="38" xfId="2465" applyNumberFormat="1" applyFont="1" applyFill="1" applyBorder="1" applyAlignment="1">
      <alignment horizontal="center" vertical="center"/>
    </xf>
    <xf numFmtId="0" fontId="95" fillId="0" borderId="56" xfId="2352" applyFont="1" applyBorder="1" applyAlignment="1">
      <alignment horizontal="center" vertical="center"/>
    </xf>
    <xf numFmtId="0" fontId="96" fillId="0" borderId="31" xfId="2352" applyFont="1" applyBorder="1" applyAlignment="1">
      <alignment horizontal="center" vertical="center" wrapText="1"/>
    </xf>
    <xf numFmtId="10" fontId="100" fillId="0" borderId="57" xfId="2465" applyNumberFormat="1" applyFont="1" applyFill="1" applyBorder="1" applyAlignment="1">
      <alignment horizontal="center" vertical="center"/>
    </xf>
    <xf numFmtId="2" fontId="93" fillId="0" borderId="57" xfId="2465" applyNumberFormat="1" applyFont="1" applyFill="1" applyBorder="1" applyAlignment="1">
      <alignment horizontal="center" vertical="center"/>
    </xf>
    <xf numFmtId="2" fontId="96" fillId="0" borderId="33" xfId="2465" applyNumberFormat="1" applyFont="1" applyFill="1" applyBorder="1" applyAlignment="1">
      <alignment horizontal="center" vertical="center"/>
    </xf>
    <xf numFmtId="0" fontId="95" fillId="0" borderId="58" xfId="2352" applyFont="1" applyBorder="1" applyAlignment="1">
      <alignment horizontal="center" vertical="center"/>
    </xf>
    <xf numFmtId="10" fontId="100" fillId="0" borderId="0" xfId="2465" applyNumberFormat="1" applyFont="1" applyFill="1" applyBorder="1" applyAlignment="1">
      <alignment vertical="center"/>
    </xf>
    <xf numFmtId="0" fontId="96" fillId="0" borderId="34" xfId="2352" applyFont="1" applyBorder="1" applyAlignment="1">
      <alignment horizontal="center" vertical="center" wrapText="1"/>
    </xf>
    <xf numFmtId="10" fontId="100" fillId="0" borderId="36" xfId="2465" applyNumberFormat="1" applyFont="1" applyFill="1" applyBorder="1" applyAlignment="1">
      <alignment horizontal="center" vertical="center"/>
    </xf>
    <xf numFmtId="10" fontId="97" fillId="0" borderId="36" xfId="2465" applyNumberFormat="1" applyFont="1" applyFill="1" applyBorder="1" applyAlignment="1">
      <alignment vertical="center"/>
    </xf>
    <xf numFmtId="10" fontId="97" fillId="0" borderId="36" xfId="2352" applyNumberFormat="1" applyFont="1" applyBorder="1" applyAlignment="1">
      <alignment horizontal="center" vertical="center"/>
    </xf>
    <xf numFmtId="0" fontId="91" fillId="0" borderId="5" xfId="0" applyFont="1" applyBorder="1"/>
    <xf numFmtId="10" fontId="93" fillId="0" borderId="36" xfId="2465" applyNumberFormat="1" applyFont="1" applyFill="1" applyBorder="1" applyAlignment="1">
      <alignment vertical="center"/>
    </xf>
    <xf numFmtId="2" fontId="93" fillId="0" borderId="54" xfId="2465" applyNumberFormat="1" applyFont="1" applyFill="1" applyBorder="1" applyAlignment="1">
      <alignment horizontal="center" vertical="center"/>
    </xf>
    <xf numFmtId="0" fontId="100" fillId="0" borderId="59" xfId="2352" applyFont="1" applyBorder="1"/>
    <xf numFmtId="0" fontId="100" fillId="0" borderId="0" xfId="2352" applyFont="1"/>
    <xf numFmtId="10" fontId="100" fillId="0" borderId="0" xfId="2352" applyNumberFormat="1" applyFont="1" applyAlignment="1">
      <alignment horizontal="center" vertical="center"/>
    </xf>
    <xf numFmtId="10" fontId="101" fillId="0" borderId="0" xfId="2465" applyNumberFormat="1" applyFont="1" applyBorder="1"/>
    <xf numFmtId="10" fontId="101" fillId="0" borderId="0" xfId="2465" applyNumberFormat="1" applyFont="1" applyFill="1" applyBorder="1"/>
    <xf numFmtId="10" fontId="100" fillId="0" borderId="0" xfId="2465" applyNumberFormat="1" applyFont="1" applyFill="1" applyBorder="1"/>
    <xf numFmtId="0" fontId="100" fillId="0" borderId="0" xfId="2352" applyFont="1" applyAlignment="1">
      <alignment horizontal="center"/>
    </xf>
    <xf numFmtId="2" fontId="96" fillId="0" borderId="36" xfId="2465" applyNumberFormat="1" applyFont="1" applyFill="1" applyBorder="1" applyAlignment="1">
      <alignment horizontal="center" vertical="center"/>
    </xf>
    <xf numFmtId="2" fontId="102" fillId="0" borderId="60" xfId="2465" applyNumberFormat="1" applyFont="1" applyFill="1" applyBorder="1" applyAlignment="1">
      <alignment vertical="center"/>
    </xf>
    <xf numFmtId="0" fontId="96" fillId="0" borderId="0" xfId="2352" applyFont="1" applyAlignment="1">
      <alignment horizontal="left" vertical="center"/>
    </xf>
    <xf numFmtId="9" fontId="101" fillId="0" borderId="28" xfId="2465" applyFont="1" applyBorder="1"/>
    <xf numFmtId="10" fontId="100" fillId="0" borderId="0" xfId="2352" applyNumberFormat="1" applyFont="1"/>
    <xf numFmtId="0" fontId="96" fillId="2" borderId="37" xfId="2352" applyFont="1" applyFill="1" applyBorder="1" applyAlignment="1">
      <alignment horizontal="center"/>
    </xf>
    <xf numFmtId="10" fontId="101" fillId="0" borderId="61" xfId="2465" applyNumberFormat="1" applyFont="1" applyBorder="1" applyAlignment="1">
      <alignment horizontal="center"/>
    </xf>
    <xf numFmtId="9" fontId="101" fillId="0" borderId="61" xfId="2465" applyFont="1" applyBorder="1"/>
    <xf numFmtId="9" fontId="101" fillId="0" borderId="61" xfId="2465" applyFont="1" applyBorder="1" applyAlignment="1">
      <alignment horizontal="center"/>
    </xf>
    <xf numFmtId="9" fontId="101" fillId="0" borderId="0" xfId="2465" applyFont="1" applyBorder="1"/>
    <xf numFmtId="0" fontId="96" fillId="48" borderId="40" xfId="2352" applyFont="1" applyFill="1" applyBorder="1" applyAlignment="1">
      <alignment horizontal="center"/>
    </xf>
    <xf numFmtId="10" fontId="101" fillId="0" borderId="38" xfId="2465" applyNumberFormat="1" applyFont="1" applyBorder="1" applyAlignment="1">
      <alignment horizontal="center"/>
    </xf>
    <xf numFmtId="9" fontId="101" fillId="0" borderId="15" xfId="2465" applyFont="1" applyBorder="1" applyAlignment="1">
      <alignment horizontal="center"/>
    </xf>
    <xf numFmtId="10" fontId="101" fillId="0" borderId="15" xfId="2465" applyNumberFormat="1" applyFont="1" applyBorder="1" applyAlignment="1">
      <alignment horizontal="center"/>
    </xf>
    <xf numFmtId="0" fontId="96" fillId="39" borderId="31" xfId="2352" applyFont="1" applyFill="1" applyBorder="1" applyAlignment="1">
      <alignment horizontal="center"/>
    </xf>
    <xf numFmtId="10" fontId="101" fillId="0" borderId="57" xfId="2465" applyNumberFormat="1" applyFont="1" applyBorder="1" applyAlignment="1">
      <alignment horizontal="center"/>
    </xf>
    <xf numFmtId="9" fontId="101" fillId="0" borderId="57" xfId="2465" applyFont="1" applyBorder="1"/>
    <xf numFmtId="9" fontId="101" fillId="0" borderId="57" xfId="2465" applyFont="1" applyBorder="1" applyAlignment="1">
      <alignment horizontal="center"/>
    </xf>
    <xf numFmtId="9" fontId="100" fillId="0" borderId="0" xfId="2352" applyNumberFormat="1" applyFont="1"/>
    <xf numFmtId="0" fontId="100" fillId="23" borderId="15" xfId="2352" applyFont="1" applyFill="1" applyBorder="1" applyAlignment="1">
      <alignment horizontal="center"/>
    </xf>
    <xf numFmtId="185" fontId="95" fillId="0" borderId="15" xfId="2352" applyNumberFormat="1" applyFont="1" applyBorder="1" applyAlignment="1">
      <alignment horizontal="center"/>
    </xf>
    <xf numFmtId="0" fontId="100" fillId="2" borderId="15" xfId="2352" applyFont="1" applyFill="1" applyBorder="1"/>
    <xf numFmtId="0" fontId="100" fillId="0" borderId="15" xfId="2352" applyFont="1" applyBorder="1"/>
    <xf numFmtId="0" fontId="100" fillId="48" borderId="15" xfId="2352" applyFont="1" applyFill="1" applyBorder="1"/>
    <xf numFmtId="0" fontId="100" fillId="39" borderId="15" xfId="2352" applyFont="1" applyFill="1" applyBorder="1"/>
    <xf numFmtId="0" fontId="105" fillId="0" borderId="34" xfId="0" applyFont="1" applyBorder="1" applyAlignment="1">
      <alignment horizontal="center" vertical="center"/>
    </xf>
    <xf numFmtId="0" fontId="93" fillId="0" borderId="15" xfId="0" applyFont="1" applyBorder="1" applyAlignment="1">
      <alignment horizontal="center" vertical="center" textRotation="180" wrapText="1"/>
    </xf>
    <xf numFmtId="0" fontId="93" fillId="0" borderId="41" xfId="0" applyFont="1" applyBorder="1" applyAlignment="1">
      <alignment horizontal="center" vertical="center" textRotation="180" wrapText="1"/>
    </xf>
    <xf numFmtId="0" fontId="93" fillId="0" borderId="38" xfId="0" applyFont="1" applyBorder="1" applyAlignment="1">
      <alignment horizontal="center" vertical="center" textRotation="180" wrapText="1"/>
    </xf>
    <xf numFmtId="0" fontId="92" fillId="0" borderId="40" xfId="0" applyFont="1" applyBorder="1" applyAlignment="1">
      <alignment horizontal="center" vertical="center"/>
    </xf>
    <xf numFmtId="0" fontId="105" fillId="0" borderId="53" xfId="0" applyFont="1" applyBorder="1" applyAlignment="1">
      <alignment horizontal="center" vertical="center" wrapText="1"/>
    </xf>
    <xf numFmtId="0" fontId="105" fillId="0" borderId="40" xfId="0" applyFont="1" applyBorder="1" applyAlignment="1">
      <alignment horizontal="center" vertical="center" wrapText="1"/>
    </xf>
    <xf numFmtId="0" fontId="93" fillId="0" borderId="44" xfId="0" applyFont="1" applyBorder="1" applyAlignment="1">
      <alignment horizontal="center" vertical="center" textRotation="180" wrapText="1"/>
    </xf>
    <xf numFmtId="0" fontId="93" fillId="0" borderId="43" xfId="0" applyFont="1" applyBorder="1" applyAlignment="1">
      <alignment horizontal="center" vertical="center" textRotation="180" wrapText="1"/>
    </xf>
    <xf numFmtId="0" fontId="93" fillId="0" borderId="45" xfId="0" applyFont="1" applyBorder="1" applyAlignment="1">
      <alignment horizontal="center" vertical="center" textRotation="180" wrapText="1"/>
    </xf>
    <xf numFmtId="0" fontId="105" fillId="0" borderId="48" xfId="0" applyFont="1" applyBorder="1" applyAlignment="1">
      <alignment horizontal="center" vertical="center" wrapText="1"/>
    </xf>
    <xf numFmtId="0" fontId="93" fillId="0" borderId="49" xfId="0" applyFont="1" applyBorder="1" applyAlignment="1">
      <alignment horizontal="center" vertical="center" textRotation="180" wrapText="1"/>
    </xf>
    <xf numFmtId="0" fontId="93" fillId="0" borderId="50" xfId="0" applyFont="1" applyBorder="1" applyAlignment="1">
      <alignment horizontal="center" vertical="center" textRotation="180" wrapText="1"/>
    </xf>
    <xf numFmtId="0" fontId="100" fillId="0" borderId="25" xfId="0" applyFont="1" applyBorder="1" applyAlignment="1">
      <alignment horizontal="center" vertical="center"/>
    </xf>
    <xf numFmtId="0" fontId="100" fillId="11" borderId="0" xfId="0" applyFont="1" applyFill="1" applyAlignment="1">
      <alignment horizontal="left" vertical="center" wrapText="1"/>
    </xf>
    <xf numFmtId="0" fontId="108" fillId="11" borderId="0" xfId="0" applyFont="1" applyFill="1" applyAlignment="1">
      <alignment vertical="center" wrapText="1"/>
    </xf>
    <xf numFmtId="0" fontId="109" fillId="11" borderId="0" xfId="0" applyFont="1" applyFill="1" applyAlignment="1">
      <alignment horizontal="center" vertical="center" wrapText="1"/>
    </xf>
    <xf numFmtId="0" fontId="93" fillId="11" borderId="0" xfId="0" applyFont="1" applyFill="1" applyAlignment="1">
      <alignment horizontal="center" vertical="center" textRotation="180" wrapText="1"/>
    </xf>
    <xf numFmtId="187" fontId="105" fillId="11" borderId="0" xfId="0" applyNumberFormat="1" applyFont="1" applyFill="1" applyAlignment="1">
      <alignment horizontal="center" vertical="center" wrapText="1"/>
    </xf>
    <xf numFmtId="0" fontId="105" fillId="11" borderId="0" xfId="0" applyFont="1" applyFill="1" applyAlignment="1">
      <alignment horizontal="center" vertical="center" wrapText="1" shrinkToFit="1"/>
    </xf>
    <xf numFmtId="0" fontId="100" fillId="11" borderId="0" xfId="0" applyFont="1" applyFill="1" applyAlignment="1">
      <alignment horizontal="center" vertical="center" wrapText="1"/>
    </xf>
    <xf numFmtId="0" fontId="105" fillId="11" borderId="26" xfId="0" applyFont="1" applyFill="1" applyBorder="1" applyAlignment="1">
      <alignment horizontal="center" vertical="center" wrapText="1"/>
    </xf>
    <xf numFmtId="1" fontId="92" fillId="0" borderId="0" xfId="0" applyNumberFormat="1" applyFont="1"/>
    <xf numFmtId="0" fontId="107" fillId="11" borderId="27" xfId="0" applyFont="1" applyFill="1" applyBorder="1" applyAlignment="1">
      <alignment horizontal="center" vertical="center"/>
    </xf>
    <xf numFmtId="0" fontId="108" fillId="11" borderId="28" xfId="0" applyFont="1" applyFill="1" applyBorder="1" applyAlignment="1">
      <alignment vertical="center" wrapText="1"/>
    </xf>
    <xf numFmtId="0" fontId="93" fillId="11" borderId="28" xfId="0" applyFont="1" applyFill="1" applyBorder="1" applyAlignment="1">
      <alignment horizontal="center" vertical="center" textRotation="180" wrapText="1"/>
    </xf>
    <xf numFmtId="187" fontId="100" fillId="11" borderId="28" xfId="0" applyNumberFormat="1" applyFont="1" applyFill="1" applyBorder="1" applyAlignment="1">
      <alignment horizontal="center" vertical="center" wrapText="1"/>
    </xf>
    <xf numFmtId="0" fontId="100" fillId="11" borderId="28" xfId="0" applyFont="1" applyFill="1" applyBorder="1" applyAlignment="1">
      <alignment horizontal="center" vertical="center" wrapText="1"/>
    </xf>
    <xf numFmtId="0" fontId="105" fillId="11" borderId="29" xfId="0" applyFont="1" applyFill="1" applyBorder="1" applyAlignment="1">
      <alignment horizontal="center" vertical="center" wrapText="1"/>
    </xf>
    <xf numFmtId="0" fontId="92" fillId="7" borderId="0" xfId="0" applyFont="1" applyFill="1"/>
    <xf numFmtId="0" fontId="94" fillId="0" borderId="22" xfId="0" applyFont="1" applyBorder="1"/>
    <xf numFmtId="0" fontId="110" fillId="0" borderId="23" xfId="0" applyFont="1" applyBorder="1"/>
    <xf numFmtId="0" fontId="110" fillId="0" borderId="24" xfId="0" applyFont="1" applyBorder="1"/>
    <xf numFmtId="0" fontId="93" fillId="0" borderId="25" xfId="0" applyFont="1" applyBorder="1"/>
    <xf numFmtId="17" fontId="92" fillId="0" borderId="0" xfId="0" applyNumberFormat="1" applyFont="1"/>
    <xf numFmtId="17" fontId="92" fillId="0" borderId="26" xfId="0" applyNumberFormat="1" applyFont="1" applyBorder="1"/>
    <xf numFmtId="2" fontId="100" fillId="22" borderId="25" xfId="2449" applyNumberFormat="1" applyFont="1" applyFill="1" applyBorder="1"/>
    <xf numFmtId="2" fontId="92" fillId="22" borderId="0" xfId="0" applyNumberFormat="1" applyFont="1" applyFill="1"/>
    <xf numFmtId="2" fontId="92" fillId="0" borderId="26" xfId="0" applyNumberFormat="1" applyFont="1" applyBorder="1"/>
    <xf numFmtId="2" fontId="92" fillId="39" borderId="0" xfId="0" applyNumberFormat="1" applyFont="1" applyFill="1"/>
    <xf numFmtId="2" fontId="100" fillId="39" borderId="26" xfId="2364" applyNumberFormat="1" applyFont="1" applyFill="1" applyBorder="1"/>
    <xf numFmtId="2" fontId="92" fillId="48" borderId="0" xfId="0" applyNumberFormat="1" applyFont="1" applyFill="1"/>
    <xf numFmtId="2" fontId="92" fillId="48" borderId="26" xfId="0" applyNumberFormat="1" applyFont="1" applyFill="1" applyBorder="1"/>
    <xf numFmtId="2" fontId="92" fillId="2" borderId="0" xfId="0" applyNumberFormat="1" applyFont="1" applyFill="1"/>
    <xf numFmtId="2" fontId="92" fillId="2" borderId="26" xfId="0" applyNumberFormat="1" applyFont="1" applyFill="1" applyBorder="1"/>
    <xf numFmtId="0" fontId="92" fillId="22" borderId="0" xfId="0" applyFont="1" applyFill="1"/>
    <xf numFmtId="1" fontId="92" fillId="22" borderId="0" xfId="0" applyNumberFormat="1" applyFont="1" applyFill="1"/>
    <xf numFmtId="1" fontId="92" fillId="22" borderId="26" xfId="0" applyNumberFormat="1" applyFont="1" applyFill="1" applyBorder="1"/>
    <xf numFmtId="0" fontId="92" fillId="4" borderId="25" xfId="0" applyFont="1" applyFill="1" applyBorder="1" applyAlignment="1">
      <alignment horizontal="center"/>
    </xf>
    <xf numFmtId="0" fontId="92" fillId="4" borderId="0" xfId="0" applyFont="1" applyFill="1" applyAlignment="1">
      <alignment horizontal="center"/>
    </xf>
    <xf numFmtId="1" fontId="92" fillId="7" borderId="0" xfId="0" applyNumberFormat="1" applyFont="1" applyFill="1"/>
    <xf numFmtId="1" fontId="92" fillId="7" borderId="26" xfId="0" applyNumberFormat="1" applyFont="1" applyFill="1" applyBorder="1"/>
    <xf numFmtId="1" fontId="100" fillId="0" borderId="0" xfId="0" applyNumberFormat="1" applyFont="1"/>
    <xf numFmtId="1" fontId="100" fillId="0" borderId="26" xfId="0" applyNumberFormat="1" applyFont="1" applyBorder="1"/>
    <xf numFmtId="10" fontId="100" fillId="0" borderId="0" xfId="2449" applyNumberFormat="1" applyFont="1" applyFill="1" applyBorder="1"/>
    <xf numFmtId="10" fontId="100" fillId="0" borderId="26" xfId="2449" applyNumberFormat="1" applyFont="1" applyFill="1" applyBorder="1"/>
    <xf numFmtId="10" fontId="100" fillId="0" borderId="0" xfId="2449" quotePrefix="1" applyNumberFormat="1" applyFont="1" applyFill="1" applyBorder="1"/>
    <xf numFmtId="10" fontId="100" fillId="0" borderId="26" xfId="2449" quotePrefix="1" applyNumberFormat="1" applyFont="1" applyFill="1" applyBorder="1"/>
    <xf numFmtId="0" fontId="100" fillId="0" borderId="0" xfId="0" applyFont="1"/>
    <xf numFmtId="10" fontId="93" fillId="0" borderId="0" xfId="0" applyNumberFormat="1" applyFont="1"/>
    <xf numFmtId="10" fontId="93" fillId="0" borderId="26" xfId="0" applyNumberFormat="1" applyFont="1" applyBorder="1"/>
    <xf numFmtId="0" fontId="100" fillId="0" borderId="25" xfId="0" applyFont="1" applyBorder="1" applyAlignment="1">
      <alignment vertical="center"/>
    </xf>
    <xf numFmtId="0" fontId="100" fillId="0" borderId="0" xfId="0" applyFont="1" applyAlignment="1">
      <alignment vertical="center"/>
    </xf>
    <xf numFmtId="10" fontId="100" fillId="0" borderId="0" xfId="0" applyNumberFormat="1" applyFont="1" applyAlignment="1">
      <alignment vertical="center"/>
    </xf>
    <xf numFmtId="10" fontId="100" fillId="0" borderId="26" xfId="0" applyNumberFormat="1" applyFont="1" applyBorder="1" applyAlignment="1">
      <alignment vertical="center"/>
    </xf>
    <xf numFmtId="10" fontId="100" fillId="22" borderId="25" xfId="2449" applyNumberFormat="1" applyFont="1" applyFill="1" applyBorder="1"/>
    <xf numFmtId="0" fontId="92" fillId="2" borderId="0" xfId="0" applyFont="1" applyFill="1"/>
    <xf numFmtId="1" fontId="100" fillId="22" borderId="0" xfId="2449" applyNumberFormat="1" applyFont="1" applyFill="1" applyBorder="1"/>
    <xf numFmtId="1" fontId="100" fillId="2" borderId="26" xfId="2449" applyNumberFormat="1" applyFont="1" applyFill="1" applyBorder="1"/>
    <xf numFmtId="0" fontId="92" fillId="48" borderId="0" xfId="0" applyFont="1" applyFill="1"/>
    <xf numFmtId="1" fontId="100" fillId="48" borderId="26" xfId="2449" applyNumberFormat="1" applyFont="1" applyFill="1" applyBorder="1"/>
    <xf numFmtId="0" fontId="92" fillId="39" borderId="0" xfId="0" applyFont="1" applyFill="1"/>
    <xf numFmtId="1" fontId="100" fillId="39" borderId="26" xfId="2449" applyNumberFormat="1" applyFont="1" applyFill="1" applyBorder="1"/>
    <xf numFmtId="1" fontId="100" fillId="22" borderId="26" xfId="2449" applyNumberFormat="1" applyFont="1" applyFill="1" applyBorder="1"/>
    <xf numFmtId="0" fontId="93" fillId="4" borderId="25" xfId="0" applyFont="1" applyFill="1" applyBorder="1" applyAlignment="1">
      <alignment horizontal="left"/>
    </xf>
    <xf numFmtId="1" fontId="100" fillId="0" borderId="0" xfId="2449" applyNumberFormat="1" applyFont="1" applyBorder="1" applyAlignment="1"/>
    <xf numFmtId="1" fontId="100" fillId="0" borderId="0" xfId="2449" applyNumberFormat="1" applyFont="1" applyFill="1" applyBorder="1"/>
    <xf numFmtId="1" fontId="100" fillId="0" borderId="26" xfId="2449" applyNumberFormat="1" applyFont="1" applyFill="1" applyBorder="1"/>
    <xf numFmtId="2" fontId="95" fillId="49" borderId="25" xfId="0" applyNumberFormat="1" applyFont="1" applyFill="1" applyBorder="1" applyAlignment="1">
      <alignment horizontal="right" vertical="center"/>
    </xf>
    <xf numFmtId="2" fontId="95" fillId="49" borderId="0" xfId="0" applyNumberFormat="1" applyFont="1" applyFill="1" applyAlignment="1">
      <alignment horizontal="right" vertical="center"/>
    </xf>
    <xf numFmtId="10" fontId="100" fillId="0" borderId="0" xfId="2449" applyNumberFormat="1" applyFont="1" applyBorder="1" applyAlignment="1"/>
    <xf numFmtId="0" fontId="92" fillId="4" borderId="25" xfId="0" applyFont="1" applyFill="1" applyBorder="1" applyAlignment="1">
      <alignment horizontal="left"/>
    </xf>
    <xf numFmtId="0" fontId="100" fillId="0" borderId="26" xfId="0" applyFont="1" applyBorder="1" applyAlignment="1">
      <alignment vertical="center"/>
    </xf>
    <xf numFmtId="10" fontId="100" fillId="22" borderId="0" xfId="2449" applyNumberFormat="1" applyFont="1" applyFill="1" applyBorder="1"/>
    <xf numFmtId="10" fontId="92" fillId="2" borderId="26" xfId="0" applyNumberFormat="1" applyFont="1" applyFill="1" applyBorder="1"/>
    <xf numFmtId="10" fontId="92" fillId="22" borderId="0" xfId="0" applyNumberFormat="1" applyFont="1" applyFill="1"/>
    <xf numFmtId="10" fontId="92" fillId="48" borderId="26" xfId="0" applyNumberFormat="1" applyFont="1" applyFill="1" applyBorder="1"/>
    <xf numFmtId="10" fontId="92" fillId="39" borderId="26" xfId="0" applyNumberFormat="1" applyFont="1" applyFill="1" applyBorder="1"/>
    <xf numFmtId="10" fontId="100" fillId="22" borderId="26" xfId="2449" applyNumberFormat="1" applyFont="1" applyFill="1" applyBorder="1"/>
    <xf numFmtId="9" fontId="100" fillId="0" borderId="0" xfId="2449" applyFont="1" applyFill="1" applyBorder="1"/>
    <xf numFmtId="0" fontId="92" fillId="11" borderId="0" xfId="2424" applyFont="1" applyFill="1">
      <alignment vertical="center"/>
    </xf>
    <xf numFmtId="0" fontId="100" fillId="0" borderId="0" xfId="2465" applyNumberFormat="1" applyFont="1" applyFill="1" applyBorder="1"/>
    <xf numFmtId="0" fontId="100" fillId="0" borderId="26" xfId="2465" applyNumberFormat="1" applyFont="1" applyFill="1" applyBorder="1"/>
    <xf numFmtId="9" fontId="100" fillId="0" borderId="26" xfId="2449" applyFont="1" applyFill="1" applyBorder="1"/>
    <xf numFmtId="4" fontId="92" fillId="0" borderId="0" xfId="0" applyNumberFormat="1" applyFont="1"/>
    <xf numFmtId="0" fontId="92" fillId="0" borderId="25" xfId="0" applyFont="1" applyBorder="1"/>
    <xf numFmtId="0" fontId="92" fillId="0" borderId="26" xfId="0" applyFont="1" applyBorder="1"/>
    <xf numFmtId="10" fontId="100" fillId="39" borderId="26" xfId="2449" applyNumberFormat="1" applyFont="1" applyFill="1" applyBorder="1"/>
    <xf numFmtId="10" fontId="100" fillId="48" borderId="26" xfId="2449" applyNumberFormat="1" applyFont="1" applyFill="1" applyBorder="1"/>
    <xf numFmtId="10" fontId="100" fillId="2" borderId="26" xfId="2449" applyNumberFormat="1" applyFont="1" applyFill="1" applyBorder="1"/>
    <xf numFmtId="0" fontId="92" fillId="0" borderId="25" xfId="0" applyFont="1" applyBorder="1" applyAlignment="1">
      <alignment horizontal="left"/>
    </xf>
    <xf numFmtId="0" fontId="92" fillId="0" borderId="0" xfId="0" applyFont="1" applyAlignment="1">
      <alignment horizontal="center"/>
    </xf>
    <xf numFmtId="1" fontId="100" fillId="0" borderId="0" xfId="0" applyNumberFormat="1" applyFont="1" applyAlignment="1">
      <alignment vertical="center"/>
    </xf>
    <xf numFmtId="1" fontId="100" fillId="0" borderId="0" xfId="1894" applyNumberFormat="1" applyFont="1" applyFill="1" applyBorder="1"/>
    <xf numFmtId="1" fontId="105" fillId="0" borderId="0" xfId="0" applyNumberFormat="1" applyFont="1" applyAlignment="1">
      <alignment vertical="center"/>
    </xf>
    <xf numFmtId="10" fontId="92" fillId="0" borderId="0" xfId="0" applyNumberFormat="1" applyFont="1"/>
    <xf numFmtId="10" fontId="92" fillId="0" borderId="26" xfId="0" applyNumberFormat="1" applyFont="1" applyBorder="1"/>
    <xf numFmtId="0" fontId="97" fillId="4" borderId="27" xfId="0" applyFont="1" applyFill="1" applyBorder="1" applyAlignment="1">
      <alignment horizontal="left"/>
    </xf>
    <xf numFmtId="0" fontId="96" fillId="4" borderId="28" xfId="0" applyFont="1" applyFill="1" applyBorder="1" applyAlignment="1">
      <alignment horizontal="center"/>
    </xf>
    <xf numFmtId="0" fontId="96" fillId="0" borderId="28" xfId="0" applyFont="1" applyBorder="1"/>
    <xf numFmtId="10" fontId="96" fillId="0" borderId="28" xfId="2449" quotePrefix="1" applyNumberFormat="1" applyFont="1" applyFill="1" applyBorder="1"/>
    <xf numFmtId="10" fontId="96" fillId="0" borderId="29" xfId="2449" quotePrefix="1" applyNumberFormat="1" applyFont="1" applyFill="1" applyBorder="1"/>
    <xf numFmtId="1" fontId="96" fillId="0" borderId="0" xfId="0" applyNumberFormat="1" applyFont="1" applyAlignment="1">
      <alignment horizontal="right" vertical="center"/>
    </xf>
    <xf numFmtId="186" fontId="92" fillId="0" borderId="39" xfId="0" applyNumberFormat="1" applyFont="1" applyBorder="1" applyAlignment="1">
      <alignment horizontal="center" vertical="center" wrapText="1"/>
    </xf>
    <xf numFmtId="186" fontId="95" fillId="0" borderId="39" xfId="0" applyNumberFormat="1" applyFont="1" applyBorder="1" applyAlignment="1">
      <alignment horizontal="center" vertical="center" wrapText="1"/>
    </xf>
    <xf numFmtId="186" fontId="92" fillId="0" borderId="31" xfId="0" applyNumberFormat="1" applyFont="1" applyBorder="1" applyAlignment="1">
      <alignment horizontal="center" vertical="center" wrapText="1"/>
    </xf>
    <xf numFmtId="10" fontId="100" fillId="0" borderId="0" xfId="2466" applyNumberFormat="1" applyFont="1" applyFill="1" applyBorder="1"/>
    <xf numFmtId="10" fontId="100" fillId="0" borderId="0" xfId="2466" quotePrefix="1" applyNumberFormat="1" applyFont="1" applyFill="1" applyBorder="1"/>
    <xf numFmtId="0" fontId="100" fillId="7" borderId="0" xfId="2466" applyNumberFormat="1" applyFont="1" applyFill="1" applyBorder="1"/>
    <xf numFmtId="0" fontId="100" fillId="7" borderId="0" xfId="2449" applyNumberFormat="1" applyFont="1" applyFill="1" applyBorder="1"/>
    <xf numFmtId="0" fontId="100" fillId="7" borderId="0" xfId="2663" applyNumberFormat="1" applyFont="1" applyFill="1">
      <alignment vertical="center"/>
    </xf>
    <xf numFmtId="0" fontId="100" fillId="7" borderId="26" xfId="2466" applyNumberFormat="1" applyFont="1" applyFill="1" applyBorder="1"/>
    <xf numFmtId="0" fontId="92" fillId="7" borderId="0" xfId="2425" applyFont="1" applyFill="1" applyAlignment="1">
      <alignment vertical="center"/>
    </xf>
    <xf numFmtId="0" fontId="100" fillId="7" borderId="0" xfId="2536" applyNumberFormat="1" applyFont="1" applyFill="1"/>
    <xf numFmtId="4" fontId="92" fillId="7" borderId="0" xfId="0" applyNumberFormat="1" applyFont="1" applyFill="1"/>
    <xf numFmtId="2" fontId="92" fillId="7" borderId="0" xfId="0" applyNumberFormat="1" applyFont="1" applyFill="1"/>
    <xf numFmtId="4" fontId="92" fillId="7" borderId="26" xfId="0" applyNumberFormat="1" applyFont="1" applyFill="1" applyBorder="1"/>
    <xf numFmtId="0" fontId="100" fillId="4" borderId="25" xfId="0" applyFont="1" applyFill="1" applyBorder="1" applyAlignment="1">
      <alignment horizontal="center"/>
    </xf>
    <xf numFmtId="168" fontId="92" fillId="7" borderId="0" xfId="2016" applyFont="1" applyFill="1" applyBorder="1"/>
    <xf numFmtId="168" fontId="92" fillId="7" borderId="0" xfId="2016" applyFont="1" applyFill="1"/>
    <xf numFmtId="38" fontId="92" fillId="7" borderId="0" xfId="0" applyNumberFormat="1" applyFont="1" applyFill="1"/>
    <xf numFmtId="0" fontId="92" fillId="7" borderId="0" xfId="2664" applyNumberFormat="1" applyFont="1" applyFill="1" applyBorder="1">
      <alignment vertical="center"/>
    </xf>
    <xf numFmtId="0" fontId="92" fillId="7" borderId="0" xfId="2449" applyNumberFormat="1" applyFont="1" applyFill="1" applyBorder="1"/>
    <xf numFmtId="0" fontId="92" fillId="7" borderId="0" xfId="2465" applyNumberFormat="1" applyFont="1" applyFill="1" applyBorder="1"/>
    <xf numFmtId="0" fontId="92" fillId="7" borderId="26" xfId="0" applyFont="1" applyFill="1" applyBorder="1"/>
    <xf numFmtId="0" fontId="92" fillId="7" borderId="0" xfId="2536" applyNumberFormat="1" applyFont="1" applyFill="1"/>
    <xf numFmtId="0" fontId="92" fillId="7" borderId="0" xfId="2536" applyNumberFormat="1" applyFont="1" applyFill="1" applyBorder="1"/>
    <xf numFmtId="0" fontId="92" fillId="7" borderId="26" xfId="2465" applyNumberFormat="1" applyFont="1" applyFill="1" applyBorder="1"/>
    <xf numFmtId="1" fontId="92" fillId="7" borderId="0" xfId="2466" applyNumberFormat="1" applyFont="1" applyFill="1" applyBorder="1"/>
    <xf numFmtId="1" fontId="92" fillId="7" borderId="0" xfId="2449" applyNumberFormat="1" applyFont="1" applyFill="1" applyBorder="1"/>
    <xf numFmtId="1" fontId="92" fillId="7" borderId="0" xfId="2536" applyNumberFormat="1" applyFont="1" applyFill="1"/>
    <xf numFmtId="1" fontId="92" fillId="7" borderId="0" xfId="2536" applyNumberFormat="1" applyFont="1" applyFill="1" applyBorder="1"/>
    <xf numFmtId="1" fontId="92" fillId="7" borderId="0" xfId="2465" applyNumberFormat="1" applyFont="1" applyFill="1" applyBorder="1"/>
    <xf numFmtId="1" fontId="92" fillId="7" borderId="26" xfId="2465" applyNumberFormat="1" applyFont="1" applyFill="1" applyBorder="1"/>
    <xf numFmtId="187" fontId="95" fillId="0" borderId="40" xfId="0" applyNumberFormat="1" applyFont="1" applyBorder="1" applyAlignment="1">
      <alignment horizontal="center" vertical="center" wrapText="1"/>
    </xf>
    <xf numFmtId="0" fontId="92" fillId="0" borderId="53" xfId="0" applyFont="1" applyBorder="1" applyAlignment="1">
      <alignment horizontal="center" vertical="center"/>
    </xf>
    <xf numFmtId="2" fontId="46" fillId="0" borderId="15" xfId="2538" applyNumberFormat="1" applyFont="1" applyFill="1" applyBorder="1" applyAlignment="1">
      <alignment horizontal="center" vertical="center" wrapText="1"/>
    </xf>
    <xf numFmtId="17" fontId="107" fillId="0" borderId="34" xfId="0" applyNumberFormat="1" applyFont="1" applyBorder="1" applyAlignment="1">
      <alignment horizontal="center" vertical="center"/>
    </xf>
    <xf numFmtId="17" fontId="107" fillId="0" borderId="5" xfId="0" applyNumberFormat="1" applyFont="1" applyBorder="1" applyAlignment="1">
      <alignment horizontal="center" vertical="center"/>
    </xf>
    <xf numFmtId="17" fontId="107" fillId="0" borderId="35" xfId="0" applyNumberFormat="1" applyFont="1" applyBorder="1" applyAlignment="1">
      <alignment horizontal="center" vertical="center"/>
    </xf>
    <xf numFmtId="17" fontId="107" fillId="0" borderId="54" xfId="0" applyNumberFormat="1" applyFont="1" applyBorder="1" applyAlignment="1">
      <alignment horizontal="center" vertical="center"/>
    </xf>
    <xf numFmtId="17" fontId="107" fillId="0" borderId="60" xfId="0" applyNumberFormat="1" applyFont="1" applyBorder="1" applyAlignment="1">
      <alignment horizontal="center" vertical="center"/>
    </xf>
    <xf numFmtId="0" fontId="46" fillId="0" borderId="0" xfId="0" applyFont="1"/>
    <xf numFmtId="0" fontId="46" fillId="0" borderId="0" xfId="2400" applyFont="1" applyAlignment="1">
      <alignment horizontal="center" vertical="center"/>
    </xf>
    <xf numFmtId="0" fontId="46" fillId="0" borderId="0" xfId="0" applyFont="1" applyAlignment="1">
      <alignment horizontal="center" vertical="center"/>
    </xf>
    <xf numFmtId="0" fontId="22" fillId="0" borderId="15" xfId="0" applyFont="1" applyBorder="1" applyAlignment="1">
      <alignment horizontal="center" vertical="center"/>
    </xf>
    <xf numFmtId="1" fontId="46" fillId="0" borderId="15" xfId="0" applyNumberFormat="1" applyFont="1" applyBorder="1" applyAlignment="1">
      <alignment horizontal="center" vertical="center"/>
    </xf>
    <xf numFmtId="0" fontId="46" fillId="0" borderId="15" xfId="0" applyFont="1" applyBorder="1" applyAlignment="1">
      <alignment horizontal="center" vertical="center"/>
    </xf>
    <xf numFmtId="0" fontId="46" fillId="0" borderId="15" xfId="0" applyFont="1" applyBorder="1" applyAlignment="1">
      <alignment horizontal="center" vertical="center" wrapText="1"/>
    </xf>
    <xf numFmtId="1" fontId="46" fillId="0" borderId="15" xfId="0" applyNumberFormat="1" applyFont="1" applyBorder="1" applyAlignment="1">
      <alignment horizontal="center" vertical="center" wrapText="1"/>
    </xf>
    <xf numFmtId="3" fontId="46" fillId="0" borderId="15" xfId="0" applyNumberFormat="1" applyFont="1" applyBorder="1" applyAlignment="1">
      <alignment horizontal="center" vertical="center"/>
    </xf>
    <xf numFmtId="3" fontId="46" fillId="0" borderId="15" xfId="0" applyNumberFormat="1" applyFont="1" applyBorder="1" applyAlignment="1">
      <alignment horizontal="center" vertical="center" wrapText="1"/>
    </xf>
    <xf numFmtId="2" fontId="46" fillId="0" borderId="15" xfId="0" applyNumberFormat="1" applyFont="1" applyBorder="1" applyAlignment="1">
      <alignment horizontal="center" vertical="center" wrapText="1"/>
    </xf>
    <xf numFmtId="10" fontId="46" fillId="0" borderId="15" xfId="0" applyNumberFormat="1" applyFont="1" applyBorder="1" applyAlignment="1">
      <alignment horizontal="center" vertical="center" wrapText="1"/>
    </xf>
    <xf numFmtId="10" fontId="46" fillId="0" borderId="15" xfId="2400" applyNumberFormat="1" applyFont="1" applyBorder="1" applyAlignment="1">
      <alignment horizontal="center" vertical="center" wrapText="1"/>
    </xf>
    <xf numFmtId="10" fontId="46" fillId="0" borderId="15" xfId="0" applyNumberFormat="1" applyFont="1" applyBorder="1" applyAlignment="1">
      <alignment horizontal="center" vertical="center"/>
    </xf>
    <xf numFmtId="0" fontId="46" fillId="0" borderId="0" xfId="0" applyFont="1" applyAlignment="1">
      <alignment horizontal="center" vertical="center" wrapText="1"/>
    </xf>
    <xf numFmtId="0" fontId="46" fillId="0" borderId="15" xfId="0" applyFont="1" applyBorder="1" applyAlignment="1">
      <alignment vertical="center" wrapText="1"/>
    </xf>
    <xf numFmtId="0" fontId="46" fillId="0" borderId="15" xfId="0" applyFont="1" applyBorder="1" applyAlignment="1">
      <alignment horizontal="left" vertical="center" wrapText="1"/>
    </xf>
    <xf numFmtId="2" fontId="46" fillId="0" borderId="15" xfId="0" applyNumberFormat="1" applyFont="1" applyBorder="1" applyAlignment="1">
      <alignment horizontal="center" vertical="center"/>
    </xf>
    <xf numFmtId="0" fontId="22" fillId="0" borderId="15" xfId="0" applyFont="1" applyBorder="1" applyAlignment="1">
      <alignment horizontal="center" vertical="center" wrapText="1"/>
    </xf>
    <xf numFmtId="0" fontId="46" fillId="51" borderId="15" xfId="0" applyFont="1" applyFill="1" applyBorder="1" applyAlignment="1">
      <alignment horizontal="center" vertical="center" wrapText="1"/>
    </xf>
    <xf numFmtId="3" fontId="22" fillId="0" borderId="15" xfId="0" applyNumberFormat="1" applyFont="1" applyBorder="1" applyAlignment="1">
      <alignment horizontal="center" vertical="center" wrapText="1"/>
    </xf>
    <xf numFmtId="10" fontId="22" fillId="0" borderId="15" xfId="0" applyNumberFormat="1" applyFont="1" applyBorder="1" applyAlignment="1">
      <alignment horizontal="center" vertical="center" wrapText="1"/>
    </xf>
    <xf numFmtId="10" fontId="22" fillId="0" borderId="15" xfId="2466" applyNumberFormat="1" applyFont="1" applyFill="1" applyBorder="1" applyAlignment="1">
      <alignment horizontal="center" vertical="center" wrapText="1"/>
    </xf>
    <xf numFmtId="9" fontId="46" fillId="0" borderId="15" xfId="2466" applyFont="1" applyFill="1" applyBorder="1" applyAlignment="1">
      <alignment horizontal="center" vertical="center"/>
    </xf>
    <xf numFmtId="1" fontId="22" fillId="0" borderId="15" xfId="2801" applyNumberFormat="1" applyFont="1" applyBorder="1" applyAlignment="1">
      <alignment horizontal="center" vertical="center"/>
    </xf>
    <xf numFmtId="0" fontId="46" fillId="0" borderId="15" xfId="2801" applyFont="1" applyBorder="1" applyAlignment="1">
      <alignment horizontal="center" vertical="center"/>
    </xf>
    <xf numFmtId="0" fontId="46" fillId="0" borderId="15" xfId="2400" applyFont="1" applyBorder="1" applyAlignment="1">
      <alignment horizontal="center" vertical="center"/>
    </xf>
    <xf numFmtId="0" fontId="93" fillId="0" borderId="76" xfId="0" applyFont="1" applyBorder="1" applyAlignment="1">
      <alignment horizontal="center" vertical="center" wrapText="1" shrinkToFit="1"/>
    </xf>
    <xf numFmtId="0" fontId="0" fillId="0" borderId="31" xfId="0" applyBorder="1" applyAlignment="1">
      <alignment horizontal="center" vertical="center"/>
    </xf>
    <xf numFmtId="2" fontId="46" fillId="0" borderId="44" xfId="0" applyNumberFormat="1" applyFont="1" applyBorder="1" applyAlignment="1">
      <alignment horizontal="center" vertical="center" wrapText="1"/>
    </xf>
    <xf numFmtId="0" fontId="113" fillId="0" borderId="0" xfId="0" applyFont="1"/>
    <xf numFmtId="0" fontId="46" fillId="0" borderId="0" xfId="0" applyFont="1" applyAlignment="1">
      <alignment horizontal="left" vertical="center"/>
    </xf>
    <xf numFmtId="0" fontId="46" fillId="0" borderId="0" xfId="0" applyFont="1" applyAlignment="1">
      <alignment vertical="center"/>
    </xf>
    <xf numFmtId="0" fontId="22" fillId="0" borderId="0" xfId="0" applyFont="1"/>
    <xf numFmtId="0" fontId="46" fillId="0" borderId="0" xfId="0" applyFont="1" applyAlignment="1">
      <alignment horizontal="center"/>
    </xf>
    <xf numFmtId="37" fontId="46" fillId="0" borderId="15" xfId="1883" applyNumberFormat="1" applyFont="1" applyFill="1" applyBorder="1" applyAlignment="1">
      <alignment horizontal="center" vertical="center" wrapText="1"/>
    </xf>
    <xf numFmtId="0" fontId="46" fillId="0" borderId="63" xfId="0" applyFont="1" applyBorder="1" applyAlignment="1">
      <alignment horizontal="left" vertical="center"/>
    </xf>
    <xf numFmtId="0" fontId="46" fillId="0" borderId="56" xfId="0" applyFont="1" applyBorder="1" applyAlignment="1">
      <alignment horizontal="left" vertical="center"/>
    </xf>
    <xf numFmtId="9" fontId="46" fillId="0" borderId="15" xfId="2466" applyFont="1" applyFill="1" applyBorder="1" applyAlignment="1">
      <alignment horizontal="center" vertical="center" wrapText="1"/>
    </xf>
    <xf numFmtId="9" fontId="46" fillId="0" borderId="15" xfId="0" applyNumberFormat="1" applyFont="1" applyBorder="1" applyAlignment="1">
      <alignment horizontal="center" vertical="center" wrapText="1"/>
    </xf>
    <xf numFmtId="0" fontId="46" fillId="0" borderId="15" xfId="0" applyFont="1" applyBorder="1"/>
    <xf numFmtId="10" fontId="22" fillId="0" borderId="15" xfId="0" applyNumberFormat="1" applyFont="1" applyBorder="1" applyAlignment="1">
      <alignment horizontal="center" vertical="center"/>
    </xf>
    <xf numFmtId="1" fontId="46" fillId="0" borderId="15" xfId="2801" applyNumberFormat="1" applyFont="1" applyBorder="1" applyAlignment="1">
      <alignment horizontal="center" vertical="center"/>
    </xf>
    <xf numFmtId="0" fontId="46" fillId="0" borderId="0" xfId="2801" applyFont="1"/>
    <xf numFmtId="0" fontId="95" fillId="0" borderId="53" xfId="0" applyFont="1" applyBorder="1" applyAlignment="1">
      <alignment horizontal="center" vertical="center" wrapText="1"/>
    </xf>
    <xf numFmtId="0" fontId="96" fillId="0" borderId="61" xfId="0" applyFont="1" applyBorder="1" applyAlignment="1">
      <alignment horizontal="center" vertical="center" textRotation="180" wrapText="1"/>
    </xf>
    <xf numFmtId="0" fontId="96" fillId="0" borderId="38" xfId="0" applyFont="1" applyBorder="1" applyAlignment="1">
      <alignment horizontal="center" vertical="center" textRotation="180" wrapText="1"/>
    </xf>
    <xf numFmtId="0" fontId="96" fillId="0" borderId="15" xfId="0" applyFont="1" applyBorder="1" applyAlignment="1">
      <alignment horizontal="center" vertical="center" textRotation="180" wrapText="1"/>
    </xf>
    <xf numFmtId="0" fontId="96" fillId="0" borderId="43" xfId="0" applyFont="1" applyBorder="1" applyAlignment="1">
      <alignment horizontal="center" vertical="center" textRotation="180" wrapText="1"/>
    </xf>
    <xf numFmtId="0" fontId="118" fillId="0" borderId="37" xfId="0" applyFont="1" applyBorder="1" applyAlignment="1">
      <alignment horizontal="center" vertical="center"/>
    </xf>
    <xf numFmtId="0" fontId="118" fillId="0" borderId="40" xfId="0" applyFont="1" applyBorder="1" applyAlignment="1">
      <alignment horizontal="center" vertical="center"/>
    </xf>
    <xf numFmtId="0" fontId="95" fillId="0" borderId="39" xfId="0" applyFont="1" applyBorder="1" applyAlignment="1">
      <alignment horizontal="center" vertical="center"/>
    </xf>
    <xf numFmtId="0" fontId="100" fillId="11" borderId="25" xfId="0" applyFont="1" applyFill="1" applyBorder="1" applyAlignment="1">
      <alignment horizontal="center" vertical="center"/>
    </xf>
    <xf numFmtId="0" fontId="95" fillId="0" borderId="7" xfId="0" applyFont="1" applyBorder="1" applyAlignment="1">
      <alignment horizontal="left" vertical="center" wrapText="1"/>
    </xf>
    <xf numFmtId="0" fontId="95" fillId="0" borderId="96" xfId="0" applyFont="1" applyBorder="1" applyAlignment="1">
      <alignment horizontal="left" vertical="center" wrapText="1"/>
    </xf>
    <xf numFmtId="0" fontId="105" fillId="0" borderId="35" xfId="0" applyFont="1" applyBorder="1" applyAlignment="1">
      <alignment horizontal="center" vertical="center" wrapText="1"/>
    </xf>
    <xf numFmtId="0" fontId="105" fillId="0" borderId="36" xfId="0" applyFont="1" applyBorder="1" applyAlignment="1">
      <alignment horizontal="center" vertical="center" wrapText="1"/>
    </xf>
    <xf numFmtId="0" fontId="95" fillId="0" borderId="34" xfId="0" applyFont="1" applyBorder="1" applyAlignment="1">
      <alignment horizontal="center" vertical="center"/>
    </xf>
    <xf numFmtId="0" fontId="95" fillId="0" borderId="35" xfId="0" applyFont="1" applyBorder="1" applyAlignment="1">
      <alignment horizontal="center" vertical="center" wrapText="1"/>
    </xf>
    <xf numFmtId="0" fontId="95" fillId="0" borderId="36" xfId="0" applyFont="1" applyBorder="1" applyAlignment="1">
      <alignment horizontal="center" vertical="center" wrapText="1"/>
    </xf>
    <xf numFmtId="0" fontId="95" fillId="0" borderId="0" xfId="0" applyFont="1"/>
    <xf numFmtId="0" fontId="96" fillId="0" borderId="98" xfId="0" applyFont="1" applyBorder="1" applyAlignment="1">
      <alignment horizontal="center" vertical="center" wrapText="1" shrinkToFit="1"/>
    </xf>
    <xf numFmtId="17" fontId="95" fillId="0" borderId="33" xfId="0" applyNumberFormat="1" applyFont="1" applyBorder="1" applyAlignment="1">
      <alignment horizontal="center" vertical="center"/>
    </xf>
    <xf numFmtId="0" fontId="95" fillId="0" borderId="37" xfId="0" applyFont="1" applyBorder="1" applyAlignment="1">
      <alignment horizontal="center" vertical="center"/>
    </xf>
    <xf numFmtId="0" fontId="96" fillId="0" borderId="64" xfId="0" applyFont="1" applyBorder="1" applyAlignment="1">
      <alignment horizontal="center" vertical="center" textRotation="180" wrapText="1"/>
    </xf>
    <xf numFmtId="186" fontId="95" fillId="0" borderId="37" xfId="0" applyNumberFormat="1" applyFont="1" applyBorder="1" applyAlignment="1">
      <alignment horizontal="center" vertical="center" wrapText="1"/>
    </xf>
    <xf numFmtId="0" fontId="95" fillId="0" borderId="46" xfId="0" applyFont="1" applyBorder="1" applyAlignment="1">
      <alignment horizontal="center" vertical="center"/>
    </xf>
    <xf numFmtId="0" fontId="96" fillId="0" borderId="65" xfId="0" applyFont="1" applyBorder="1" applyAlignment="1">
      <alignment horizontal="center" vertical="center" textRotation="180" wrapText="1"/>
    </xf>
    <xf numFmtId="186" fontId="95" fillId="0" borderId="53" xfId="0" applyNumberFormat="1" applyFont="1" applyBorder="1" applyAlignment="1">
      <alignment horizontal="center" vertical="center" wrapText="1"/>
    </xf>
    <xf numFmtId="0" fontId="95" fillId="0" borderId="40" xfId="0" applyFont="1" applyBorder="1" applyAlignment="1">
      <alignment horizontal="center" vertical="center"/>
    </xf>
    <xf numFmtId="0" fontId="96" fillId="0" borderId="66" xfId="0" applyFont="1" applyBorder="1" applyAlignment="1">
      <alignment horizontal="center" vertical="center" textRotation="180" wrapText="1"/>
    </xf>
    <xf numFmtId="0" fontId="95" fillId="0" borderId="67" xfId="0" applyFont="1" applyBorder="1" applyAlignment="1">
      <alignment horizontal="center" vertical="center"/>
    </xf>
    <xf numFmtId="0" fontId="95" fillId="0" borderId="51" xfId="0" applyFont="1" applyBorder="1" applyAlignment="1">
      <alignment horizontal="center" vertical="center"/>
    </xf>
    <xf numFmtId="0" fontId="95" fillId="0" borderId="40" xfId="0" applyFont="1" applyBorder="1" applyAlignment="1">
      <alignment horizontal="center" vertical="center" wrapText="1"/>
    </xf>
    <xf numFmtId="0" fontId="96" fillId="0" borderId="41" xfId="0" applyFont="1" applyBorder="1" applyAlignment="1">
      <alignment horizontal="center" vertical="center" textRotation="180" wrapText="1"/>
    </xf>
    <xf numFmtId="0" fontId="95" fillId="0" borderId="52" xfId="0" applyFont="1" applyBorder="1" applyAlignment="1">
      <alignment horizontal="center" vertical="center"/>
    </xf>
    <xf numFmtId="0" fontId="95" fillId="0" borderId="63" xfId="0" applyFont="1" applyBorder="1" applyAlignment="1">
      <alignment horizontal="left" vertical="center" wrapText="1"/>
    </xf>
    <xf numFmtId="0" fontId="96" fillId="0" borderId="44" xfId="0" applyFont="1" applyBorder="1" applyAlignment="1">
      <alignment horizontal="center" vertical="center" textRotation="180" wrapText="1"/>
    </xf>
    <xf numFmtId="0" fontId="96" fillId="0" borderId="45" xfId="0" applyFont="1" applyBorder="1" applyAlignment="1">
      <alignment horizontal="center" vertical="center" textRotation="180" wrapText="1"/>
    </xf>
    <xf numFmtId="0" fontId="95" fillId="0" borderId="62" xfId="0" applyFont="1" applyBorder="1" applyAlignment="1">
      <alignment horizontal="center" vertical="center"/>
    </xf>
    <xf numFmtId="186" fontId="95" fillId="0" borderId="39" xfId="0" quotePrefix="1" applyNumberFormat="1" applyFont="1" applyBorder="1" applyAlignment="1">
      <alignment horizontal="center" vertical="center" wrapText="1"/>
    </xf>
    <xf numFmtId="0" fontId="95" fillId="0" borderId="27" xfId="0" applyFont="1" applyBorder="1" applyAlignment="1">
      <alignment horizontal="center" vertical="center"/>
    </xf>
    <xf numFmtId="0" fontId="95" fillId="0" borderId="48" xfId="0" applyFont="1" applyBorder="1" applyAlignment="1">
      <alignment horizontal="center" vertical="center" wrapText="1"/>
    </xf>
    <xf numFmtId="0" fontId="96" fillId="0" borderId="49" xfId="0" applyFont="1" applyBorder="1" applyAlignment="1">
      <alignment horizontal="center" vertical="center" textRotation="180" wrapText="1"/>
    </xf>
    <xf numFmtId="0" fontId="96" fillId="0" borderId="50" xfId="0" applyFont="1" applyBorder="1" applyAlignment="1">
      <alignment horizontal="center" vertical="center" textRotation="180" wrapText="1"/>
    </xf>
    <xf numFmtId="186" fontId="95" fillId="0" borderId="31" xfId="0" quotePrefix="1" applyNumberFormat="1" applyFont="1" applyBorder="1" applyAlignment="1">
      <alignment horizontal="center" vertical="center" wrapText="1"/>
    </xf>
    <xf numFmtId="0" fontId="95" fillId="0" borderId="25" xfId="0" applyFont="1" applyBorder="1" applyAlignment="1">
      <alignment horizontal="center" vertical="center"/>
    </xf>
    <xf numFmtId="0" fontId="95" fillId="0" borderId="0" xfId="0" applyFont="1" applyAlignment="1">
      <alignment horizontal="center" vertical="center" wrapText="1"/>
    </xf>
    <xf numFmtId="0" fontId="96" fillId="0" borderId="0" xfId="0" applyFont="1" applyAlignment="1">
      <alignment horizontal="center" vertical="center" textRotation="180" wrapText="1"/>
    </xf>
    <xf numFmtId="0" fontId="95" fillId="11" borderId="0" xfId="0" applyFont="1" applyFill="1" applyAlignment="1">
      <alignment horizontal="left" vertical="center" wrapText="1"/>
    </xf>
    <xf numFmtId="0" fontId="95" fillId="11" borderId="0" xfId="0" applyFont="1" applyFill="1" applyAlignment="1">
      <alignment vertical="center" wrapText="1"/>
    </xf>
    <xf numFmtId="0" fontId="95" fillId="11" borderId="0" xfId="0" applyFont="1" applyFill="1" applyAlignment="1">
      <alignment horizontal="center" vertical="center" wrapText="1"/>
    </xf>
    <xf numFmtId="0" fontId="96" fillId="11" borderId="0" xfId="0" applyFont="1" applyFill="1" applyAlignment="1">
      <alignment horizontal="center" vertical="center" textRotation="180" wrapText="1"/>
    </xf>
    <xf numFmtId="187" fontId="95" fillId="11" borderId="0" xfId="0" applyNumberFormat="1" applyFont="1" applyFill="1" applyAlignment="1">
      <alignment horizontal="center" vertical="center" wrapText="1"/>
    </xf>
    <xf numFmtId="0" fontId="95" fillId="11" borderId="0" xfId="0" applyFont="1" applyFill="1" applyAlignment="1">
      <alignment horizontal="center" vertical="center" wrapText="1" shrinkToFit="1"/>
    </xf>
    <xf numFmtId="0" fontId="95" fillId="11" borderId="26" xfId="0" applyFont="1" applyFill="1" applyBorder="1" applyAlignment="1">
      <alignment horizontal="center" vertical="center" wrapText="1" shrinkToFit="1"/>
    </xf>
    <xf numFmtId="0" fontId="95" fillId="11" borderId="25" xfId="0" applyFont="1" applyFill="1" applyBorder="1" applyAlignment="1">
      <alignment horizontal="center" vertical="center"/>
    </xf>
    <xf numFmtId="1" fontId="95" fillId="0" borderId="0" xfId="0" applyNumberFormat="1" applyFont="1"/>
    <xf numFmtId="0" fontId="95" fillId="11" borderId="0" xfId="0" applyFont="1" applyFill="1" applyAlignment="1">
      <alignment vertical="center" wrapText="1" shrinkToFit="1"/>
    </xf>
    <xf numFmtId="0" fontId="95" fillId="11" borderId="26" xfId="0" applyFont="1" applyFill="1" applyBorder="1" applyAlignment="1">
      <alignment vertical="center" wrapText="1" shrinkToFit="1"/>
    </xf>
    <xf numFmtId="0" fontId="95" fillId="0" borderId="27" xfId="0" applyFont="1" applyBorder="1"/>
    <xf numFmtId="0" fontId="95" fillId="0" borderId="28" xfId="0" applyFont="1" applyBorder="1"/>
    <xf numFmtId="0" fontId="95" fillId="0" borderId="29" xfId="0" applyFont="1" applyBorder="1"/>
    <xf numFmtId="0" fontId="95" fillId="7" borderId="0" xfId="0" applyFont="1" applyFill="1"/>
    <xf numFmtId="0" fontId="96" fillId="0" borderId="22" xfId="0" applyFont="1" applyBorder="1"/>
    <xf numFmtId="0" fontId="95" fillId="0" borderId="23" xfId="0" applyFont="1" applyBorder="1"/>
    <xf numFmtId="0" fontId="95" fillId="0" borderId="24" xfId="0" applyFont="1" applyBorder="1"/>
    <xf numFmtId="0" fontId="96" fillId="0" borderId="25" xfId="0" applyFont="1" applyBorder="1"/>
    <xf numFmtId="17" fontId="95" fillId="0" borderId="0" xfId="0" applyNumberFormat="1" applyFont="1"/>
    <xf numFmtId="17" fontId="95" fillId="0" borderId="26" xfId="0" applyNumberFormat="1" applyFont="1" applyBorder="1"/>
    <xf numFmtId="2" fontId="95" fillId="22" borderId="25" xfId="2449" applyNumberFormat="1" applyFont="1" applyFill="1" applyBorder="1"/>
    <xf numFmtId="2" fontId="95" fillId="22" borderId="0" xfId="0" applyNumberFormat="1" applyFont="1" applyFill="1"/>
    <xf numFmtId="2" fontId="95" fillId="0" borderId="26" xfId="0" applyNumberFormat="1" applyFont="1" applyBorder="1"/>
    <xf numFmtId="2" fontId="95" fillId="39" borderId="0" xfId="0" applyNumberFormat="1" applyFont="1" applyFill="1"/>
    <xf numFmtId="2" fontId="95" fillId="39" borderId="26" xfId="2364" applyNumberFormat="1" applyFont="1" applyFill="1" applyBorder="1"/>
    <xf numFmtId="2" fontId="95" fillId="48" borderId="0" xfId="0" applyNumberFormat="1" applyFont="1" applyFill="1"/>
    <xf numFmtId="2" fontId="95" fillId="48" borderId="26" xfId="0" applyNumberFormat="1" applyFont="1" applyFill="1" applyBorder="1"/>
    <xf numFmtId="2" fontId="95" fillId="2" borderId="0" xfId="0" applyNumberFormat="1" applyFont="1" applyFill="1"/>
    <xf numFmtId="2" fontId="95" fillId="2" borderId="26" xfId="0" applyNumberFormat="1" applyFont="1" applyFill="1" applyBorder="1"/>
    <xf numFmtId="0" fontId="95" fillId="4" borderId="25" xfId="0" applyFont="1" applyFill="1" applyBorder="1" applyAlignment="1">
      <alignment horizontal="center"/>
    </xf>
    <xf numFmtId="0" fontId="95" fillId="4" borderId="0" xfId="0" applyFont="1" applyFill="1" applyAlignment="1">
      <alignment horizontal="center"/>
    </xf>
    <xf numFmtId="0" fontId="95" fillId="22" borderId="0" xfId="0" applyFont="1" applyFill="1"/>
    <xf numFmtId="1" fontId="95" fillId="22" borderId="0" xfId="0" applyNumberFormat="1" applyFont="1" applyFill="1"/>
    <xf numFmtId="1" fontId="95" fillId="22" borderId="26" xfId="0" applyNumberFormat="1" applyFont="1" applyFill="1" applyBorder="1"/>
    <xf numFmtId="1" fontId="95" fillId="7" borderId="0" xfId="0" applyNumberFormat="1" applyFont="1" applyFill="1"/>
    <xf numFmtId="1" fontId="95" fillId="7" borderId="26" xfId="0" applyNumberFormat="1" applyFont="1" applyFill="1" applyBorder="1"/>
    <xf numFmtId="1" fontId="95" fillId="0" borderId="26" xfId="0" applyNumberFormat="1" applyFont="1" applyBorder="1"/>
    <xf numFmtId="10" fontId="95" fillId="0" borderId="0" xfId="2449" applyNumberFormat="1" applyFont="1" applyFill="1" applyBorder="1"/>
    <xf numFmtId="10" fontId="95" fillId="0" borderId="26" xfId="2449" applyNumberFormat="1" applyFont="1" applyFill="1" applyBorder="1"/>
    <xf numFmtId="10" fontId="95" fillId="0" borderId="0" xfId="2449" quotePrefix="1" applyNumberFormat="1" applyFont="1" applyFill="1" applyBorder="1"/>
    <xf numFmtId="10" fontId="95" fillId="0" borderId="26" xfId="2449" quotePrefix="1" applyNumberFormat="1" applyFont="1" applyFill="1" applyBorder="1"/>
    <xf numFmtId="10" fontId="96" fillId="0" borderId="0" xfId="0" applyNumberFormat="1" applyFont="1"/>
    <xf numFmtId="10" fontId="96" fillId="0" borderId="26" xfId="0" applyNumberFormat="1" applyFont="1" applyBorder="1"/>
    <xf numFmtId="0" fontId="95" fillId="0" borderId="25" xfId="0" applyFont="1" applyBorder="1" applyAlignment="1">
      <alignment vertical="center"/>
    </xf>
    <xf numFmtId="0" fontId="95" fillId="0" borderId="0" xfId="0" applyFont="1" applyAlignment="1">
      <alignment vertical="center"/>
    </xf>
    <xf numFmtId="10" fontId="95" fillId="0" borderId="0" xfId="0" applyNumberFormat="1" applyFont="1" applyAlignment="1">
      <alignment vertical="center"/>
    </xf>
    <xf numFmtId="10" fontId="95" fillId="0" borderId="26" xfId="0" applyNumberFormat="1" applyFont="1" applyBorder="1" applyAlignment="1">
      <alignment vertical="center"/>
    </xf>
    <xf numFmtId="2" fontId="95" fillId="0" borderId="0" xfId="0" applyNumberFormat="1" applyFont="1"/>
    <xf numFmtId="10" fontId="95" fillId="22" borderId="25" xfId="2449" applyNumberFormat="1" applyFont="1" applyFill="1" applyBorder="1"/>
    <xf numFmtId="0" fontId="95" fillId="2" borderId="0" xfId="0" applyFont="1" applyFill="1"/>
    <xf numFmtId="1" fontId="95" fillId="22" borderId="0" xfId="2449" applyNumberFormat="1" applyFont="1" applyFill="1" applyBorder="1"/>
    <xf numFmtId="1" fontId="95" fillId="2" borderId="26" xfId="2449" applyNumberFormat="1" applyFont="1" applyFill="1" applyBorder="1"/>
    <xf numFmtId="0" fontId="95" fillId="48" borderId="0" xfId="0" applyFont="1" applyFill="1"/>
    <xf numFmtId="1" fontId="95" fillId="48" borderId="26" xfId="2449" applyNumberFormat="1" applyFont="1" applyFill="1" applyBorder="1"/>
    <xf numFmtId="0" fontId="95" fillId="39" borderId="0" xfId="0" applyFont="1" applyFill="1"/>
    <xf numFmtId="1" fontId="95" fillId="39" borderId="26" xfId="2449" applyNumberFormat="1" applyFont="1" applyFill="1" applyBorder="1"/>
    <xf numFmtId="1" fontId="95" fillId="22" borderId="26" xfId="2449" applyNumberFormat="1" applyFont="1" applyFill="1" applyBorder="1"/>
    <xf numFmtId="0" fontId="96" fillId="4" borderId="25" xfId="0" applyFont="1" applyFill="1" applyBorder="1" applyAlignment="1">
      <alignment horizontal="left"/>
    </xf>
    <xf numFmtId="1" fontId="95" fillId="0" borderId="0" xfId="2449" applyNumberFormat="1" applyFont="1" applyBorder="1" applyAlignment="1"/>
    <xf numFmtId="1" fontId="95" fillId="0" borderId="0" xfId="2449" applyNumberFormat="1" applyFont="1" applyFill="1" applyBorder="1"/>
    <xf numFmtId="1" fontId="95" fillId="0" borderId="26" xfId="2449" applyNumberFormat="1" applyFont="1" applyFill="1" applyBorder="1"/>
    <xf numFmtId="10" fontId="95" fillId="0" borderId="0" xfId="2449" applyNumberFormat="1" applyFont="1" applyBorder="1" applyAlignment="1"/>
    <xf numFmtId="0" fontId="95" fillId="7" borderId="0" xfId="2465" applyNumberFormat="1" applyFont="1" applyFill="1" applyBorder="1"/>
    <xf numFmtId="0" fontId="95" fillId="7" borderId="26" xfId="2465" applyNumberFormat="1" applyFont="1" applyFill="1" applyBorder="1"/>
    <xf numFmtId="189" fontId="95" fillId="0" borderId="0" xfId="2449" applyNumberFormat="1" applyFont="1" applyFill="1" applyBorder="1"/>
    <xf numFmtId="189" fontId="95" fillId="0" borderId="26" xfId="2449" applyNumberFormat="1" applyFont="1" applyFill="1" applyBorder="1"/>
    <xf numFmtId="0" fontId="95" fillId="4" borderId="25" xfId="0" applyFont="1" applyFill="1" applyBorder="1" applyAlignment="1">
      <alignment horizontal="left"/>
    </xf>
    <xf numFmtId="0" fontId="95" fillId="0" borderId="26" xfId="0" applyFont="1" applyBorder="1" applyAlignment="1">
      <alignment vertical="center"/>
    </xf>
    <xf numFmtId="10" fontId="95" fillId="22" borderId="0" xfId="2449" applyNumberFormat="1" applyFont="1" applyFill="1" applyBorder="1"/>
    <xf numFmtId="10" fontId="95" fillId="2" borderId="26" xfId="0" applyNumberFormat="1" applyFont="1" applyFill="1" applyBorder="1"/>
    <xf numFmtId="10" fontId="95" fillId="22" borderId="0" xfId="0" applyNumberFormat="1" applyFont="1" applyFill="1"/>
    <xf numFmtId="10" fontId="95" fillId="48" borderId="26" xfId="0" applyNumberFormat="1" applyFont="1" applyFill="1" applyBorder="1"/>
    <xf numFmtId="10" fontId="95" fillId="39" borderId="26" xfId="0" applyNumberFormat="1" applyFont="1" applyFill="1" applyBorder="1"/>
    <xf numFmtId="10" fontId="95" fillId="22" borderId="26" xfId="2449" applyNumberFormat="1" applyFont="1" applyFill="1" applyBorder="1"/>
    <xf numFmtId="9" fontId="95" fillId="0" borderId="0" xfId="2449" applyFont="1" applyFill="1" applyBorder="1"/>
    <xf numFmtId="0" fontId="95" fillId="11" borderId="0" xfId="2424" applyFont="1" applyFill="1">
      <alignment vertical="center"/>
    </xf>
    <xf numFmtId="0" fontId="95" fillId="0" borderId="0" xfId="2465" applyNumberFormat="1" applyFont="1" applyFill="1" applyBorder="1"/>
    <xf numFmtId="0" fontId="95" fillId="0" borderId="26" xfId="2465" applyNumberFormat="1" applyFont="1" applyFill="1" applyBorder="1"/>
    <xf numFmtId="9" fontId="95" fillId="0" borderId="26" xfId="2449" applyFont="1" applyFill="1" applyBorder="1"/>
    <xf numFmtId="4" fontId="95" fillId="0" borderId="0" xfId="0" applyNumberFormat="1" applyFont="1"/>
    <xf numFmtId="4" fontId="117" fillId="7" borderId="26" xfId="0" applyNumberFormat="1" applyFont="1" applyFill="1" applyBorder="1"/>
    <xf numFmtId="0" fontId="95" fillId="0" borderId="25" xfId="0" applyFont="1" applyBorder="1"/>
    <xf numFmtId="0" fontId="95" fillId="0" borderId="26" xfId="0" applyFont="1" applyBorder="1"/>
    <xf numFmtId="10" fontId="95" fillId="39" borderId="26" xfId="2449" applyNumberFormat="1" applyFont="1" applyFill="1" applyBorder="1"/>
    <xf numFmtId="10" fontId="95" fillId="48" borderId="26" xfId="2449" applyNumberFormat="1" applyFont="1" applyFill="1" applyBorder="1"/>
    <xf numFmtId="10" fontId="95" fillId="2" borderId="26" xfId="2449" applyNumberFormat="1" applyFont="1" applyFill="1" applyBorder="1"/>
    <xf numFmtId="165" fontId="120" fillId="7" borderId="0" xfId="1894" applyNumberFormat="1" applyFont="1" applyFill="1" applyBorder="1"/>
    <xf numFmtId="165" fontId="120" fillId="7" borderId="26" xfId="1894" applyNumberFormat="1" applyFont="1" applyFill="1" applyBorder="1"/>
    <xf numFmtId="0" fontId="95" fillId="0" borderId="25" xfId="0" applyFont="1" applyBorder="1" applyAlignment="1">
      <alignment horizontal="left"/>
    </xf>
    <xf numFmtId="0" fontId="95" fillId="0" borderId="0" xfId="0" applyFont="1" applyAlignment="1">
      <alignment horizontal="center"/>
    </xf>
    <xf numFmtId="0" fontId="120" fillId="7" borderId="0" xfId="2536" applyNumberFormat="1" applyFont="1" applyFill="1" applyBorder="1"/>
    <xf numFmtId="0" fontId="120" fillId="7" borderId="26" xfId="2536" applyNumberFormat="1" applyFont="1" applyFill="1" applyBorder="1"/>
    <xf numFmtId="1" fontId="120" fillId="7" borderId="0" xfId="2536" applyNumberFormat="1" applyFont="1" applyFill="1" applyBorder="1"/>
    <xf numFmtId="1" fontId="120" fillId="7" borderId="26" xfId="2536" applyNumberFormat="1" applyFont="1" applyFill="1" applyBorder="1"/>
    <xf numFmtId="1" fontId="95" fillId="0" borderId="0" xfId="0" applyNumberFormat="1" applyFont="1" applyAlignment="1">
      <alignment vertical="center"/>
    </xf>
    <xf numFmtId="1" fontId="95" fillId="0" borderId="0" xfId="1894" applyNumberFormat="1" applyFont="1" applyFill="1" applyBorder="1"/>
    <xf numFmtId="10" fontId="95" fillId="22" borderId="26" xfId="0" applyNumberFormat="1" applyFont="1" applyFill="1" applyBorder="1"/>
    <xf numFmtId="10" fontId="95" fillId="7" borderId="26" xfId="0" applyNumberFormat="1" applyFont="1" applyFill="1" applyBorder="1"/>
    <xf numFmtId="10" fontId="95" fillId="0" borderId="0" xfId="0" applyNumberFormat="1" applyFont="1"/>
    <xf numFmtId="10" fontId="95" fillId="0" borderId="26" xfId="0" applyNumberFormat="1" applyFont="1" applyBorder="1"/>
    <xf numFmtId="0" fontId="96" fillId="4" borderId="27" xfId="0" applyFont="1" applyFill="1" applyBorder="1" applyAlignment="1">
      <alignment horizontal="left"/>
    </xf>
    <xf numFmtId="10" fontId="95" fillId="0" borderId="0" xfId="2449" applyNumberFormat="1" applyFont="1"/>
    <xf numFmtId="0" fontId="121" fillId="0" borderId="0" xfId="0" applyFont="1"/>
    <xf numFmtId="0" fontId="96" fillId="0" borderId="30" xfId="0" applyFont="1" applyBorder="1" applyAlignment="1">
      <alignment horizontal="center" vertical="center" wrapText="1" shrinkToFit="1"/>
    </xf>
    <xf numFmtId="17" fontId="95" fillId="0" borderId="34" xfId="0" applyNumberFormat="1" applyFont="1" applyBorder="1" applyAlignment="1">
      <alignment horizontal="center" vertical="center"/>
    </xf>
    <xf numFmtId="17" fontId="95" fillId="0" borderId="5" xfId="0" applyNumberFormat="1" applyFont="1" applyBorder="1" applyAlignment="1">
      <alignment horizontal="center" vertical="center"/>
    </xf>
    <xf numFmtId="17" fontId="95" fillId="0" borderId="54" xfId="0" applyNumberFormat="1" applyFont="1" applyBorder="1" applyAlignment="1">
      <alignment horizontal="center" vertical="center"/>
    </xf>
    <xf numFmtId="17" fontId="95" fillId="0" borderId="35" xfId="0" applyNumberFormat="1" applyFont="1" applyBorder="1" applyAlignment="1">
      <alignment horizontal="center" vertical="center"/>
    </xf>
    <xf numFmtId="0" fontId="95" fillId="0" borderId="22" xfId="0" applyFont="1" applyBorder="1" applyAlignment="1">
      <alignment horizontal="center" vertical="center"/>
    </xf>
    <xf numFmtId="186" fontId="95" fillId="0" borderId="39" xfId="0" applyNumberFormat="1" applyFont="1" applyBorder="1" applyAlignment="1">
      <alignment horizontal="left" vertical="center" wrapText="1"/>
    </xf>
    <xf numFmtId="0" fontId="95" fillId="0" borderId="68" xfId="0" applyFont="1" applyBorder="1" applyAlignment="1">
      <alignment horizontal="center" vertical="center"/>
    </xf>
    <xf numFmtId="0" fontId="95" fillId="0" borderId="100" xfId="0" applyFont="1" applyBorder="1" applyAlignment="1">
      <alignment horizontal="center" vertical="center"/>
    </xf>
    <xf numFmtId="186" fontId="95" fillId="0" borderId="40" xfId="0" applyNumberFormat="1" applyFont="1" applyBorder="1" applyAlignment="1">
      <alignment horizontal="left" vertical="center" wrapText="1"/>
    </xf>
    <xf numFmtId="186" fontId="95" fillId="0" borderId="40" xfId="0" applyNumberFormat="1" applyFont="1" applyBorder="1" applyAlignment="1">
      <alignment horizontal="center" vertical="center" wrapText="1"/>
    </xf>
    <xf numFmtId="0" fontId="95" fillId="0" borderId="56" xfId="0" applyFont="1" applyBorder="1" applyAlignment="1">
      <alignment horizontal="center" vertical="center" wrapText="1"/>
    </xf>
    <xf numFmtId="186" fontId="95" fillId="0" borderId="46" xfId="0" applyNumberFormat="1" applyFont="1" applyBorder="1" applyAlignment="1">
      <alignment horizontal="left" vertical="center" wrapText="1"/>
    </xf>
    <xf numFmtId="186" fontId="95" fillId="0" borderId="31" xfId="0" applyNumberFormat="1" applyFont="1" applyBorder="1" applyAlignment="1">
      <alignment horizontal="left" vertical="center" wrapText="1"/>
    </xf>
    <xf numFmtId="0" fontId="95" fillId="11" borderId="26" xfId="0" applyFont="1" applyFill="1" applyBorder="1" applyAlignment="1">
      <alignment horizontal="center" vertical="center" wrapText="1"/>
    </xf>
    <xf numFmtId="0" fontId="95" fillId="11" borderId="27" xfId="0" applyFont="1" applyFill="1" applyBorder="1" applyAlignment="1">
      <alignment horizontal="center" vertical="center"/>
    </xf>
    <xf numFmtId="0" fontId="95" fillId="11" borderId="28" xfId="0" applyFont="1" applyFill="1" applyBorder="1" applyAlignment="1">
      <alignment horizontal="left" vertical="center" wrapText="1"/>
    </xf>
    <xf numFmtId="0" fontId="95" fillId="11" borderId="28" xfId="0" applyFont="1" applyFill="1" applyBorder="1" applyAlignment="1">
      <alignment vertical="center" wrapText="1"/>
    </xf>
    <xf numFmtId="0" fontId="95" fillId="11" borderId="28" xfId="0" applyFont="1" applyFill="1" applyBorder="1" applyAlignment="1">
      <alignment horizontal="center" vertical="center" wrapText="1"/>
    </xf>
    <xf numFmtId="0" fontId="96" fillId="11" borderId="28" xfId="0" applyFont="1" applyFill="1" applyBorder="1" applyAlignment="1">
      <alignment horizontal="center" vertical="center" textRotation="180" wrapText="1"/>
    </xf>
    <xf numFmtId="187" fontId="95" fillId="11" borderId="28" xfId="0" applyNumberFormat="1" applyFont="1" applyFill="1" applyBorder="1" applyAlignment="1">
      <alignment horizontal="center" vertical="center" wrapText="1"/>
    </xf>
    <xf numFmtId="0" fontId="95" fillId="11" borderId="28" xfId="0" applyFont="1" applyFill="1" applyBorder="1" applyAlignment="1">
      <alignment horizontal="center" vertical="center" wrapText="1" shrinkToFit="1"/>
    </xf>
    <xf numFmtId="0" fontId="95" fillId="11" borderId="29" xfId="0" applyFont="1" applyFill="1" applyBorder="1" applyAlignment="1">
      <alignment horizontal="center" vertical="center" wrapText="1"/>
    </xf>
    <xf numFmtId="0" fontId="121" fillId="0" borderId="0" xfId="0" applyFont="1" applyAlignment="1">
      <alignment horizontal="center"/>
    </xf>
    <xf numFmtId="10" fontId="96" fillId="2" borderId="0" xfId="0" applyNumberFormat="1" applyFont="1" applyFill="1"/>
    <xf numFmtId="10" fontId="96" fillId="2" borderId="26" xfId="0" applyNumberFormat="1" applyFont="1" applyFill="1" applyBorder="1"/>
    <xf numFmtId="10" fontId="96" fillId="50" borderId="0" xfId="0" applyNumberFormat="1" applyFont="1" applyFill="1"/>
    <xf numFmtId="10" fontId="95" fillId="39" borderId="0" xfId="2449" quotePrefix="1" applyNumberFormat="1" applyFont="1" applyFill="1" applyBorder="1"/>
    <xf numFmtId="0" fontId="95" fillId="7" borderId="0" xfId="2466" applyNumberFormat="1" applyFont="1" applyFill="1" applyBorder="1"/>
    <xf numFmtId="0" fontId="95" fillId="7" borderId="0" xfId="2642" applyNumberFormat="1" applyFont="1" applyFill="1" applyBorder="1"/>
    <xf numFmtId="0" fontId="95" fillId="7" borderId="0" xfId="2449" applyNumberFormat="1" applyFont="1" applyFill="1" applyBorder="1"/>
    <xf numFmtId="0" fontId="95" fillId="7" borderId="0" xfId="2488" applyNumberFormat="1" applyFont="1" applyFill="1" applyBorder="1"/>
    <xf numFmtId="0" fontId="95" fillId="7" borderId="0" xfId="2663" applyNumberFormat="1" applyFont="1" applyFill="1" applyBorder="1">
      <alignment vertical="center"/>
    </xf>
    <xf numFmtId="0" fontId="95" fillId="7" borderId="26" xfId="2466" applyNumberFormat="1" applyFont="1" applyFill="1" applyBorder="1"/>
    <xf numFmtId="0" fontId="95" fillId="7" borderId="0" xfId="2425" applyFont="1" applyFill="1" applyAlignment="1">
      <alignment vertical="center"/>
    </xf>
    <xf numFmtId="0" fontId="95" fillId="7" borderId="0" xfId="2536" applyNumberFormat="1" applyFont="1" applyFill="1" applyBorder="1"/>
    <xf numFmtId="1" fontId="121" fillId="0" borderId="0" xfId="0" applyNumberFormat="1" applyFont="1"/>
    <xf numFmtId="10" fontId="121" fillId="0" borderId="0" xfId="0" applyNumberFormat="1" applyFont="1"/>
    <xf numFmtId="0" fontId="96" fillId="11" borderId="25" xfId="0" applyFont="1" applyFill="1" applyBorder="1" applyAlignment="1">
      <alignment horizontal="center"/>
    </xf>
    <xf numFmtId="0" fontId="96" fillId="11" borderId="0" xfId="0" applyFont="1" applyFill="1" applyAlignment="1">
      <alignment horizontal="center"/>
    </xf>
    <xf numFmtId="0" fontId="95" fillId="11" borderId="0" xfId="0" applyFont="1" applyFill="1"/>
    <xf numFmtId="10" fontId="96" fillId="11" borderId="0" xfId="0" applyNumberFormat="1" applyFont="1" applyFill="1"/>
    <xf numFmtId="10" fontId="96" fillId="11" borderId="26" xfId="0" applyNumberFormat="1" applyFont="1" applyFill="1" applyBorder="1"/>
    <xf numFmtId="0" fontId="95" fillId="7" borderId="0" xfId="2643" applyNumberFormat="1" applyFont="1" applyFill="1" applyBorder="1"/>
    <xf numFmtId="0" fontId="95" fillId="7" borderId="0" xfId="2491" applyNumberFormat="1" applyFont="1" applyFill="1" applyBorder="1"/>
    <xf numFmtId="10" fontId="95" fillId="2" borderId="0" xfId="2449" quotePrefix="1" applyNumberFormat="1" applyFont="1" applyFill="1" applyBorder="1"/>
    <xf numFmtId="0" fontId="95" fillId="0" borderId="0" xfId="2465" applyNumberFormat="1" applyFont="1" applyBorder="1"/>
    <xf numFmtId="4" fontId="120" fillId="7" borderId="0" xfId="0" applyNumberFormat="1" applyFont="1" applyFill="1"/>
    <xf numFmtId="4" fontId="95" fillId="7" borderId="0" xfId="0" applyNumberFormat="1" applyFont="1" applyFill="1"/>
    <xf numFmtId="2" fontId="95" fillId="7" borderId="0" xfId="0" applyNumberFormat="1" applyFont="1" applyFill="1"/>
    <xf numFmtId="4" fontId="95" fillId="7" borderId="26" xfId="0" applyNumberFormat="1" applyFont="1" applyFill="1" applyBorder="1"/>
    <xf numFmtId="39" fontId="120" fillId="7" borderId="0" xfId="1894" applyNumberFormat="1" applyFont="1" applyFill="1" applyBorder="1"/>
    <xf numFmtId="39" fontId="121" fillId="0" borderId="0" xfId="0" applyNumberFormat="1" applyFont="1"/>
    <xf numFmtId="4" fontId="121" fillId="0" borderId="0" xfId="0" applyNumberFormat="1" applyFont="1"/>
    <xf numFmtId="0" fontId="95" fillId="7" borderId="0" xfId="2664" applyNumberFormat="1" applyFont="1" applyFill="1" applyBorder="1">
      <alignment vertical="center"/>
    </xf>
    <xf numFmtId="0" fontId="95" fillId="7" borderId="0" xfId="2645" applyNumberFormat="1" applyFont="1" applyFill="1" applyBorder="1"/>
    <xf numFmtId="0" fontId="95" fillId="7" borderId="0" xfId="2494" applyNumberFormat="1" applyFont="1" applyFill="1" applyBorder="1"/>
    <xf numFmtId="0" fontId="95" fillId="7" borderId="26" xfId="0" applyFont="1" applyFill="1" applyBorder="1"/>
    <xf numFmtId="1" fontId="95" fillId="7" borderId="0" xfId="2466" applyNumberFormat="1" applyFont="1" applyFill="1" applyBorder="1"/>
    <xf numFmtId="1" fontId="95" fillId="7" borderId="0" xfId="2646" applyNumberFormat="1" applyFont="1" applyFill="1" applyBorder="1"/>
    <xf numFmtId="1" fontId="95" fillId="7" borderId="0" xfId="2449" applyNumberFormat="1" applyFont="1" applyFill="1" applyBorder="1"/>
    <xf numFmtId="1" fontId="95" fillId="7" borderId="0" xfId="2495" applyNumberFormat="1" applyFont="1" applyFill="1" applyBorder="1"/>
    <xf numFmtId="1" fontId="95" fillId="7" borderId="0" xfId="2536" applyNumberFormat="1" applyFont="1" applyFill="1" applyBorder="1"/>
    <xf numFmtId="1" fontId="95" fillId="7" borderId="0" xfId="2465" applyNumberFormat="1" applyFont="1" applyFill="1" applyBorder="1"/>
    <xf numFmtId="1" fontId="95" fillId="7" borderId="26" xfId="2465" applyNumberFormat="1" applyFont="1" applyFill="1" applyBorder="1"/>
    <xf numFmtId="0" fontId="95" fillId="7" borderId="0" xfId="2647" applyNumberFormat="1" applyFont="1" applyFill="1" applyBorder="1"/>
    <xf numFmtId="0" fontId="95" fillId="7" borderId="0" xfId="2496" applyNumberFormat="1" applyFont="1" applyFill="1" applyBorder="1"/>
    <xf numFmtId="1" fontId="95" fillId="7" borderId="0" xfId="2648" applyNumberFormat="1" applyFont="1" applyFill="1" applyBorder="1"/>
    <xf numFmtId="1" fontId="95" fillId="7" borderId="0" xfId="2497" applyNumberFormat="1" applyFont="1" applyFill="1" applyBorder="1"/>
    <xf numFmtId="10" fontId="96" fillId="0" borderId="28" xfId="0" applyNumberFormat="1" applyFont="1" applyBorder="1"/>
    <xf numFmtId="10" fontId="96" fillId="0" borderId="29" xfId="0" applyNumberFormat="1" applyFont="1" applyBorder="1"/>
    <xf numFmtId="17" fontId="95" fillId="0" borderId="78" xfId="0" applyNumberFormat="1" applyFont="1" applyBorder="1" applyAlignment="1">
      <alignment horizontal="center" vertical="center"/>
    </xf>
    <xf numFmtId="17" fontId="95" fillId="0" borderId="31" xfId="0" applyNumberFormat="1" applyFont="1" applyBorder="1" applyAlignment="1">
      <alignment horizontal="center" vertical="center"/>
    </xf>
    <xf numFmtId="17" fontId="95" fillId="0" borderId="32" xfId="0" applyNumberFormat="1" applyFont="1" applyBorder="1" applyAlignment="1">
      <alignment horizontal="center" vertical="center"/>
    </xf>
    <xf numFmtId="0" fontId="96" fillId="0" borderId="97" xfId="0" applyFont="1" applyBorder="1" applyAlignment="1">
      <alignment horizontal="center" vertical="center"/>
    </xf>
    <xf numFmtId="0" fontId="95" fillId="0" borderId="99" xfId="0" applyFont="1" applyBorder="1" applyAlignment="1">
      <alignment horizontal="center" vertical="center"/>
    </xf>
    <xf numFmtId="186" fontId="95" fillId="0" borderId="37" xfId="0" applyNumberFormat="1" applyFont="1" applyBorder="1" applyAlignment="1">
      <alignment horizontal="left" vertical="center" wrapText="1"/>
    </xf>
    <xf numFmtId="0" fontId="95" fillId="0" borderId="98" xfId="0" applyFont="1" applyBorder="1" applyAlignment="1">
      <alignment horizontal="center" vertical="center"/>
    </xf>
    <xf numFmtId="0" fontId="95" fillId="53" borderId="0" xfId="0" applyFont="1" applyFill="1"/>
    <xf numFmtId="0" fontId="95" fillId="50" borderId="0" xfId="0" applyFont="1" applyFill="1"/>
    <xf numFmtId="0" fontId="95" fillId="52" borderId="0" xfId="0" applyFont="1" applyFill="1"/>
    <xf numFmtId="2" fontId="95" fillId="54" borderId="0" xfId="0" applyNumberFormat="1" applyFont="1" applyFill="1"/>
    <xf numFmtId="0" fontId="95" fillId="7" borderId="0" xfId="2631" applyNumberFormat="1" applyFont="1" applyFill="1" applyBorder="1"/>
    <xf numFmtId="0" fontId="95" fillId="7" borderId="0" xfId="2479" applyNumberFormat="1" applyFont="1" applyFill="1" applyBorder="1"/>
    <xf numFmtId="10" fontId="95" fillId="55" borderId="0" xfId="2449" applyNumberFormat="1" applyFont="1" applyFill="1" applyBorder="1"/>
    <xf numFmtId="10" fontId="95" fillId="50" borderId="26" xfId="0" applyNumberFormat="1" applyFont="1" applyFill="1" applyBorder="1"/>
    <xf numFmtId="10" fontId="95" fillId="55" borderId="0" xfId="0" applyNumberFormat="1" applyFont="1" applyFill="1"/>
    <xf numFmtId="10" fontId="95" fillId="54" borderId="26" xfId="0" applyNumberFormat="1" applyFont="1" applyFill="1" applyBorder="1"/>
    <xf numFmtId="10" fontId="95" fillId="53" borderId="26" xfId="0" applyNumberFormat="1" applyFont="1" applyFill="1" applyBorder="1"/>
    <xf numFmtId="0" fontId="95" fillId="7" borderId="0" xfId="2480" applyNumberFormat="1" applyFont="1" applyFill="1" applyBorder="1"/>
    <xf numFmtId="10" fontId="95" fillId="52" borderId="0" xfId="2449" applyNumberFormat="1" applyFont="1" applyFill="1" applyBorder="1"/>
    <xf numFmtId="10" fontId="95" fillId="52" borderId="26" xfId="2449" applyNumberFormat="1" applyFont="1" applyFill="1" applyBorder="1"/>
    <xf numFmtId="4" fontId="95" fillId="52" borderId="0" xfId="0" applyNumberFormat="1" applyFont="1" applyFill="1"/>
    <xf numFmtId="0" fontId="95" fillId="52" borderId="26" xfId="0" applyFont="1" applyFill="1" applyBorder="1"/>
    <xf numFmtId="10" fontId="95" fillId="55" borderId="26" xfId="0" applyNumberFormat="1" applyFont="1" applyFill="1" applyBorder="1"/>
    <xf numFmtId="10" fontId="95" fillId="55" borderId="26" xfId="2449" applyNumberFormat="1" applyFont="1" applyFill="1" applyBorder="1"/>
    <xf numFmtId="0" fontId="95" fillId="52" borderId="0" xfId="2466" applyNumberFormat="1" applyFont="1" applyFill="1" applyBorder="1"/>
    <xf numFmtId="0" fontId="95" fillId="52" borderId="0" xfId="2482" applyNumberFormat="1" applyFont="1" applyFill="1" applyBorder="1"/>
    <xf numFmtId="0" fontId="95" fillId="52" borderId="0" xfId="2449" applyNumberFormat="1" applyFont="1" applyFill="1" applyBorder="1"/>
    <xf numFmtId="1" fontId="95" fillId="52" borderId="0" xfId="2634" applyNumberFormat="1" applyFont="1" applyFill="1" applyBorder="1"/>
    <xf numFmtId="1" fontId="95" fillId="52" borderId="0" xfId="2466" applyNumberFormat="1" applyFont="1" applyFill="1" applyBorder="1"/>
    <xf numFmtId="17" fontId="118" fillId="0" borderId="31" xfId="0" applyNumberFormat="1" applyFont="1" applyBorder="1" applyAlignment="1">
      <alignment horizontal="center" vertical="center"/>
    </xf>
    <xf numFmtId="17" fontId="118" fillId="0" borderId="32" xfId="0" applyNumberFormat="1" applyFont="1" applyBorder="1" applyAlignment="1">
      <alignment horizontal="center" vertical="center"/>
    </xf>
    <xf numFmtId="0" fontId="118" fillId="0" borderId="90" xfId="0" applyFont="1" applyBorder="1" applyAlignment="1">
      <alignment horizontal="center" vertical="center" wrapText="1"/>
    </xf>
    <xf numFmtId="0" fontId="122" fillId="0" borderId="38" xfId="0" applyFont="1" applyBorder="1" applyAlignment="1">
      <alignment horizontal="center" vertical="center" textRotation="180" wrapText="1"/>
    </xf>
    <xf numFmtId="0" fontId="118" fillId="0" borderId="40" xfId="0" applyFont="1" applyBorder="1" applyAlignment="1">
      <alignment horizontal="center" vertical="center" wrapText="1"/>
    </xf>
    <xf numFmtId="0" fontId="122" fillId="0" borderId="15" xfId="0" applyFont="1" applyBorder="1" applyAlignment="1">
      <alignment horizontal="center" vertical="center" textRotation="180" wrapText="1"/>
    </xf>
    <xf numFmtId="0" fontId="122" fillId="0" borderId="44" xfId="0" applyFont="1" applyBorder="1" applyAlignment="1">
      <alignment horizontal="center" vertical="center" textRotation="180" wrapText="1"/>
    </xf>
    <xf numFmtId="0" fontId="95" fillId="0" borderId="39" xfId="0" applyFont="1" applyBorder="1" applyAlignment="1">
      <alignment horizontal="center" vertical="center" wrapText="1"/>
    </xf>
    <xf numFmtId="0" fontId="95" fillId="0" borderId="40" xfId="0" applyFont="1" applyBorder="1"/>
    <xf numFmtId="0" fontId="118" fillId="0" borderId="39" xfId="0" applyFont="1" applyBorder="1" applyAlignment="1">
      <alignment horizontal="center" vertical="center"/>
    </xf>
    <xf numFmtId="0" fontId="118" fillId="0" borderId="39" xfId="0" applyFont="1" applyBorder="1" applyAlignment="1">
      <alignment horizontal="center" vertical="center" wrapText="1"/>
    </xf>
    <xf numFmtId="0" fontId="122" fillId="0" borderId="43" xfId="0" applyFont="1" applyBorder="1" applyAlignment="1">
      <alignment horizontal="center" vertical="center" textRotation="180" wrapText="1"/>
    </xf>
    <xf numFmtId="186" fontId="95" fillId="0" borderId="31" xfId="0" applyNumberFormat="1" applyFont="1" applyBorder="1" applyAlignment="1">
      <alignment horizontal="center" vertical="center" wrapText="1"/>
    </xf>
    <xf numFmtId="0" fontId="118" fillId="0" borderId="23" xfId="0" applyFont="1" applyBorder="1" applyAlignment="1">
      <alignment horizontal="center" vertical="center"/>
    </xf>
    <xf numFmtId="0" fontId="118" fillId="0" borderId="23" xfId="0" applyFont="1" applyBorder="1" applyAlignment="1">
      <alignment horizontal="center" vertical="center" wrapText="1"/>
    </xf>
    <xf numFmtId="0" fontId="122" fillId="0" borderId="23" xfId="0" applyFont="1" applyBorder="1" applyAlignment="1">
      <alignment horizontal="center" vertical="center" textRotation="180" wrapText="1"/>
    </xf>
    <xf numFmtId="0" fontId="96" fillId="0" borderId="23" xfId="0" applyFont="1" applyBorder="1" applyAlignment="1">
      <alignment horizontal="center" vertical="center" textRotation="180" wrapText="1"/>
    </xf>
    <xf numFmtId="0" fontId="95" fillId="0" borderId="0" xfId="0" applyFont="1" applyAlignment="1">
      <alignment horizontal="center" vertical="center"/>
    </xf>
    <xf numFmtId="0" fontId="95" fillId="11" borderId="0" xfId="0" applyFont="1" applyFill="1" applyAlignment="1">
      <alignment horizontal="left" vertical="center" wrapText="1" shrinkToFit="1"/>
    </xf>
    <xf numFmtId="17" fontId="118" fillId="0" borderId="0" xfId="0" applyNumberFormat="1" applyFont="1"/>
    <xf numFmtId="17" fontId="118" fillId="0" borderId="26" xfId="0" applyNumberFormat="1" applyFont="1" applyBorder="1"/>
    <xf numFmtId="0" fontId="95" fillId="7" borderId="0" xfId="2617" applyNumberFormat="1" applyFont="1" applyFill="1" applyBorder="1"/>
    <xf numFmtId="4" fontId="95" fillId="7" borderId="0" xfId="2663" applyNumberFormat="1" applyFont="1" applyFill="1" applyBorder="1">
      <alignment vertical="center"/>
    </xf>
    <xf numFmtId="0" fontId="95" fillId="7" borderId="0" xfId="2522" applyNumberFormat="1" applyFont="1" applyFill="1" applyBorder="1"/>
    <xf numFmtId="4" fontId="95" fillId="7" borderId="0" xfId="2536" applyNumberFormat="1" applyFont="1" applyFill="1" applyBorder="1"/>
    <xf numFmtId="169" fontId="95" fillId="7" borderId="0" xfId="1894" applyFont="1" applyFill="1" applyBorder="1"/>
    <xf numFmtId="10" fontId="95" fillId="0" borderId="0" xfId="2466" quotePrefix="1" applyNumberFormat="1" applyFont="1" applyFill="1" applyBorder="1"/>
    <xf numFmtId="1" fontId="95" fillId="7" borderId="0" xfId="2627" applyNumberFormat="1" applyFont="1" applyFill="1" applyBorder="1"/>
    <xf numFmtId="1" fontId="95" fillId="7" borderId="0" xfId="2475" applyNumberFormat="1" applyFont="1" applyFill="1" applyBorder="1"/>
    <xf numFmtId="0" fontId="96" fillId="0" borderId="102" xfId="0" applyFont="1" applyBorder="1" applyAlignment="1">
      <alignment horizontal="center" vertical="center" wrapText="1" shrinkToFit="1"/>
    </xf>
    <xf numFmtId="17" fontId="95" fillId="0" borderId="48" xfId="0" applyNumberFormat="1" applyFont="1" applyBorder="1" applyAlignment="1">
      <alignment horizontal="center" vertical="center"/>
    </xf>
    <xf numFmtId="17" fontId="95" fillId="0" borderId="28" xfId="0" applyNumberFormat="1" applyFont="1" applyBorder="1" applyAlignment="1">
      <alignment horizontal="center" vertical="center"/>
    </xf>
    <xf numFmtId="17" fontId="95" fillId="0" borderId="50" xfId="0" applyNumberFormat="1" applyFont="1" applyBorder="1" applyAlignment="1">
      <alignment horizontal="center" vertical="center"/>
    </xf>
    <xf numFmtId="10" fontId="95" fillId="2" borderId="26" xfId="2466" applyNumberFormat="1" applyFont="1" applyFill="1" applyBorder="1"/>
    <xf numFmtId="10" fontId="95" fillId="48" borderId="26" xfId="2466" applyNumberFormat="1" applyFont="1" applyFill="1" applyBorder="1"/>
    <xf numFmtId="10" fontId="95" fillId="39" borderId="26" xfId="2466" applyNumberFormat="1" applyFont="1" applyFill="1" applyBorder="1"/>
    <xf numFmtId="10" fontId="95" fillId="22" borderId="26" xfId="2466" applyNumberFormat="1" applyFont="1" applyFill="1" applyBorder="1"/>
    <xf numFmtId="9" fontId="95" fillId="22" borderId="0" xfId="2449" applyFont="1" applyFill="1" applyBorder="1"/>
    <xf numFmtId="188" fontId="95" fillId="22" borderId="0" xfId="2449" applyNumberFormat="1" applyFont="1" applyFill="1" applyBorder="1"/>
    <xf numFmtId="188" fontId="95" fillId="22" borderId="26" xfId="2449" applyNumberFormat="1" applyFont="1" applyFill="1" applyBorder="1"/>
    <xf numFmtId="10" fontId="95" fillId="7" borderId="0" xfId="1873" applyNumberFormat="1" applyFont="1" applyFill="1" applyBorder="1"/>
    <xf numFmtId="10" fontId="95" fillId="7" borderId="0" xfId="2449" applyNumberFormat="1" applyFont="1" applyFill="1" applyBorder="1"/>
    <xf numFmtId="10" fontId="95" fillId="7" borderId="0" xfId="2466" applyNumberFormat="1" applyFont="1" applyFill="1" applyBorder="1"/>
    <xf numFmtId="9" fontId="95" fillId="7" borderId="0" xfId="2449" applyFont="1" applyFill="1" applyBorder="1"/>
    <xf numFmtId="9" fontId="95" fillId="7" borderId="26" xfId="2449" applyFont="1" applyFill="1" applyBorder="1"/>
    <xf numFmtId="0" fontId="96" fillId="0" borderId="0" xfId="2364" applyFont="1" applyAlignment="1">
      <alignment vertical="center"/>
    </xf>
    <xf numFmtId="0" fontId="95" fillId="0" borderId="0" xfId="2364" applyFont="1"/>
    <xf numFmtId="0" fontId="96" fillId="0" borderId="0" xfId="2364" applyFont="1" applyAlignment="1">
      <alignment wrapText="1"/>
    </xf>
    <xf numFmtId="17" fontId="95" fillId="0" borderId="0" xfId="2364" applyNumberFormat="1" applyFont="1"/>
    <xf numFmtId="0" fontId="95" fillId="0" borderId="0" xfId="2364" applyFont="1" applyAlignment="1">
      <alignment vertical="center"/>
    </xf>
    <xf numFmtId="1" fontId="95" fillId="0" borderId="0" xfId="2364" applyNumberFormat="1" applyFont="1" applyAlignment="1">
      <alignment horizontal="right" vertical="center"/>
    </xf>
    <xf numFmtId="1" fontId="95" fillId="0" borderId="0" xfId="2364" applyNumberFormat="1" applyFont="1"/>
    <xf numFmtId="2" fontId="95" fillId="0" borderId="15" xfId="0" applyNumberFormat="1" applyFont="1" applyBorder="1" applyAlignment="1">
      <alignment horizontal="center" vertical="center" wrapText="1"/>
    </xf>
    <xf numFmtId="2" fontId="123" fillId="0" borderId="15" xfId="0" applyNumberFormat="1" applyFont="1" applyBorder="1" applyAlignment="1">
      <alignment horizontal="center" vertical="center" wrapText="1"/>
    </xf>
    <xf numFmtId="209" fontId="46" fillId="0" borderId="15" xfId="0" applyNumberFormat="1" applyFont="1" applyBorder="1" applyAlignment="1">
      <alignment horizontal="center" vertical="center" wrapText="1"/>
    </xf>
    <xf numFmtId="185" fontId="46" fillId="0" borderId="15" xfId="0" applyNumberFormat="1" applyFont="1" applyBorder="1" applyAlignment="1">
      <alignment horizontal="center" vertical="center"/>
    </xf>
    <xf numFmtId="185" fontId="46" fillId="0" borderId="15" xfId="1883" applyNumberFormat="1" applyFont="1" applyFill="1" applyBorder="1" applyAlignment="1">
      <alignment horizontal="center" vertical="center"/>
    </xf>
    <xf numFmtId="0" fontId="46" fillId="0" borderId="15" xfId="0" applyFont="1" applyBorder="1" applyAlignment="1">
      <alignment horizontal="left" vertical="center"/>
    </xf>
    <xf numFmtId="0" fontId="124" fillId="0" borderId="15" xfId="0" applyFont="1" applyBorder="1" applyAlignment="1">
      <alignment horizontal="center" vertical="center"/>
    </xf>
    <xf numFmtId="0" fontId="125" fillId="0" borderId="15" xfId="0" applyFont="1" applyBorder="1" applyAlignment="1">
      <alignment horizontal="center" vertical="center"/>
    </xf>
    <xf numFmtId="0" fontId="125" fillId="0" borderId="15" xfId="2400" applyFont="1" applyBorder="1" applyAlignment="1">
      <alignment horizontal="center" vertical="center"/>
    </xf>
    <xf numFmtId="0" fontId="125" fillId="0" borderId="0" xfId="0" applyFont="1"/>
    <xf numFmtId="16" fontId="95" fillId="0" borderId="0" xfId="0" applyNumberFormat="1" applyFont="1"/>
    <xf numFmtId="185" fontId="95" fillId="2" borderId="26" xfId="2449" applyNumberFormat="1" applyFont="1" applyFill="1" applyBorder="1"/>
    <xf numFmtId="186" fontId="95" fillId="0" borderId="0" xfId="0" applyNumberFormat="1" applyFont="1"/>
    <xf numFmtId="0" fontId="95" fillId="0" borderId="0" xfId="0" applyFont="1" applyAlignment="1">
      <alignment horizontal="center" vertical="center" wrapText="1" shrinkToFit="1"/>
    </xf>
    <xf numFmtId="0" fontId="95" fillId="0" borderId="0" xfId="0" applyFont="1" applyAlignment="1">
      <alignment horizontal="left" vertical="center" wrapText="1"/>
    </xf>
    <xf numFmtId="187" fontId="95" fillId="0" borderId="0" xfId="0" applyNumberFormat="1" applyFont="1" applyAlignment="1">
      <alignment horizontal="center" vertical="center" wrapText="1"/>
    </xf>
    <xf numFmtId="0" fontId="95" fillId="0" borderId="37" xfId="0" applyFont="1" applyBorder="1" applyAlignment="1">
      <alignment vertical="center" wrapText="1"/>
    </xf>
    <xf numFmtId="0" fontId="95" fillId="0" borderId="53" xfId="0" applyFont="1" applyBorder="1" applyAlignment="1">
      <alignment vertical="center" wrapText="1"/>
    </xf>
    <xf numFmtId="17" fontId="95" fillId="0" borderId="44" xfId="0" applyNumberFormat="1" applyFont="1" applyBorder="1" applyAlignment="1">
      <alignment horizontal="center" vertical="center"/>
    </xf>
    <xf numFmtId="0" fontId="95" fillId="0" borderId="0" xfId="0" applyFont="1" applyAlignment="1">
      <alignment vertical="center" wrapText="1"/>
    </xf>
    <xf numFmtId="0" fontId="0" fillId="0" borderId="53" xfId="0" applyBorder="1" applyAlignment="1">
      <alignment vertical="center" wrapText="1"/>
    </xf>
    <xf numFmtId="185" fontId="100" fillId="2" borderId="26" xfId="2449" applyNumberFormat="1" applyFont="1" applyFill="1" applyBorder="1"/>
    <xf numFmtId="0" fontId="20" fillId="7" borderId="0" xfId="2465" applyNumberFormat="1" applyFont="1" applyFill="1" applyBorder="1"/>
    <xf numFmtId="165" fontId="1" fillId="7" borderId="0" xfId="2016" applyNumberFormat="1" applyFont="1" applyFill="1" applyBorder="1"/>
    <xf numFmtId="0" fontId="1" fillId="7" borderId="0" xfId="2536" applyNumberFormat="1" applyFont="1" applyFill="1" applyBorder="1"/>
    <xf numFmtId="1" fontId="1" fillId="7" borderId="0" xfId="2536" applyNumberFormat="1" applyFont="1" applyFill="1" applyBorder="1"/>
    <xf numFmtId="0" fontId="126" fillId="7" borderId="0" xfId="2465" applyNumberFormat="1" applyFont="1" applyFill="1" applyBorder="1"/>
    <xf numFmtId="0" fontId="95" fillId="7" borderId="0" xfId="2465" applyNumberFormat="1" applyFont="1" applyFill="1" applyBorder="1" applyAlignment="1">
      <alignment horizontal="center"/>
    </xf>
    <xf numFmtId="0" fontId="110" fillId="0" borderId="53" xfId="0" applyFont="1" applyBorder="1" applyAlignment="1">
      <alignment horizontal="center" vertical="center" wrapText="1"/>
    </xf>
    <xf numFmtId="0" fontId="94" fillId="0" borderId="61" xfId="0" applyFont="1" applyBorder="1" applyAlignment="1">
      <alignment horizontal="center" vertical="center" textRotation="180" wrapText="1"/>
    </xf>
    <xf numFmtId="0" fontId="94" fillId="0" borderId="38" xfId="0" applyFont="1" applyBorder="1" applyAlignment="1">
      <alignment horizontal="center" vertical="center" textRotation="180" wrapText="1"/>
    </xf>
    <xf numFmtId="0" fontId="94" fillId="0" borderId="15" xfId="0" applyFont="1" applyBorder="1" applyAlignment="1">
      <alignment horizontal="center" vertical="center" textRotation="180" wrapText="1"/>
    </xf>
    <xf numFmtId="0" fontId="94" fillId="0" borderId="43" xfId="0" applyFont="1" applyBorder="1" applyAlignment="1">
      <alignment horizontal="center" vertical="center" textRotation="180" wrapText="1"/>
    </xf>
    <xf numFmtId="0" fontId="94" fillId="0" borderId="44" xfId="0" applyFont="1" applyBorder="1" applyAlignment="1">
      <alignment horizontal="center" vertical="center" textRotation="180" wrapText="1"/>
    </xf>
    <xf numFmtId="0" fontId="110" fillId="0" borderId="40" xfId="0" applyFont="1" applyBorder="1" applyAlignment="1">
      <alignment horizontal="center" vertical="center" wrapText="1"/>
    </xf>
    <xf numFmtId="10" fontId="95" fillId="7" borderId="0" xfId="1883" applyNumberFormat="1" applyFont="1" applyFill="1" applyBorder="1"/>
    <xf numFmtId="10" fontId="95" fillId="0" borderId="0" xfId="2466" applyNumberFormat="1" applyFont="1" applyFill="1" applyBorder="1"/>
    <xf numFmtId="10" fontId="96" fillId="0" borderId="28" xfId="2466" quotePrefix="1" applyNumberFormat="1" applyFont="1" applyFill="1" applyBorder="1"/>
    <xf numFmtId="0" fontId="95" fillId="0" borderId="0" xfId="2449" applyNumberFormat="1" applyFont="1" applyFill="1" applyBorder="1"/>
    <xf numFmtId="10" fontId="96" fillId="50" borderId="28" xfId="0" applyNumberFormat="1" applyFont="1" applyFill="1" applyBorder="1"/>
    <xf numFmtId="210" fontId="95" fillId="0" borderId="0" xfId="2449" applyNumberFormat="1" applyFont="1" applyFill="1" applyBorder="1"/>
    <xf numFmtId="188" fontId="95" fillId="0" borderId="0" xfId="2449" applyNumberFormat="1" applyFont="1" applyFill="1" applyBorder="1"/>
    <xf numFmtId="10" fontId="95" fillId="0" borderId="26" xfId="2466" applyNumberFormat="1" applyFont="1" applyFill="1" applyBorder="1"/>
    <xf numFmtId="10" fontId="100" fillId="50" borderId="44" xfId="2465" applyNumberFormat="1" applyFont="1" applyFill="1" applyBorder="1" applyAlignment="1">
      <alignment horizontal="center" vertical="center"/>
    </xf>
    <xf numFmtId="9" fontId="100" fillId="50" borderId="15" xfId="2465" applyFont="1" applyFill="1" applyBorder="1" applyAlignment="1">
      <alignment horizontal="center" vertical="center"/>
    </xf>
    <xf numFmtId="10" fontId="93" fillId="50" borderId="0" xfId="0" applyNumberFormat="1" applyFont="1" applyFill="1"/>
    <xf numFmtId="10" fontId="93" fillId="53" borderId="0" xfId="0" applyNumberFormat="1" applyFont="1" applyFill="1"/>
    <xf numFmtId="10" fontId="100" fillId="54" borderId="15" xfId="2465" applyNumberFormat="1" applyFont="1" applyFill="1" applyBorder="1" applyAlignment="1">
      <alignment horizontal="center" vertical="center"/>
    </xf>
    <xf numFmtId="4" fontId="117" fillId="7" borderId="0" xfId="0" applyNumberFormat="1" applyFont="1" applyFill="1"/>
    <xf numFmtId="10" fontId="95" fillId="7" borderId="0" xfId="0" applyNumberFormat="1" applyFont="1" applyFill="1"/>
    <xf numFmtId="209" fontId="95" fillId="2" borderId="26" xfId="2449" applyNumberFormat="1" applyFont="1" applyFill="1" applyBorder="1"/>
    <xf numFmtId="10" fontId="100" fillId="50" borderId="36" xfId="2465" applyNumberFormat="1" applyFont="1" applyFill="1" applyBorder="1" applyAlignment="1">
      <alignment horizontal="center" vertical="center"/>
    </xf>
    <xf numFmtId="186" fontId="110" fillId="0" borderId="56" xfId="0" applyNumberFormat="1" applyFont="1" applyBorder="1" applyAlignment="1">
      <alignment horizontal="left" vertical="center" wrapText="1"/>
    </xf>
    <xf numFmtId="186" fontId="110" fillId="0" borderId="53" xfId="0" applyNumberFormat="1" applyFont="1" applyBorder="1" applyAlignment="1">
      <alignment horizontal="left" vertical="center" wrapText="1"/>
    </xf>
    <xf numFmtId="186" fontId="129" fillId="0" borderId="39" xfId="0" applyNumberFormat="1" applyFont="1" applyBorder="1" applyAlignment="1">
      <alignment horizontal="center" vertical="center" wrapText="1"/>
    </xf>
    <xf numFmtId="186" fontId="118" fillId="0" borderId="39" xfId="0" applyNumberFormat="1" applyFont="1" applyBorder="1" applyAlignment="1">
      <alignment horizontal="center" vertical="center" wrapText="1"/>
    </xf>
    <xf numFmtId="10" fontId="96" fillId="53" borderId="0" xfId="0" applyNumberFormat="1" applyFont="1" applyFill="1"/>
    <xf numFmtId="0" fontId="126" fillId="7" borderId="0" xfId="2466" applyNumberFormat="1" applyFont="1" applyFill="1" applyBorder="1"/>
    <xf numFmtId="0" fontId="126" fillId="7" borderId="0" xfId="2631" applyNumberFormat="1" applyFont="1" applyFill="1" applyBorder="1"/>
    <xf numFmtId="0" fontId="95" fillId="7" borderId="0" xfId="2632" applyNumberFormat="1" applyFont="1" applyFill="1" applyBorder="1" applyAlignment="1">
      <alignment horizontal="center"/>
    </xf>
    <xf numFmtId="0" fontId="95" fillId="7" borderId="0" xfId="2425" applyFont="1" applyFill="1" applyAlignment="1">
      <alignment horizontal="center" vertical="center"/>
    </xf>
    <xf numFmtId="10" fontId="100" fillId="50" borderId="15" xfId="2465" applyNumberFormat="1" applyFont="1" applyFill="1" applyBorder="1" applyAlignment="1">
      <alignment horizontal="center" vertical="center"/>
    </xf>
    <xf numFmtId="10" fontId="100" fillId="50" borderId="57" xfId="2465" applyNumberFormat="1" applyFont="1" applyFill="1" applyBorder="1" applyAlignment="1">
      <alignment horizontal="center" vertical="center"/>
    </xf>
    <xf numFmtId="4" fontId="129" fillId="7" borderId="0" xfId="0" applyNumberFormat="1" applyFont="1" applyFill="1"/>
    <xf numFmtId="168" fontId="129" fillId="7" borderId="0" xfId="2016" applyFont="1" applyFill="1" applyBorder="1"/>
    <xf numFmtId="168" fontId="20" fillId="7" borderId="0" xfId="2016" applyFont="1" applyFill="1" applyBorder="1"/>
    <xf numFmtId="186" fontId="46" fillId="0" borderId="53" xfId="0" applyNumberFormat="1" applyFont="1" applyBorder="1" applyAlignment="1">
      <alignment horizontal="center" vertical="center" wrapText="1"/>
    </xf>
    <xf numFmtId="186" fontId="46" fillId="0" borderId="37" xfId="0" applyNumberFormat="1" applyFont="1" applyBorder="1" applyAlignment="1">
      <alignment horizontal="center" vertical="center" wrapText="1"/>
    </xf>
    <xf numFmtId="0" fontId="20" fillId="7" borderId="0" xfId="2660" applyNumberFormat="1" applyFont="1" applyFill="1" applyBorder="1"/>
    <xf numFmtId="2" fontId="129" fillId="7" borderId="0" xfId="0" applyNumberFormat="1" applyFont="1" applyFill="1"/>
    <xf numFmtId="4" fontId="92" fillId="0" borderId="0" xfId="0" applyNumberFormat="1" applyFont="1" applyFill="1"/>
    <xf numFmtId="4" fontId="129" fillId="0" borderId="0" xfId="0" applyNumberFormat="1" applyFont="1" applyFill="1"/>
    <xf numFmtId="2" fontId="129" fillId="0" borderId="0" xfId="0" applyNumberFormat="1" applyFont="1" applyFill="1"/>
    <xf numFmtId="168" fontId="20" fillId="7" borderId="0" xfId="2120" applyFont="1" applyFill="1" applyBorder="1"/>
    <xf numFmtId="0" fontId="129" fillId="7" borderId="0" xfId="2467" applyNumberFormat="1" applyFont="1" applyFill="1" applyBorder="1"/>
    <xf numFmtId="1" fontId="129" fillId="7" borderId="0" xfId="2468" applyNumberFormat="1" applyFont="1" applyFill="1" applyBorder="1"/>
    <xf numFmtId="186" fontId="92" fillId="0" borderId="39" xfId="0" applyNumberFormat="1" applyFont="1" applyBorder="1" applyAlignment="1">
      <alignment horizontal="center" vertical="center" wrapText="1"/>
    </xf>
    <xf numFmtId="186" fontId="95" fillId="0" borderId="39" xfId="0" applyNumberFormat="1" applyFont="1" applyBorder="1" applyAlignment="1">
      <alignment horizontal="center" vertical="center" wrapText="1"/>
    </xf>
    <xf numFmtId="10" fontId="131" fillId="53" borderId="28" xfId="0" applyNumberFormat="1" applyFont="1" applyFill="1" applyBorder="1"/>
    <xf numFmtId="0" fontId="126" fillId="7" borderId="0" xfId="2479" applyNumberFormat="1" applyFont="1" applyFill="1" applyBorder="1"/>
    <xf numFmtId="10" fontId="132" fillId="53" borderId="15" xfId="2465" applyNumberFormat="1" applyFont="1" applyFill="1" applyBorder="1" applyAlignment="1">
      <alignment horizontal="center" vertical="center"/>
    </xf>
    <xf numFmtId="2" fontId="133" fillId="0" borderId="15" xfId="2465" applyNumberFormat="1" applyFont="1" applyFill="1" applyBorder="1" applyAlignment="1">
      <alignment horizontal="center" vertical="center"/>
    </xf>
    <xf numFmtId="3" fontId="95" fillId="7" borderId="0" xfId="2536" applyNumberFormat="1" applyFont="1" applyFill="1" applyBorder="1"/>
    <xf numFmtId="3" fontId="95" fillId="7" borderId="0" xfId="2663" applyNumberFormat="1" applyFont="1" applyFill="1" applyBorder="1">
      <alignment vertical="center"/>
    </xf>
    <xf numFmtId="3" fontId="95" fillId="7" borderId="0" xfId="2471" applyNumberFormat="1" applyFont="1" applyFill="1" applyBorder="1"/>
    <xf numFmtId="0" fontId="125" fillId="0" borderId="63" xfId="0" applyFont="1" applyBorder="1" applyAlignment="1">
      <alignment horizontal="center"/>
    </xf>
    <xf numFmtId="0" fontId="125" fillId="0" borderId="7" xfId="0" applyFont="1" applyBorder="1" applyAlignment="1">
      <alignment horizontal="center"/>
    </xf>
    <xf numFmtId="0" fontId="125" fillId="0" borderId="56" xfId="0" applyFont="1" applyBorder="1" applyAlignment="1">
      <alignment horizontal="center"/>
    </xf>
    <xf numFmtId="0" fontId="46" fillId="0" borderId="15" xfId="2373" applyFont="1" applyBorder="1" applyAlignment="1">
      <alignment horizontal="left" vertical="center" wrapText="1" shrinkToFit="1"/>
    </xf>
    <xf numFmtId="0" fontId="46" fillId="0" borderId="44" xfId="2801" applyFont="1" applyBorder="1" applyAlignment="1">
      <alignment horizontal="center" vertical="center"/>
    </xf>
    <xf numFmtId="0" fontId="46" fillId="0" borderId="43" xfId="2801" applyFont="1" applyBorder="1" applyAlignment="1">
      <alignment horizontal="center" vertical="center"/>
    </xf>
    <xf numFmtId="0" fontId="46" fillId="0" borderId="38" xfId="2801" applyFont="1" applyBorder="1" applyAlignment="1">
      <alignment horizontal="center" vertical="center"/>
    </xf>
    <xf numFmtId="0" fontId="46" fillId="0" borderId="15" xfId="2801" applyFont="1" applyBorder="1" applyAlignment="1">
      <alignment horizontal="left" vertical="center" wrapText="1"/>
    </xf>
    <xf numFmtId="0" fontId="46" fillId="0" borderId="15" xfId="0" applyFont="1" applyBorder="1" applyAlignment="1">
      <alignment horizontal="left" vertical="center"/>
    </xf>
    <xf numFmtId="0" fontId="124" fillId="0" borderId="63" xfId="0" applyFont="1" applyBorder="1" applyAlignment="1">
      <alignment horizontal="left" vertical="center"/>
    </xf>
    <xf numFmtId="0" fontId="124" fillId="0" borderId="56" xfId="0" applyFont="1" applyBorder="1" applyAlignment="1">
      <alignment horizontal="left" vertical="center"/>
    </xf>
    <xf numFmtId="0" fontId="46" fillId="0" borderId="63" xfId="0" applyFont="1" applyBorder="1" applyAlignment="1">
      <alignment horizontal="left" vertical="center"/>
    </xf>
    <xf numFmtId="0" fontId="46" fillId="0" borderId="56" xfId="0" applyFont="1" applyBorder="1" applyAlignment="1">
      <alignment horizontal="left" vertical="center"/>
    </xf>
    <xf numFmtId="0" fontId="46" fillId="0" borderId="15" xfId="0" applyFont="1" applyBorder="1" applyAlignment="1">
      <alignment horizontal="center" vertical="center" wrapText="1"/>
    </xf>
    <xf numFmtId="10" fontId="46" fillId="0" borderId="15" xfId="0" applyNumberFormat="1" applyFont="1" applyBorder="1" applyAlignment="1">
      <alignment horizontal="center" vertical="center" wrapText="1"/>
    </xf>
    <xf numFmtId="0" fontId="46" fillId="0" borderId="15" xfId="0" applyFont="1" applyBorder="1" applyAlignment="1">
      <alignment horizontal="left" vertical="center" wrapText="1"/>
    </xf>
    <xf numFmtId="0" fontId="46" fillId="0" borderId="63" xfId="0" applyFont="1" applyBorder="1" applyAlignment="1">
      <alignment horizontal="left" vertical="center" wrapText="1"/>
    </xf>
    <xf numFmtId="0" fontId="46" fillId="0" borderId="56" xfId="0" applyFont="1" applyBorder="1" applyAlignment="1">
      <alignment horizontal="left" vertical="center" wrapText="1"/>
    </xf>
    <xf numFmtId="0" fontId="46" fillId="0" borderId="63" xfId="0" applyFont="1" applyBorder="1" applyAlignment="1">
      <alignment vertical="center" wrapText="1"/>
    </xf>
    <xf numFmtId="0" fontId="46" fillId="0" borderId="56" xfId="0" applyFont="1" applyBorder="1" applyAlignment="1">
      <alignment vertical="center" wrapText="1"/>
    </xf>
    <xf numFmtId="0" fontId="46" fillId="0" borderId="44" xfId="0" applyFont="1" applyBorder="1" applyAlignment="1">
      <alignment horizontal="center" vertical="center" wrapText="1"/>
    </xf>
    <xf numFmtId="0" fontId="46" fillId="0" borderId="43" xfId="0" applyFont="1" applyBorder="1" applyAlignment="1">
      <alignment horizontal="center" vertical="center" wrapText="1"/>
    </xf>
    <xf numFmtId="0" fontId="46" fillId="0" borderId="38" xfId="0" applyFont="1" applyBorder="1" applyAlignment="1">
      <alignment horizontal="center" vertical="center" wrapText="1"/>
    </xf>
    <xf numFmtId="0" fontId="124" fillId="0" borderId="63" xfId="0" applyFont="1" applyBorder="1" applyAlignment="1">
      <alignment horizontal="left" vertical="center" wrapText="1"/>
    </xf>
    <xf numFmtId="0" fontId="124" fillId="0" borderId="56" xfId="0" applyFont="1" applyBorder="1" applyAlignment="1">
      <alignment horizontal="left" vertical="center" wrapText="1"/>
    </xf>
    <xf numFmtId="0" fontId="46" fillId="0" borderId="44" xfId="0" applyFont="1" applyBorder="1" applyAlignment="1">
      <alignment vertical="center" wrapText="1"/>
    </xf>
    <xf numFmtId="0" fontId="46" fillId="0" borderId="38" xfId="0" applyFont="1" applyBorder="1" applyAlignment="1">
      <alignment vertical="center" wrapText="1"/>
    </xf>
    <xf numFmtId="2" fontId="46" fillId="0" borderId="44" xfId="0" applyNumberFormat="1" applyFont="1" applyBorder="1" applyAlignment="1">
      <alignment horizontal="center" vertical="center" wrapText="1"/>
    </xf>
    <xf numFmtId="2" fontId="46" fillId="0" borderId="38" xfId="0" applyNumberFormat="1" applyFont="1" applyBorder="1" applyAlignment="1">
      <alignment horizontal="center" vertical="center" wrapText="1"/>
    </xf>
    <xf numFmtId="1" fontId="46" fillId="0" borderId="44" xfId="0" applyNumberFormat="1" applyFont="1" applyBorder="1" applyAlignment="1">
      <alignment horizontal="center" vertical="center" wrapText="1"/>
    </xf>
    <xf numFmtId="1" fontId="46" fillId="0" borderId="38" xfId="0" applyNumberFormat="1" applyFont="1" applyBorder="1" applyAlignment="1">
      <alignment horizontal="center" vertical="center" wrapText="1"/>
    </xf>
    <xf numFmtId="0" fontId="22" fillId="0" borderId="63" xfId="0" applyFont="1" applyBorder="1" applyAlignment="1">
      <alignment horizontal="center" vertical="center"/>
    </xf>
    <xf numFmtId="0" fontId="22" fillId="0" borderId="7" xfId="0" applyFont="1" applyBorder="1" applyAlignment="1">
      <alignment horizontal="center" vertical="center"/>
    </xf>
    <xf numFmtId="0" fontId="22" fillId="0" borderId="15" xfId="0" applyFont="1" applyBorder="1" applyAlignment="1">
      <alignment horizontal="center" vertical="center"/>
    </xf>
    <xf numFmtId="0" fontId="46" fillId="0" borderId="44" xfId="0" applyFont="1" applyBorder="1" applyAlignment="1">
      <alignment horizontal="center" vertical="center"/>
    </xf>
    <xf numFmtId="0" fontId="46" fillId="0" borderId="43" xfId="0" applyFont="1" applyBorder="1" applyAlignment="1">
      <alignment horizontal="center" vertical="center"/>
    </xf>
    <xf numFmtId="2" fontId="46" fillId="0" borderId="15" xfId="0" applyNumberFormat="1" applyFont="1" applyBorder="1" applyAlignment="1">
      <alignment horizontal="center" vertical="center"/>
    </xf>
    <xf numFmtId="1" fontId="46" fillId="0" borderId="44" xfId="0" applyNumberFormat="1" applyFont="1" applyBorder="1" applyAlignment="1">
      <alignment horizontal="center" vertical="center"/>
    </xf>
    <xf numFmtId="1" fontId="46" fillId="0" borderId="38" xfId="0" applyNumberFormat="1" applyFont="1" applyBorder="1" applyAlignment="1">
      <alignment horizontal="center" vertical="center"/>
    </xf>
    <xf numFmtId="0" fontId="22" fillId="0" borderId="15"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7" xfId="0" applyFont="1" applyBorder="1" applyAlignment="1">
      <alignment horizontal="center" vertical="center" wrapText="1"/>
    </xf>
    <xf numFmtId="0" fontId="95" fillId="23" borderId="44" xfId="2352" applyFont="1" applyFill="1" applyBorder="1" applyAlignment="1">
      <alignment horizontal="center" vertical="center" wrapText="1" shrinkToFit="1"/>
    </xf>
    <xf numFmtId="0" fontId="95" fillId="23" borderId="38" xfId="2352" applyFont="1" applyFill="1" applyBorder="1" applyAlignment="1">
      <alignment horizontal="center" vertical="center" wrapText="1" shrinkToFit="1"/>
    </xf>
    <xf numFmtId="0" fontId="95" fillId="23" borderId="15" xfId="2352" applyFont="1" applyFill="1" applyBorder="1" applyAlignment="1">
      <alignment horizontal="center" vertical="center"/>
    </xf>
    <xf numFmtId="0" fontId="100" fillId="23" borderId="15" xfId="2352" applyFont="1" applyFill="1" applyBorder="1" applyAlignment="1">
      <alignment horizontal="center"/>
    </xf>
    <xf numFmtId="0" fontId="95" fillId="0" borderId="63" xfId="2352" quotePrefix="1" applyFont="1" applyBorder="1" applyAlignment="1">
      <alignment horizontal="center"/>
    </xf>
    <xf numFmtId="0" fontId="95" fillId="0" borderId="56" xfId="2352" quotePrefix="1" applyFont="1" applyBorder="1" applyAlignment="1">
      <alignment horizontal="center"/>
    </xf>
    <xf numFmtId="0" fontId="95" fillId="0" borderId="63" xfId="2352" applyFont="1" applyBorder="1" applyAlignment="1">
      <alignment horizontal="center"/>
    </xf>
    <xf numFmtId="0" fontId="95" fillId="0" borderId="56" xfId="2352" applyFont="1" applyBorder="1" applyAlignment="1">
      <alignment horizontal="center"/>
    </xf>
    <xf numFmtId="0" fontId="95" fillId="4" borderId="25" xfId="0" applyFont="1" applyFill="1" applyBorder="1" applyAlignment="1">
      <alignment horizontal="right"/>
    </xf>
    <xf numFmtId="0" fontId="95" fillId="4" borderId="0" xfId="0" applyFont="1" applyFill="1" applyAlignment="1">
      <alignment horizontal="right"/>
    </xf>
    <xf numFmtId="0" fontId="96" fillId="4" borderId="25" xfId="0" applyFont="1" applyFill="1" applyBorder="1" applyAlignment="1">
      <alignment horizontal="center"/>
    </xf>
    <xf numFmtId="0" fontId="96" fillId="4" borderId="0" xfId="0" applyFont="1" applyFill="1" applyAlignment="1">
      <alignment horizontal="center"/>
    </xf>
    <xf numFmtId="2" fontId="95" fillId="49" borderId="25" xfId="0" applyNumberFormat="1" applyFont="1" applyFill="1" applyBorder="1" applyAlignment="1">
      <alignment horizontal="right" vertical="center"/>
    </xf>
    <xf numFmtId="2" fontId="95" fillId="49" borderId="0" xfId="0" applyNumberFormat="1" applyFont="1" applyFill="1" applyAlignment="1">
      <alignment horizontal="right" vertical="center"/>
    </xf>
    <xf numFmtId="0" fontId="95" fillId="4" borderId="25" xfId="0" applyFont="1" applyFill="1" applyBorder="1" applyAlignment="1">
      <alignment horizontal="center"/>
    </xf>
    <xf numFmtId="0" fontId="95" fillId="4" borderId="0" xfId="0" applyFont="1" applyFill="1" applyAlignment="1">
      <alignment horizontal="center"/>
    </xf>
    <xf numFmtId="0" fontId="95" fillId="0" borderId="75" xfId="0" applyFont="1" applyBorder="1" applyAlignment="1">
      <alignment horizontal="left" vertical="center" wrapText="1"/>
    </xf>
    <xf numFmtId="0" fontId="95" fillId="0" borderId="1" xfId="0" applyFont="1" applyBorder="1" applyAlignment="1">
      <alignment horizontal="left" vertical="center" wrapText="1"/>
    </xf>
    <xf numFmtId="0" fontId="95" fillId="0" borderId="73" xfId="0" applyFont="1" applyBorder="1" applyAlignment="1">
      <alignment horizontal="left" vertical="center" wrapText="1"/>
    </xf>
    <xf numFmtId="0" fontId="95" fillId="11" borderId="0" xfId="0" applyFont="1" applyFill="1" applyAlignment="1">
      <alignment horizontal="center" vertical="center" wrapText="1" shrinkToFit="1"/>
    </xf>
    <xf numFmtId="0" fontId="95" fillId="11" borderId="0" xfId="0" applyFont="1" applyFill="1" applyAlignment="1">
      <alignment horizontal="left" vertical="center" wrapText="1"/>
    </xf>
    <xf numFmtId="0" fontId="95" fillId="0" borderId="0" xfId="0" applyFont="1" applyAlignment="1">
      <alignment horizontal="center" vertical="center" wrapText="1" shrinkToFit="1"/>
    </xf>
    <xf numFmtId="0" fontId="95" fillId="0" borderId="26" xfId="0" applyFont="1" applyBorder="1" applyAlignment="1">
      <alignment horizontal="center" vertical="center" wrapText="1" shrinkToFit="1"/>
    </xf>
    <xf numFmtId="0" fontId="96" fillId="0" borderId="0" xfId="0" applyFont="1" applyAlignment="1">
      <alignment horizontal="center" vertical="center" textRotation="180" wrapText="1"/>
    </xf>
    <xf numFmtId="0" fontId="95" fillId="11" borderId="26" xfId="0" applyFont="1" applyFill="1" applyBorder="1" applyAlignment="1">
      <alignment horizontal="center" vertical="center" wrapText="1" shrinkToFit="1"/>
    </xf>
    <xf numFmtId="187" fontId="95" fillId="0" borderId="0" xfId="0" applyNumberFormat="1" applyFont="1" applyAlignment="1">
      <alignment horizontal="center" vertical="center" wrapText="1"/>
    </xf>
    <xf numFmtId="186" fontId="95" fillId="0" borderId="0" xfId="0" applyNumberFormat="1" applyFont="1" applyAlignment="1">
      <alignment horizontal="center" vertical="center" wrapText="1"/>
    </xf>
    <xf numFmtId="0" fontId="95" fillId="0" borderId="0" xfId="0" applyFont="1" applyAlignment="1">
      <alignment horizontal="center" vertical="center" wrapText="1"/>
    </xf>
    <xf numFmtId="187" fontId="95" fillId="11" borderId="0" xfId="0" applyNumberFormat="1" applyFont="1" applyFill="1" applyAlignment="1">
      <alignment horizontal="center" vertical="center" wrapText="1"/>
    </xf>
    <xf numFmtId="0" fontId="95" fillId="0" borderId="25" xfId="0" applyFont="1" applyBorder="1" applyAlignment="1">
      <alignment horizontal="center" vertical="center"/>
    </xf>
    <xf numFmtId="0" fontId="95" fillId="0" borderId="0" xfId="0" applyFont="1" applyAlignment="1">
      <alignment horizontal="left" vertical="center" wrapText="1"/>
    </xf>
    <xf numFmtId="0" fontId="95" fillId="0" borderId="0" xfId="0" applyFont="1" applyAlignment="1">
      <alignment vertical="center" wrapText="1"/>
    </xf>
    <xf numFmtId="0" fontId="95" fillId="0" borderId="63" xfId="0" applyFont="1" applyBorder="1" applyAlignment="1">
      <alignment horizontal="left" vertical="center" wrapText="1"/>
    </xf>
    <xf numFmtId="0" fontId="95" fillId="0" borderId="7" xfId="0" applyFont="1" applyBorder="1" applyAlignment="1">
      <alignment horizontal="left" vertical="center" wrapText="1"/>
    </xf>
    <xf numFmtId="0" fontId="95" fillId="0" borderId="96" xfId="0" applyFont="1" applyBorder="1" applyAlignment="1">
      <alignment horizontal="left" vertical="center" wrapText="1"/>
    </xf>
    <xf numFmtId="186" fontId="95" fillId="0" borderId="15" xfId="0" applyNumberFormat="1" applyFont="1" applyBorder="1" applyAlignment="1">
      <alignment horizontal="left" vertical="center" wrapText="1"/>
    </xf>
    <xf numFmtId="186" fontId="95" fillId="0" borderId="41" xfId="0" applyNumberFormat="1" applyFont="1" applyBorder="1" applyAlignment="1">
      <alignment horizontal="left" vertical="center" wrapText="1"/>
    </xf>
    <xf numFmtId="0" fontId="95" fillId="0" borderId="15" xfId="0" applyFont="1" applyBorder="1" applyAlignment="1">
      <alignment horizontal="left" vertical="center" wrapText="1" shrinkToFit="1"/>
    </xf>
    <xf numFmtId="0" fontId="95" fillId="0" borderId="41" xfId="0" applyFont="1" applyBorder="1" applyAlignment="1">
      <alignment horizontal="left" vertical="center" wrapText="1" shrinkToFit="1"/>
    </xf>
    <xf numFmtId="0" fontId="95" fillId="0" borderId="95" xfId="0" applyFont="1" applyBorder="1" applyAlignment="1">
      <alignment horizontal="left" vertical="center" wrapText="1"/>
    </xf>
    <xf numFmtId="0" fontId="95" fillId="0" borderId="28" xfId="0" applyFont="1" applyBorder="1" applyAlignment="1">
      <alignment horizontal="left" vertical="center" wrapText="1"/>
    </xf>
    <xf numFmtId="0" fontId="95" fillId="0" borderId="29" xfId="0" applyFont="1" applyBorder="1" applyAlignment="1">
      <alignment horizontal="left" vertical="center" wrapText="1"/>
    </xf>
    <xf numFmtId="186" fontId="95" fillId="0" borderId="57" xfId="0" applyNumberFormat="1" applyFont="1" applyBorder="1" applyAlignment="1">
      <alignment horizontal="left" vertical="center" wrapText="1"/>
    </xf>
    <xf numFmtId="0" fontId="117" fillId="0" borderId="28" xfId="0" applyFont="1" applyBorder="1"/>
    <xf numFmtId="0" fontId="117" fillId="0" borderId="29" xfId="0" applyFont="1" applyBorder="1"/>
    <xf numFmtId="186" fontId="46" fillId="0" borderId="15" xfId="0" applyNumberFormat="1" applyFont="1" applyBorder="1" applyAlignment="1">
      <alignment horizontal="left" vertical="center" wrapText="1"/>
    </xf>
    <xf numFmtId="186" fontId="46" fillId="0" borderId="41" xfId="0" applyNumberFormat="1" applyFont="1" applyBorder="1" applyAlignment="1">
      <alignment horizontal="left" vertical="center" wrapText="1"/>
    </xf>
    <xf numFmtId="186" fontId="46" fillId="0" borderId="63" xfId="0" applyNumberFormat="1" applyFont="1" applyBorder="1" applyAlignment="1">
      <alignment horizontal="left" vertical="center" wrapText="1"/>
    </xf>
    <xf numFmtId="186" fontId="46" fillId="0" borderId="7" xfId="0" applyNumberFormat="1" applyFont="1" applyBorder="1" applyAlignment="1">
      <alignment horizontal="left" vertical="center" wrapText="1"/>
    </xf>
    <xf numFmtId="186" fontId="46" fillId="0" borderId="96" xfId="0" applyNumberFormat="1" applyFont="1" applyBorder="1" applyAlignment="1">
      <alignment horizontal="left" vertical="center" wrapText="1"/>
    </xf>
    <xf numFmtId="186" fontId="95" fillId="0" borderId="63" xfId="0" applyNumberFormat="1" applyFont="1" applyBorder="1" applyAlignment="1">
      <alignment horizontal="left" vertical="center" wrapText="1"/>
    </xf>
    <xf numFmtId="186" fontId="95" fillId="0" borderId="7" xfId="0" applyNumberFormat="1" applyFont="1" applyBorder="1" applyAlignment="1">
      <alignment horizontal="left" vertical="center" wrapText="1"/>
    </xf>
    <xf numFmtId="186" fontId="95" fillId="0" borderId="96" xfId="0" applyNumberFormat="1" applyFont="1" applyBorder="1" applyAlignment="1">
      <alignment horizontal="left" vertical="center" wrapText="1"/>
    </xf>
    <xf numFmtId="1" fontId="96" fillId="0" borderId="63" xfId="2466" applyNumberFormat="1" applyFont="1" applyFill="1" applyBorder="1" applyAlignment="1">
      <alignment horizontal="center" vertical="center" wrapText="1" shrinkToFit="1"/>
    </xf>
    <xf numFmtId="1" fontId="96" fillId="0" borderId="82" xfId="2466" applyNumberFormat="1" applyFont="1" applyFill="1" applyBorder="1" applyAlignment="1">
      <alignment horizontal="center" vertical="center" wrapText="1" shrinkToFit="1"/>
    </xf>
    <xf numFmtId="186" fontId="95" fillId="0" borderId="81" xfId="0" applyNumberFormat="1" applyFont="1" applyBorder="1" applyAlignment="1">
      <alignment horizontal="left" vertical="center" wrapText="1"/>
    </xf>
    <xf numFmtId="186" fontId="95" fillId="0" borderId="80" xfId="0" applyNumberFormat="1" applyFont="1" applyBorder="1" applyAlignment="1">
      <alignment horizontal="left" vertical="center" wrapText="1"/>
    </xf>
    <xf numFmtId="186" fontId="95" fillId="0" borderId="89" xfId="0" applyNumberFormat="1" applyFont="1" applyBorder="1" applyAlignment="1">
      <alignment horizontal="left" vertical="center" wrapText="1"/>
    </xf>
    <xf numFmtId="0" fontId="95" fillId="0" borderId="61" xfId="0" applyFont="1" applyBorder="1" applyAlignment="1">
      <alignment vertical="center" wrapText="1" shrinkToFit="1"/>
    </xf>
    <xf numFmtId="0" fontId="95" fillId="0" borderId="64" xfId="0" applyFont="1" applyBorder="1" applyAlignment="1">
      <alignment vertical="center" wrapText="1" shrinkToFit="1"/>
    </xf>
    <xf numFmtId="1" fontId="96" fillId="0" borderId="72" xfId="2466" applyNumberFormat="1" applyFont="1" applyFill="1" applyBorder="1" applyAlignment="1">
      <alignment horizontal="center" vertical="center" wrapText="1" shrinkToFit="1"/>
    </xf>
    <xf numFmtId="1" fontId="96" fillId="0" borderId="56" xfId="2466" applyNumberFormat="1" applyFont="1" applyFill="1" applyBorder="1" applyAlignment="1">
      <alignment horizontal="center" vertical="center" wrapText="1" shrinkToFit="1"/>
    </xf>
    <xf numFmtId="1" fontId="96" fillId="0" borderId="58" xfId="2466" applyNumberFormat="1" applyFont="1" applyFill="1" applyBorder="1" applyAlignment="1">
      <alignment horizontal="center" vertical="center" wrapText="1" shrinkToFit="1"/>
    </xf>
    <xf numFmtId="1" fontId="96" fillId="0" borderId="64" xfId="2466" applyNumberFormat="1" applyFont="1" applyFill="1" applyBorder="1" applyAlignment="1">
      <alignment horizontal="center" vertical="center" wrapText="1" shrinkToFit="1"/>
    </xf>
    <xf numFmtId="1" fontId="96" fillId="0" borderId="41" xfId="2466" applyNumberFormat="1" applyFont="1" applyFill="1" applyBorder="1" applyAlignment="1">
      <alignment horizontal="center" vertical="center" wrapText="1" shrinkToFit="1"/>
    </xf>
    <xf numFmtId="1" fontId="96" fillId="0" borderId="33" xfId="2466" applyNumberFormat="1" applyFont="1" applyFill="1" applyBorder="1" applyAlignment="1">
      <alignment horizontal="center" vertical="center" wrapText="1" shrinkToFit="1"/>
    </xf>
    <xf numFmtId="1" fontId="96" fillId="0" borderId="1" xfId="0" applyNumberFormat="1" applyFont="1" applyBorder="1" applyAlignment="1">
      <alignment horizontal="center" vertical="center" wrapText="1" shrinkToFit="1"/>
    </xf>
    <xf numFmtId="1" fontId="96" fillId="0" borderId="0" xfId="0" applyNumberFormat="1" applyFont="1" applyAlignment="1">
      <alignment horizontal="center" vertical="center" wrapText="1" shrinkToFit="1"/>
    </xf>
    <xf numFmtId="1" fontId="96" fillId="0" borderId="28" xfId="0" applyNumberFormat="1" applyFont="1" applyBorder="1" applyAlignment="1">
      <alignment horizontal="center" vertical="center" wrapText="1" shrinkToFit="1"/>
    </xf>
    <xf numFmtId="10" fontId="96" fillId="0" borderId="81" xfId="2466" applyNumberFormat="1" applyFont="1" applyFill="1" applyBorder="1" applyAlignment="1">
      <alignment horizontal="center" vertical="center" wrapText="1" shrinkToFit="1"/>
    </xf>
    <xf numFmtId="10" fontId="96" fillId="0" borderId="63" xfId="2466" applyNumberFormat="1" applyFont="1" applyFill="1" applyBorder="1" applyAlignment="1">
      <alignment horizontal="center" vertical="center" wrapText="1" shrinkToFit="1"/>
    </xf>
    <xf numFmtId="10" fontId="96" fillId="0" borderId="64" xfId="2466" applyNumberFormat="1" applyFont="1" applyFill="1" applyBorder="1" applyAlignment="1">
      <alignment horizontal="center" vertical="center" wrapText="1" shrinkToFit="1"/>
    </xf>
    <xf numFmtId="10" fontId="96" fillId="0" borderId="41" xfId="2466" applyNumberFormat="1" applyFont="1" applyFill="1" applyBorder="1" applyAlignment="1">
      <alignment horizontal="center" vertical="center" wrapText="1" shrinkToFit="1"/>
    </xf>
    <xf numFmtId="0" fontId="95" fillId="0" borderId="36" xfId="0" applyFont="1" applyBorder="1" applyAlignment="1">
      <alignment horizontal="center" vertical="center"/>
    </xf>
    <xf numFmtId="0" fontId="95" fillId="0" borderId="54" xfId="0" applyFont="1" applyBorder="1" applyAlignment="1">
      <alignment horizontal="center" vertical="center"/>
    </xf>
    <xf numFmtId="0" fontId="96" fillId="0" borderId="78" xfId="0" applyFont="1" applyBorder="1" applyAlignment="1">
      <alignment horizontal="center" vertical="center" wrapText="1"/>
    </xf>
    <xf numFmtId="0" fontId="96" fillId="0" borderId="5" xfId="0" applyFont="1" applyBorder="1" applyAlignment="1">
      <alignment horizontal="center" vertical="center" wrapText="1"/>
    </xf>
    <xf numFmtId="0" fontId="96" fillId="0" borderId="60" xfId="0" applyFont="1" applyBorder="1" applyAlignment="1">
      <alignment horizontal="center" vertical="center" wrapText="1"/>
    </xf>
    <xf numFmtId="1" fontId="96" fillId="0" borderId="41" xfId="0" applyNumberFormat="1" applyFont="1" applyBorder="1" applyAlignment="1">
      <alignment horizontal="center" vertical="center" wrapText="1" shrinkToFit="1"/>
    </xf>
    <xf numFmtId="1" fontId="96" fillId="0" borderId="33" xfId="0" applyNumberFormat="1" applyFont="1" applyBorder="1" applyAlignment="1">
      <alignment horizontal="center" vertical="center" wrapText="1" shrinkToFit="1"/>
    </xf>
    <xf numFmtId="1" fontId="96" fillId="0" borderId="63" xfId="0" applyNumberFormat="1" applyFont="1" applyBorder="1" applyAlignment="1">
      <alignment horizontal="center" vertical="center" wrapText="1" shrinkToFit="1"/>
    </xf>
    <xf numFmtId="1" fontId="96" fillId="0" borderId="82" xfId="0" applyNumberFormat="1" applyFont="1" applyBorder="1" applyAlignment="1">
      <alignment horizontal="center" vertical="center" wrapText="1" shrinkToFit="1"/>
    </xf>
    <xf numFmtId="0" fontId="95" fillId="0" borderId="93" xfId="0" applyFont="1" applyBorder="1" applyAlignment="1">
      <alignment vertical="center" wrapText="1"/>
    </xf>
    <xf numFmtId="0" fontId="95" fillId="0" borderId="23" xfId="0" applyFont="1" applyBorder="1" applyAlignment="1">
      <alignment vertical="center" wrapText="1"/>
    </xf>
    <xf numFmtId="0" fontId="95" fillId="0" borderId="24" xfId="0" applyFont="1" applyBorder="1" applyAlignment="1">
      <alignment vertical="center" wrapText="1"/>
    </xf>
    <xf numFmtId="0" fontId="96" fillId="0" borderId="37" xfId="0" applyFont="1" applyBorder="1" applyAlignment="1">
      <alignment horizontal="left" vertical="center"/>
    </xf>
    <xf numFmtId="0" fontId="96" fillId="0" borderId="81" xfId="0" applyFont="1" applyBorder="1" applyAlignment="1">
      <alignment horizontal="left" vertical="center"/>
    </xf>
    <xf numFmtId="0" fontId="96" fillId="0" borderId="71" xfId="0" applyFont="1" applyBorder="1" applyAlignment="1">
      <alignment horizontal="center" vertical="center"/>
    </xf>
    <xf numFmtId="0" fontId="96" fillId="0" borderId="101" xfId="0" applyFont="1" applyBorder="1" applyAlignment="1">
      <alignment horizontal="center" vertical="center"/>
    </xf>
    <xf numFmtId="0" fontId="96" fillId="0" borderId="94" xfId="0" applyFont="1" applyBorder="1" applyAlignment="1">
      <alignment horizontal="center" vertical="center"/>
    </xf>
    <xf numFmtId="0" fontId="96" fillId="0" borderId="72" xfId="0" applyFont="1" applyBorder="1" applyAlignment="1">
      <alignment horizontal="center" vertical="center"/>
    </xf>
    <xf numFmtId="0" fontId="96" fillId="0" borderId="61" xfId="0" applyFont="1" applyBorder="1" applyAlignment="1">
      <alignment horizontal="center" vertical="center"/>
    </xf>
    <xf numFmtId="0" fontId="96" fillId="0" borderId="64" xfId="0" applyFont="1" applyBorder="1" applyAlignment="1">
      <alignment horizontal="center" vertical="center"/>
    </xf>
    <xf numFmtId="0" fontId="117" fillId="0" borderId="87" xfId="0" applyFont="1" applyBorder="1" applyAlignment="1">
      <alignment horizontal="left" vertical="center" shrinkToFit="1"/>
    </xf>
    <xf numFmtId="0" fontId="117" fillId="0" borderId="0" xfId="0" applyFont="1" applyAlignment="1">
      <alignment horizontal="left" vertical="center" shrinkToFit="1"/>
    </xf>
    <xf numFmtId="0" fontId="117" fillId="0" borderId="26" xfId="0" applyFont="1" applyBorder="1" applyAlignment="1">
      <alignment horizontal="left" vertical="center" shrinkToFit="1"/>
    </xf>
    <xf numFmtId="0" fontId="95" fillId="0" borderId="80" xfId="0" applyFont="1" applyBorder="1" applyAlignment="1">
      <alignment horizontal="center" vertical="center" wrapText="1" shrinkToFit="1"/>
    </xf>
    <xf numFmtId="0" fontId="96" fillId="0" borderId="89" xfId="0" applyFont="1" applyBorder="1" applyAlignment="1">
      <alignment horizontal="center" vertical="center" wrapText="1" shrinkToFit="1"/>
    </xf>
    <xf numFmtId="10" fontId="96" fillId="0" borderId="72" xfId="2466" applyNumberFormat="1" applyFont="1" applyFill="1" applyBorder="1" applyAlignment="1">
      <alignment horizontal="center" vertical="center" wrapText="1" shrinkToFit="1"/>
    </xf>
    <xf numFmtId="10" fontId="96" fillId="0" borderId="56" xfId="2466" applyNumberFormat="1" applyFont="1" applyFill="1" applyBorder="1" applyAlignment="1">
      <alignment horizontal="center" vertical="center" wrapText="1" shrinkToFit="1"/>
    </xf>
    <xf numFmtId="10" fontId="96" fillId="0" borderId="58" xfId="2466" applyNumberFormat="1" applyFont="1" applyFill="1" applyBorder="1" applyAlignment="1">
      <alignment horizontal="center" vertical="center" wrapText="1" shrinkToFit="1"/>
    </xf>
    <xf numFmtId="10" fontId="96" fillId="0" borderId="33" xfId="2466" applyNumberFormat="1" applyFont="1" applyFill="1" applyBorder="1" applyAlignment="1">
      <alignment horizontal="center" vertical="center" wrapText="1" shrinkToFit="1"/>
    </xf>
    <xf numFmtId="0" fontId="117" fillId="0" borderId="93" xfId="0" applyFont="1" applyBorder="1" applyAlignment="1">
      <alignment horizontal="left" vertical="center" shrinkToFit="1"/>
    </xf>
    <xf numFmtId="0" fontId="117" fillId="0" borderId="23" xfId="0" applyFont="1" applyBorder="1" applyAlignment="1">
      <alignment horizontal="left" vertical="center" shrinkToFit="1"/>
    </xf>
    <xf numFmtId="0" fontId="96" fillId="0" borderId="22" xfId="0" applyFont="1" applyBorder="1" applyAlignment="1">
      <alignment horizontal="center" vertical="center" wrapText="1" shrinkToFit="1"/>
    </xf>
    <xf numFmtId="0" fontId="96" fillId="0" borderId="25" xfId="0" applyFont="1" applyBorder="1" applyAlignment="1">
      <alignment horizontal="center" vertical="center" wrapText="1" shrinkToFit="1"/>
    </xf>
    <xf numFmtId="0" fontId="96" fillId="0" borderId="62" xfId="0" applyFont="1" applyBorder="1" applyAlignment="1">
      <alignment horizontal="center" vertical="center" wrapText="1" shrinkToFit="1"/>
    </xf>
    <xf numFmtId="0" fontId="96" fillId="0" borderId="94" xfId="0" applyFont="1" applyBorder="1" applyAlignment="1">
      <alignment horizontal="center" vertical="center" wrapText="1" shrinkToFit="1"/>
    </xf>
    <xf numFmtId="0" fontId="96" fillId="0" borderId="47" xfId="0" applyFont="1" applyBorder="1" applyAlignment="1">
      <alignment horizontal="center" vertical="center" wrapText="1" shrinkToFit="1"/>
    </xf>
    <xf numFmtId="0" fontId="96" fillId="0" borderId="65" xfId="0" applyFont="1" applyBorder="1" applyAlignment="1">
      <alignment horizontal="center" vertical="center" wrapText="1" shrinkToFit="1"/>
    </xf>
    <xf numFmtId="209" fontId="96" fillId="0" borderId="41" xfId="2466" applyNumberFormat="1" applyFont="1" applyFill="1" applyBorder="1" applyAlignment="1">
      <alignment horizontal="center" vertical="center" wrapText="1" shrinkToFit="1"/>
    </xf>
    <xf numFmtId="209" fontId="96" fillId="0" borderId="33" xfId="2466" applyNumberFormat="1" applyFont="1" applyFill="1" applyBorder="1" applyAlignment="1">
      <alignment horizontal="center" vertical="center" wrapText="1" shrinkToFit="1"/>
    </xf>
    <xf numFmtId="0" fontId="95" fillId="0" borderId="95" xfId="0" applyFont="1" applyBorder="1" applyAlignment="1">
      <alignment horizontal="left" vertical="center" shrinkToFit="1"/>
    </xf>
    <xf numFmtId="0" fontId="95" fillId="0" borderId="28" xfId="0" applyFont="1" applyBorder="1" applyAlignment="1">
      <alignment horizontal="left" vertical="center" shrinkToFit="1"/>
    </xf>
    <xf numFmtId="0" fontId="117" fillId="0" borderId="87" xfId="0" applyFont="1" applyBorder="1" applyAlignment="1">
      <alignment horizontal="left" vertical="center"/>
    </xf>
    <xf numFmtId="0" fontId="117" fillId="0" borderId="0" xfId="0" applyFont="1" applyAlignment="1">
      <alignment horizontal="left" vertical="center"/>
    </xf>
    <xf numFmtId="0" fontId="117" fillId="0" borderId="26" xfId="0" applyFont="1" applyBorder="1" applyAlignment="1">
      <alignment horizontal="left" vertical="center"/>
    </xf>
    <xf numFmtId="0" fontId="96" fillId="0" borderId="68" xfId="0" applyFont="1" applyBorder="1" applyAlignment="1">
      <alignment horizontal="center" vertical="center" wrapText="1" shrinkToFit="1"/>
    </xf>
    <xf numFmtId="0" fontId="96" fillId="0" borderId="27" xfId="0" applyFont="1" applyBorder="1" applyAlignment="1">
      <alignment horizontal="center" vertical="center" wrapText="1" shrinkToFit="1"/>
    </xf>
    <xf numFmtId="0" fontId="96" fillId="0" borderId="45" xfId="0" applyFont="1" applyBorder="1" applyAlignment="1">
      <alignment horizontal="center" vertical="center" wrapText="1" shrinkToFit="1"/>
    </xf>
    <xf numFmtId="0" fontId="96" fillId="0" borderId="50" xfId="0" applyFont="1" applyBorder="1" applyAlignment="1">
      <alignment horizontal="center" vertical="center" wrapText="1" shrinkToFit="1"/>
    </xf>
    <xf numFmtId="0" fontId="95" fillId="0" borderId="79" xfId="0" applyFont="1" applyBorder="1" applyAlignment="1">
      <alignment horizontal="center" vertical="center" wrapText="1" shrinkToFit="1"/>
    </xf>
    <xf numFmtId="0" fontId="96" fillId="0" borderId="40" xfId="0" applyFont="1" applyBorder="1" applyAlignment="1">
      <alignment horizontal="left" vertical="center"/>
    </xf>
    <xf numFmtId="0" fontId="96" fillId="0" borderId="63" xfId="0" applyFont="1" applyBorder="1" applyAlignment="1">
      <alignment horizontal="left" vertical="center"/>
    </xf>
    <xf numFmtId="187" fontId="96" fillId="0" borderId="40" xfId="0" quotePrefix="1" applyNumberFormat="1" applyFont="1" applyBorder="1" applyAlignment="1">
      <alignment horizontal="center" vertical="center"/>
    </xf>
    <xf numFmtId="187" fontId="96" fillId="0" borderId="15" xfId="0" applyNumberFormat="1" applyFont="1" applyBorder="1" applyAlignment="1">
      <alignment horizontal="center" vertical="center"/>
    </xf>
    <xf numFmtId="187" fontId="96" fillId="0" borderId="41" xfId="0" applyNumberFormat="1" applyFont="1" applyBorder="1" applyAlignment="1">
      <alignment horizontal="center" vertical="center"/>
    </xf>
    <xf numFmtId="0" fontId="96" fillId="0" borderId="68" xfId="0" applyFont="1" applyBorder="1" applyAlignment="1">
      <alignment horizontal="center" vertical="center"/>
    </xf>
    <xf numFmtId="0" fontId="96" fillId="0" borderId="1" xfId="0" applyFont="1" applyBorder="1" applyAlignment="1">
      <alignment horizontal="center" vertical="center"/>
    </xf>
    <xf numFmtId="0" fontId="96" fillId="0" borderId="73" xfId="0" applyFont="1" applyBorder="1" applyAlignment="1">
      <alignment horizontal="center" vertical="center"/>
    </xf>
    <xf numFmtId="0" fontId="96" fillId="0" borderId="27" xfId="0" applyFont="1" applyBorder="1" applyAlignment="1">
      <alignment horizontal="center" vertical="center"/>
    </xf>
    <xf numFmtId="0" fontId="96" fillId="0" borderId="28" xfId="0" applyFont="1" applyBorder="1" applyAlignment="1">
      <alignment horizontal="center" vertical="center"/>
    </xf>
    <xf numFmtId="0" fontId="96" fillId="0" borderId="29" xfId="0" applyFont="1" applyBorder="1" applyAlignment="1">
      <alignment horizontal="center" vertical="center"/>
    </xf>
    <xf numFmtId="0" fontId="96" fillId="0" borderId="83" xfId="0" applyFont="1" applyBorder="1" applyAlignment="1">
      <alignment horizontal="center" vertical="center" wrapText="1" shrinkToFit="1"/>
    </xf>
    <xf numFmtId="0" fontId="95" fillId="0" borderId="32" xfId="0" applyFont="1" applyBorder="1" applyAlignment="1">
      <alignment horizontal="center" vertical="center" wrapText="1" shrinkToFit="1"/>
    </xf>
    <xf numFmtId="0" fontId="95" fillId="0" borderId="84" xfId="0" applyFont="1" applyBorder="1" applyAlignment="1">
      <alignment horizontal="center" vertical="center" wrapText="1" shrinkToFit="1"/>
    </xf>
    <xf numFmtId="0" fontId="96" fillId="0" borderId="31" xfId="0" applyFont="1" applyBorder="1" applyAlignment="1">
      <alignment horizontal="left" vertical="center"/>
    </xf>
    <xf numFmtId="0" fontId="96" fillId="0" borderId="82" xfId="0" applyFont="1" applyBorder="1" applyAlignment="1">
      <alignment horizontal="left" vertical="center"/>
    </xf>
    <xf numFmtId="187" fontId="96" fillId="0" borderId="48" xfId="0" applyNumberFormat="1" applyFont="1" applyBorder="1" applyAlignment="1">
      <alignment horizontal="center" vertical="center"/>
    </xf>
    <xf numFmtId="187" fontId="96" fillId="0" borderId="49" xfId="0" applyNumberFormat="1" applyFont="1" applyBorder="1" applyAlignment="1">
      <alignment horizontal="center" vertical="center"/>
    </xf>
    <xf numFmtId="187" fontId="96" fillId="0" borderId="50" xfId="0" applyNumberFormat="1" applyFont="1" applyBorder="1" applyAlignment="1">
      <alignment horizontal="center" vertical="center"/>
    </xf>
    <xf numFmtId="0" fontId="95" fillId="0" borderId="62" xfId="0" applyFont="1" applyBorder="1" applyAlignment="1">
      <alignment horizontal="center" vertical="center" wrapText="1" shrinkToFit="1"/>
    </xf>
    <xf numFmtId="0" fontId="96" fillId="0" borderId="85" xfId="0" applyFont="1" applyBorder="1" applyAlignment="1">
      <alignment horizontal="center" vertical="center" wrapText="1" shrinkToFit="1"/>
    </xf>
    <xf numFmtId="0" fontId="95" fillId="0" borderId="74" xfId="0" applyFont="1" applyBorder="1" applyAlignment="1">
      <alignment horizontal="center" vertical="center" wrapText="1" shrinkToFit="1"/>
    </xf>
    <xf numFmtId="10" fontId="96" fillId="0" borderId="23" xfId="2466" applyNumberFormat="1" applyFont="1" applyFill="1" applyBorder="1" applyAlignment="1">
      <alignment horizontal="center" vertical="center" wrapText="1" shrinkToFit="1"/>
    </xf>
    <xf numFmtId="10" fontId="96" fillId="0" borderId="0" xfId="2466" applyNumberFormat="1" applyFont="1" applyFill="1" applyBorder="1" applyAlignment="1">
      <alignment horizontal="center" vertical="center" wrapText="1" shrinkToFit="1"/>
    </xf>
    <xf numFmtId="10" fontId="96" fillId="0" borderId="74" xfId="2466" applyNumberFormat="1" applyFont="1" applyFill="1" applyBorder="1" applyAlignment="1">
      <alignment horizontal="center" vertical="center" wrapText="1" shrinkToFit="1"/>
    </xf>
    <xf numFmtId="0" fontId="95" fillId="0" borderId="22" xfId="0" applyFont="1" applyBorder="1" applyAlignment="1">
      <alignment horizontal="center" vertical="center" wrapText="1" shrinkToFit="1"/>
    </xf>
    <xf numFmtId="0" fontId="95" fillId="0" borderId="23" xfId="0" applyFont="1" applyBorder="1" applyAlignment="1">
      <alignment horizontal="center" vertical="center" wrapText="1" shrinkToFit="1"/>
    </xf>
    <xf numFmtId="0" fontId="95" fillId="0" borderId="24" xfId="0" applyFont="1" applyBorder="1" applyAlignment="1">
      <alignment horizontal="center" vertical="center" wrapText="1" shrinkToFit="1"/>
    </xf>
    <xf numFmtId="0" fontId="95" fillId="0" borderId="25" xfId="0" applyFont="1" applyBorder="1" applyAlignment="1">
      <alignment horizontal="center" vertical="center" wrapText="1" shrinkToFit="1"/>
    </xf>
    <xf numFmtId="0" fontId="95" fillId="0" borderId="27" xfId="0" applyFont="1" applyBorder="1" applyAlignment="1">
      <alignment horizontal="center" vertical="center" wrapText="1" shrinkToFit="1"/>
    </xf>
    <xf numFmtId="0" fontId="95" fillId="0" borderId="28" xfId="0" applyFont="1" applyBorder="1" applyAlignment="1">
      <alignment horizontal="center" vertical="center" wrapText="1" shrinkToFit="1"/>
    </xf>
    <xf numFmtId="0" fontId="95" fillId="0" borderId="29" xfId="0" applyFont="1" applyBorder="1" applyAlignment="1">
      <alignment horizontal="center" vertical="center" wrapText="1" shrinkToFit="1"/>
    </xf>
    <xf numFmtId="0" fontId="96" fillId="0" borderId="22" xfId="0" applyFont="1" applyBorder="1" applyAlignment="1">
      <alignment horizontal="center" vertical="center"/>
    </xf>
    <xf numFmtId="0" fontId="96" fillId="0" borderId="23" xfId="0" applyFont="1" applyBorder="1" applyAlignment="1">
      <alignment horizontal="center" vertical="center"/>
    </xf>
    <xf numFmtId="0" fontId="96" fillId="0" borderId="90" xfId="0" applyFont="1" applyBorder="1" applyAlignment="1">
      <alignment horizontal="center" vertical="center"/>
    </xf>
    <xf numFmtId="0" fontId="96" fillId="0" borderId="25" xfId="0" applyFont="1" applyBorder="1" applyAlignment="1">
      <alignment horizontal="center" vertical="center"/>
    </xf>
    <xf numFmtId="0" fontId="96" fillId="0" borderId="0" xfId="0" applyFont="1" applyAlignment="1">
      <alignment horizontal="center" vertical="center"/>
    </xf>
    <xf numFmtId="0" fontId="96" fillId="0" borderId="91" xfId="0" applyFont="1" applyBorder="1" applyAlignment="1">
      <alignment horizontal="center" vertical="center"/>
    </xf>
    <xf numFmtId="0" fontId="96" fillId="0" borderId="92" xfId="0" applyFont="1" applyBorder="1" applyAlignment="1">
      <alignment horizontal="center" vertical="center"/>
    </xf>
    <xf numFmtId="0" fontId="95" fillId="0" borderId="89" xfId="0" applyFont="1" applyBorder="1" applyAlignment="1">
      <alignment horizontal="center" vertical="center" wrapText="1" shrinkToFit="1"/>
    </xf>
    <xf numFmtId="10" fontId="96" fillId="0" borderId="71" xfId="2466" applyNumberFormat="1" applyFont="1" applyFill="1" applyBorder="1" applyAlignment="1">
      <alignment horizontal="center" vertical="center" wrapText="1" shrinkToFit="1"/>
    </xf>
    <xf numFmtId="10" fontId="96" fillId="0" borderId="46" xfId="2466" applyNumberFormat="1" applyFont="1" applyFill="1" applyBorder="1" applyAlignment="1">
      <alignment horizontal="center" vertical="center" wrapText="1" shrinkToFit="1"/>
    </xf>
    <xf numFmtId="10" fontId="96" fillId="0" borderId="48" xfId="2466" applyNumberFormat="1" applyFont="1" applyFill="1" applyBorder="1" applyAlignment="1">
      <alignment horizontal="center" vertical="center" wrapText="1" shrinkToFit="1"/>
    </xf>
    <xf numFmtId="0" fontId="96" fillId="0" borderId="76" xfId="0" applyFont="1" applyBorder="1" applyAlignment="1">
      <alignment horizontal="center" vertical="center" textRotation="180" wrapText="1"/>
    </xf>
    <xf numFmtId="0" fontId="96" fillId="0" borderId="77" xfId="0" applyFont="1" applyBorder="1" applyAlignment="1">
      <alignment horizontal="center" vertical="center" textRotation="180" wrapText="1"/>
    </xf>
    <xf numFmtId="0" fontId="96" fillId="0" borderId="78" xfId="0" applyFont="1" applyBorder="1" applyAlignment="1">
      <alignment horizontal="center" vertical="center"/>
    </xf>
    <xf numFmtId="0" fontId="96" fillId="0" borderId="5" xfId="0" applyFont="1" applyBorder="1" applyAlignment="1">
      <alignment horizontal="center" vertical="center"/>
    </xf>
    <xf numFmtId="0" fontId="96" fillId="0" borderId="60" xfId="0" applyFont="1" applyBorder="1" applyAlignment="1">
      <alignment horizontal="center" vertical="center"/>
    </xf>
    <xf numFmtId="10" fontId="127" fillId="50" borderId="30" xfId="0" applyNumberFormat="1" applyFont="1" applyFill="1" applyBorder="1" applyAlignment="1">
      <alignment horizontal="center" vertical="center"/>
    </xf>
    <xf numFmtId="0" fontId="128" fillId="50" borderId="76" xfId="0" applyFont="1" applyFill="1" applyBorder="1" applyAlignment="1">
      <alignment horizontal="center"/>
    </xf>
    <xf numFmtId="0" fontId="119" fillId="0" borderId="23" xfId="0" applyFont="1" applyBorder="1" applyAlignment="1">
      <alignment horizontal="center" vertical="center"/>
    </xf>
    <xf numFmtId="0" fontId="119" fillId="0" borderId="24" xfId="0" applyFont="1" applyBorder="1" applyAlignment="1">
      <alignment horizontal="center" vertical="center"/>
    </xf>
    <xf numFmtId="0" fontId="96" fillId="0" borderId="79" xfId="0" applyFont="1" applyBorder="1" applyAlignment="1">
      <alignment horizontal="center" vertical="center"/>
    </xf>
    <xf numFmtId="0" fontId="96" fillId="0" borderId="80" xfId="0" applyFont="1" applyBorder="1" applyAlignment="1">
      <alignment horizontal="center" vertical="center"/>
    </xf>
    <xf numFmtId="0" fontId="96" fillId="0" borderId="81" xfId="0" applyFont="1" applyBorder="1" applyAlignment="1">
      <alignment horizontal="center" vertical="center"/>
    </xf>
    <xf numFmtId="0" fontId="96" fillId="0" borderId="31" xfId="0" applyFont="1" applyBorder="1" applyAlignment="1">
      <alignment horizontal="center" vertical="center"/>
    </xf>
    <xf numFmtId="0" fontId="96" fillId="0" borderId="57" xfId="0" applyFont="1" applyBorder="1" applyAlignment="1">
      <alignment horizontal="center" vertical="center"/>
    </xf>
    <xf numFmtId="0" fontId="95" fillId="0" borderId="82" xfId="0" applyFont="1" applyBorder="1" applyAlignment="1">
      <alignment horizontal="center" vertical="center" wrapText="1" shrinkToFit="1"/>
    </xf>
    <xf numFmtId="0" fontId="96" fillId="0" borderId="35" xfId="0" applyFont="1" applyBorder="1" applyAlignment="1">
      <alignment horizontal="center" vertical="center"/>
    </xf>
    <xf numFmtId="0" fontId="96" fillId="0" borderId="69" xfId="0" applyFont="1" applyBorder="1" applyAlignment="1">
      <alignment horizontal="center" vertical="center"/>
    </xf>
    <xf numFmtId="0" fontId="96" fillId="0" borderId="40" xfId="0" applyFont="1" applyBorder="1" applyAlignment="1">
      <alignment horizontal="center" vertical="center"/>
    </xf>
    <xf numFmtId="0" fontId="96" fillId="0" borderId="15" xfId="0" applyFont="1" applyBorder="1" applyAlignment="1">
      <alignment horizontal="center" vertical="center"/>
    </xf>
    <xf numFmtId="0" fontId="96" fillId="0" borderId="41" xfId="0" applyFont="1" applyBorder="1" applyAlignment="1">
      <alignment horizontal="center" vertical="center"/>
    </xf>
    <xf numFmtId="0" fontId="96" fillId="0" borderId="63" xfId="0" applyFont="1" applyBorder="1" applyAlignment="1">
      <alignment horizontal="center" vertical="center"/>
    </xf>
    <xf numFmtId="0" fontId="92" fillId="4" borderId="25" xfId="0" applyFont="1" applyFill="1" applyBorder="1" applyAlignment="1">
      <alignment horizontal="center"/>
    </xf>
    <xf numFmtId="0" fontId="92" fillId="4" borderId="0" xfId="0" applyFont="1" applyFill="1" applyAlignment="1">
      <alignment horizontal="center"/>
    </xf>
    <xf numFmtId="0" fontId="95" fillId="0" borderId="63" xfId="0" applyFont="1" applyBorder="1" applyAlignment="1">
      <alignment horizontal="left" vertical="center" wrapText="1" shrinkToFit="1"/>
    </xf>
    <xf numFmtId="0" fontId="95" fillId="0" borderId="7" xfId="0" applyFont="1" applyBorder="1" applyAlignment="1">
      <alignment horizontal="left" vertical="center" wrapText="1" shrinkToFit="1"/>
    </xf>
    <xf numFmtId="0" fontId="95" fillId="0" borderId="96" xfId="0" applyFont="1" applyBorder="1" applyAlignment="1">
      <alignment horizontal="left" vertical="center" wrapText="1" shrinkToFit="1"/>
    </xf>
    <xf numFmtId="0" fontId="92" fillId="0" borderId="0" xfId="0" applyFont="1" applyAlignment="1">
      <alignment horizontal="center" vertical="center" wrapText="1" shrinkToFit="1"/>
    </xf>
    <xf numFmtId="0" fontId="92" fillId="0" borderId="26" xfId="0" applyFont="1" applyBorder="1" applyAlignment="1">
      <alignment horizontal="center" vertical="center" wrapText="1" shrinkToFit="1"/>
    </xf>
    <xf numFmtId="0" fontId="100" fillId="4" borderId="25" xfId="0" applyFont="1" applyFill="1" applyBorder="1" applyAlignment="1">
      <alignment horizontal="right"/>
    </xf>
    <xf numFmtId="0" fontId="100" fillId="4" borderId="0" xfId="0" applyFont="1" applyFill="1" applyAlignment="1">
      <alignment horizontal="right"/>
    </xf>
    <xf numFmtId="0" fontId="95" fillId="0" borderId="82" xfId="0" applyFont="1" applyBorder="1" applyAlignment="1">
      <alignment horizontal="left" vertical="center" wrapText="1" shrinkToFit="1"/>
    </xf>
    <xf numFmtId="0" fontId="95" fillId="0" borderId="32" xfId="0" applyFont="1" applyBorder="1" applyAlignment="1">
      <alignment horizontal="left" vertical="center" wrapText="1" shrinkToFit="1"/>
    </xf>
    <xf numFmtId="0" fontId="95" fillId="0" borderId="84" xfId="0" applyFont="1" applyBorder="1" applyAlignment="1">
      <alignment horizontal="left" vertical="center" wrapText="1" shrinkToFit="1"/>
    </xf>
    <xf numFmtId="0" fontId="93" fillId="4" borderId="25" xfId="0" applyFont="1" applyFill="1" applyBorder="1" applyAlignment="1">
      <alignment horizontal="center"/>
    </xf>
    <xf numFmtId="0" fontId="93" fillId="4" borderId="0" xfId="0" applyFont="1" applyFill="1" applyAlignment="1">
      <alignment horizontal="center"/>
    </xf>
    <xf numFmtId="0" fontId="97" fillId="4" borderId="25" xfId="0" applyFont="1" applyFill="1" applyBorder="1" applyAlignment="1">
      <alignment horizontal="center"/>
    </xf>
    <xf numFmtId="0" fontId="97" fillId="4" borderId="0" xfId="0" applyFont="1" applyFill="1" applyAlignment="1">
      <alignment horizontal="center"/>
    </xf>
    <xf numFmtId="10" fontId="130" fillId="53" borderId="30" xfId="0" applyNumberFormat="1" applyFont="1" applyFill="1" applyBorder="1" applyAlignment="1">
      <alignment horizontal="center" vertical="center"/>
    </xf>
    <xf numFmtId="10" fontId="130" fillId="53" borderId="86" xfId="0" applyNumberFormat="1" applyFont="1" applyFill="1" applyBorder="1" applyAlignment="1">
      <alignment horizontal="center" vertical="center"/>
    </xf>
    <xf numFmtId="0" fontId="103" fillId="0" borderId="23" xfId="0" applyFont="1" applyBorder="1" applyAlignment="1">
      <alignment horizontal="center" vertical="center"/>
    </xf>
    <xf numFmtId="0" fontId="103" fillId="0" borderId="24" xfId="0" applyFont="1" applyBorder="1" applyAlignment="1">
      <alignment horizontal="center" vertical="center"/>
    </xf>
    <xf numFmtId="0" fontId="104" fillId="0" borderId="79" xfId="0" applyFont="1" applyBorder="1" applyAlignment="1">
      <alignment horizontal="center" vertical="center"/>
    </xf>
    <xf numFmtId="0" fontId="104" fillId="0" borderId="80" xfId="0" applyFont="1" applyBorder="1" applyAlignment="1">
      <alignment horizontal="center" vertical="center"/>
    </xf>
    <xf numFmtId="0" fontId="104" fillId="0" borderId="72" xfId="0" applyFont="1" applyBorder="1" applyAlignment="1">
      <alignment horizontal="center" vertical="center"/>
    </xf>
    <xf numFmtId="0" fontId="93" fillId="0" borderId="81" xfId="0" applyFont="1" applyBorder="1" applyAlignment="1">
      <alignment horizontal="center" vertical="center"/>
    </xf>
    <xf numFmtId="0" fontId="93" fillId="0" borderId="80" xfId="0" applyFont="1" applyBorder="1" applyAlignment="1">
      <alignment horizontal="center" vertical="center"/>
    </xf>
    <xf numFmtId="0" fontId="104" fillId="0" borderId="37" xfId="0" applyFont="1" applyBorder="1" applyAlignment="1">
      <alignment horizontal="left" vertical="center"/>
    </xf>
    <xf numFmtId="0" fontId="104" fillId="0" borderId="81" xfId="0" applyFont="1" applyBorder="1" applyAlignment="1">
      <alignment horizontal="left" vertical="center"/>
    </xf>
    <xf numFmtId="0" fontId="104" fillId="0" borderId="71" xfId="0" applyFont="1" applyBorder="1" applyAlignment="1">
      <alignment horizontal="center" vertical="center"/>
    </xf>
    <xf numFmtId="0" fontId="104" fillId="0" borderId="101" xfId="0" applyFont="1" applyBorder="1" applyAlignment="1">
      <alignment horizontal="center" vertical="center"/>
    </xf>
    <xf numFmtId="0" fontId="104" fillId="0" borderId="94" xfId="0" applyFont="1" applyBorder="1" applyAlignment="1">
      <alignment horizontal="center" vertical="center"/>
    </xf>
    <xf numFmtId="0" fontId="93" fillId="0" borderId="40" xfId="0" applyFont="1" applyBorder="1" applyAlignment="1">
      <alignment horizontal="center" vertical="center"/>
    </xf>
    <xf numFmtId="0" fontId="93" fillId="0" borderId="15" xfId="0" applyFont="1" applyBorder="1" applyAlignment="1">
      <alignment horizontal="center" vertical="center"/>
    </xf>
    <xf numFmtId="0" fontId="93" fillId="0" borderId="63" xfId="0" applyFont="1" applyBorder="1" applyAlignment="1">
      <alignment horizontal="center" vertical="center"/>
    </xf>
    <xf numFmtId="186" fontId="92" fillId="0" borderId="82" xfId="0" applyNumberFormat="1" applyFont="1" applyBorder="1" applyAlignment="1">
      <alignment horizontal="left" vertical="center" wrapText="1"/>
    </xf>
    <xf numFmtId="186" fontId="92" fillId="0" borderId="32" xfId="0" applyNumberFormat="1" applyFont="1" applyBorder="1" applyAlignment="1">
      <alignment horizontal="left" vertical="center" wrapText="1"/>
    </xf>
    <xf numFmtId="186" fontId="92" fillId="0" borderId="84" xfId="0" applyNumberFormat="1" applyFont="1" applyBorder="1" applyAlignment="1">
      <alignment horizontal="left" vertical="center" wrapText="1"/>
    </xf>
    <xf numFmtId="0" fontId="105" fillId="0" borderId="22" xfId="0" applyFont="1" applyBorder="1" applyAlignment="1">
      <alignment horizontal="center" vertical="center" wrapText="1" shrinkToFit="1"/>
    </xf>
    <xf numFmtId="0" fontId="105" fillId="0" borderId="23" xfId="0" applyFont="1" applyBorder="1" applyAlignment="1">
      <alignment horizontal="center" vertical="center" wrapText="1" shrinkToFit="1"/>
    </xf>
    <xf numFmtId="0" fontId="105" fillId="0" borderId="24" xfId="0" applyFont="1" applyBorder="1" applyAlignment="1">
      <alignment horizontal="center" vertical="center" wrapText="1" shrinkToFit="1"/>
    </xf>
    <xf numFmtId="0" fontId="105" fillId="0" borderId="25" xfId="0" applyFont="1" applyBorder="1" applyAlignment="1">
      <alignment horizontal="center" vertical="center" wrapText="1" shrinkToFit="1"/>
    </xf>
    <xf numFmtId="0" fontId="105" fillId="0" borderId="0" xfId="0" applyFont="1" applyAlignment="1">
      <alignment horizontal="center" vertical="center" wrapText="1" shrinkToFit="1"/>
    </xf>
    <xf numFmtId="0" fontId="105" fillId="0" borderId="26" xfId="0" applyFont="1" applyBorder="1" applyAlignment="1">
      <alignment horizontal="center" vertical="center" wrapText="1" shrinkToFit="1"/>
    </xf>
    <xf numFmtId="0" fontId="105" fillId="0" borderId="27" xfId="0" applyFont="1" applyBorder="1" applyAlignment="1">
      <alignment horizontal="center" vertical="center" wrapText="1" shrinkToFit="1"/>
    </xf>
    <xf numFmtId="0" fontId="105" fillId="0" borderId="28" xfId="0" applyFont="1" applyBorder="1" applyAlignment="1">
      <alignment horizontal="center" vertical="center" wrapText="1" shrinkToFit="1"/>
    </xf>
    <xf numFmtId="0" fontId="105" fillId="0" borderId="29" xfId="0" applyFont="1" applyBorder="1" applyAlignment="1">
      <alignment horizontal="center" vertical="center" wrapText="1" shrinkToFit="1"/>
    </xf>
    <xf numFmtId="1" fontId="93" fillId="0" borderId="88" xfId="0" applyNumberFormat="1" applyFont="1" applyBorder="1" applyAlignment="1">
      <alignment horizontal="center" vertical="center" wrapText="1" shrinkToFit="1"/>
    </xf>
    <xf numFmtId="1" fontId="93" fillId="0" borderId="76" xfId="0" applyNumberFormat="1" applyFont="1" applyBorder="1" applyAlignment="1">
      <alignment horizontal="center" vertical="center" wrapText="1" shrinkToFit="1"/>
    </xf>
    <xf numFmtId="1" fontId="93" fillId="0" borderId="77" xfId="0" applyNumberFormat="1" applyFont="1" applyBorder="1" applyAlignment="1">
      <alignment horizontal="center" vertical="center" wrapText="1" shrinkToFit="1"/>
    </xf>
    <xf numFmtId="10" fontId="93" fillId="0" borderId="64" xfId="0" applyNumberFormat="1" applyFont="1" applyBorder="1" applyAlignment="1">
      <alignment horizontal="center" vertical="center" wrapText="1" shrinkToFit="1"/>
    </xf>
    <xf numFmtId="10" fontId="93" fillId="0" borderId="41" xfId="0" applyNumberFormat="1" applyFont="1" applyBorder="1" applyAlignment="1">
      <alignment horizontal="center" vertical="center" wrapText="1" shrinkToFit="1"/>
    </xf>
    <xf numFmtId="0" fontId="93" fillId="0" borderId="30" xfId="0" applyFont="1" applyBorder="1" applyAlignment="1">
      <alignment horizontal="center" vertical="center" textRotation="180" wrapText="1"/>
    </xf>
    <xf numFmtId="0" fontId="93" fillId="0" borderId="76" xfId="0" applyFont="1" applyBorder="1" applyAlignment="1">
      <alignment horizontal="center" vertical="center" textRotation="180" wrapText="1"/>
    </xf>
    <xf numFmtId="0" fontId="93" fillId="0" borderId="77" xfId="0" applyFont="1" applyBorder="1" applyAlignment="1">
      <alignment horizontal="center" vertical="center" textRotation="180" wrapText="1"/>
    </xf>
    <xf numFmtId="0" fontId="100" fillId="0" borderId="45" xfId="0" applyFont="1" applyBorder="1" applyAlignment="1">
      <alignment horizontal="center" vertical="center" wrapText="1" shrinkToFit="1"/>
    </xf>
    <xf numFmtId="0" fontId="92" fillId="0" borderId="47" xfId="0" applyFont="1" applyBorder="1" applyAlignment="1">
      <alignment horizontal="center" vertical="center" wrapText="1" shrinkToFit="1"/>
    </xf>
    <xf numFmtId="0" fontId="92" fillId="0" borderId="50" xfId="0" applyFont="1" applyBorder="1" applyAlignment="1">
      <alignment horizontal="center" vertical="center" wrapText="1" shrinkToFit="1"/>
    </xf>
    <xf numFmtId="0" fontId="92" fillId="0" borderId="23" xfId="0" applyFont="1" applyBorder="1" applyAlignment="1">
      <alignment horizontal="center" vertical="center" wrapText="1" shrinkToFit="1"/>
    </xf>
    <xf numFmtId="0" fontId="92" fillId="0" borderId="24" xfId="0" applyFont="1" applyBorder="1" applyAlignment="1">
      <alignment horizontal="center" vertical="center" wrapText="1" shrinkToFit="1"/>
    </xf>
    <xf numFmtId="0" fontId="97" fillId="0" borderId="68" xfId="0" applyFont="1" applyBorder="1" applyAlignment="1">
      <alignment horizontal="center" vertical="center"/>
    </xf>
    <xf numFmtId="0" fontId="97" fillId="0" borderId="1" xfId="0" applyFont="1" applyBorder="1" applyAlignment="1">
      <alignment horizontal="center" vertical="center"/>
    </xf>
    <xf numFmtId="0" fontId="97" fillId="0" borderId="73" xfId="0" applyFont="1" applyBorder="1" applyAlignment="1">
      <alignment horizontal="center" vertical="center"/>
    </xf>
    <xf numFmtId="0" fontId="97" fillId="0" borderId="27" xfId="0" applyFont="1" applyBorder="1" applyAlignment="1">
      <alignment horizontal="center" vertical="center"/>
    </xf>
    <xf numFmtId="0" fontId="97" fillId="0" borderId="28" xfId="0" applyFont="1" applyBorder="1" applyAlignment="1">
      <alignment horizontal="center" vertical="center"/>
    </xf>
    <xf numFmtId="0" fontId="97" fillId="0" borderId="29" xfId="0" applyFont="1" applyBorder="1" applyAlignment="1">
      <alignment horizontal="center" vertical="center"/>
    </xf>
    <xf numFmtId="0" fontId="105" fillId="0" borderId="36" xfId="0" applyFont="1" applyBorder="1" applyAlignment="1">
      <alignment horizontal="center" vertical="center"/>
    </xf>
    <xf numFmtId="0" fontId="105" fillId="0" borderId="54" xfId="0" applyFont="1" applyBorder="1" applyAlignment="1">
      <alignment horizontal="center" vertical="center"/>
    </xf>
    <xf numFmtId="0" fontId="106" fillId="0" borderId="78" xfId="0" applyFont="1" applyBorder="1" applyAlignment="1">
      <alignment horizontal="center" vertical="center" wrapText="1"/>
    </xf>
    <xf numFmtId="0" fontId="106" fillId="0" borderId="5" xfId="0" applyFont="1" applyBorder="1" applyAlignment="1">
      <alignment horizontal="center" vertical="center" wrapText="1"/>
    </xf>
    <xf numFmtId="0" fontId="106" fillId="0" borderId="60" xfId="0" applyFont="1" applyBorder="1" applyAlignment="1">
      <alignment horizontal="center" vertical="center" wrapText="1"/>
    </xf>
    <xf numFmtId="10" fontId="93" fillId="0" borderId="30" xfId="2662" applyNumberFormat="1" applyFont="1" applyFill="1" applyBorder="1" applyAlignment="1">
      <alignment horizontal="center" vertical="center" wrapText="1" shrinkToFit="1"/>
    </xf>
    <xf numFmtId="10" fontId="93" fillId="0" borderId="76" xfId="2662" applyNumberFormat="1" applyFont="1" applyFill="1" applyBorder="1" applyAlignment="1">
      <alignment horizontal="center" vertical="center" wrapText="1" shrinkToFit="1"/>
    </xf>
    <xf numFmtId="10" fontId="93" fillId="0" borderId="86" xfId="2662" applyNumberFormat="1" applyFont="1" applyFill="1" applyBorder="1" applyAlignment="1">
      <alignment horizontal="center" vertical="center" wrapText="1" shrinkToFit="1"/>
    </xf>
    <xf numFmtId="10" fontId="93" fillId="0" borderId="33" xfId="0" applyNumberFormat="1" applyFont="1" applyBorder="1" applyAlignment="1">
      <alignment horizontal="center" vertical="center" wrapText="1" shrinkToFit="1"/>
    </xf>
    <xf numFmtId="0" fontId="93" fillId="0" borderId="71" xfId="0" applyFont="1" applyBorder="1" applyAlignment="1">
      <alignment horizontal="center" vertical="center" wrapText="1" shrinkToFit="1"/>
    </xf>
    <xf numFmtId="0" fontId="93" fillId="0" borderId="46" xfId="0" applyFont="1" applyBorder="1" applyAlignment="1">
      <alignment horizontal="center" vertical="center" wrapText="1" shrinkToFit="1"/>
    </xf>
    <xf numFmtId="0" fontId="93" fillId="0" borderId="48" xfId="0" applyFont="1" applyBorder="1" applyAlignment="1">
      <alignment horizontal="center" vertical="center" wrapText="1" shrinkToFit="1"/>
    </xf>
    <xf numFmtId="0" fontId="93" fillId="0" borderId="31" xfId="0" applyFont="1" applyBorder="1" applyAlignment="1">
      <alignment horizontal="center" vertical="center"/>
    </xf>
    <xf numFmtId="0" fontId="93" fillId="0" borderId="57" xfId="0" applyFont="1" applyBorder="1" applyAlignment="1">
      <alignment horizontal="center" vertical="center"/>
    </xf>
    <xf numFmtId="0" fontId="93" fillId="0" borderId="31" xfId="0" applyFont="1" applyBorder="1" applyAlignment="1">
      <alignment horizontal="left" vertical="center"/>
    </xf>
    <xf numFmtId="0" fontId="93" fillId="0" borderId="82" xfId="0" applyFont="1" applyBorder="1" applyAlignment="1">
      <alignment horizontal="left" vertical="center"/>
    </xf>
    <xf numFmtId="0" fontId="106" fillId="0" borderId="24" xfId="0" applyFont="1" applyBorder="1" applyAlignment="1">
      <alignment horizontal="center" vertical="center" wrapText="1" shrinkToFit="1"/>
    </xf>
    <xf numFmtId="0" fontId="93" fillId="0" borderId="94" xfId="0" applyFont="1" applyBorder="1" applyAlignment="1">
      <alignment horizontal="center" vertical="center" wrapText="1" shrinkToFit="1"/>
    </xf>
    <xf numFmtId="0" fontId="93" fillId="0" borderId="47" xfId="0" applyFont="1" applyBorder="1" applyAlignment="1">
      <alignment horizontal="center" vertical="center" wrapText="1" shrinkToFit="1"/>
    </xf>
    <xf numFmtId="0" fontId="93" fillId="0" borderId="50" xfId="0" applyFont="1" applyBorder="1" applyAlignment="1">
      <alignment horizontal="center" vertical="center" wrapText="1" shrinkToFit="1"/>
    </xf>
    <xf numFmtId="187" fontId="122" fillId="0" borderId="40" xfId="0" applyNumberFormat="1" applyFont="1" applyBorder="1" applyAlignment="1">
      <alignment horizontal="center" vertical="center"/>
    </xf>
    <xf numFmtId="187" fontId="122" fillId="0" borderId="15" xfId="0" applyNumberFormat="1" applyFont="1" applyBorder="1" applyAlignment="1">
      <alignment horizontal="center" vertical="center"/>
    </xf>
    <xf numFmtId="187" fontId="122" fillId="0" borderId="41" xfId="0" applyNumberFormat="1" applyFont="1" applyBorder="1" applyAlignment="1">
      <alignment horizontal="center" vertical="center"/>
    </xf>
    <xf numFmtId="186" fontId="92" fillId="0" borderId="81" xfId="0" quotePrefix="1" applyNumberFormat="1" applyFont="1" applyBorder="1" applyAlignment="1">
      <alignment horizontal="left" vertical="center" wrapText="1"/>
    </xf>
    <xf numFmtId="186" fontId="92" fillId="0" borderId="80" xfId="0" applyNumberFormat="1" applyFont="1" applyBorder="1" applyAlignment="1">
      <alignment horizontal="left" vertical="center" wrapText="1"/>
    </xf>
    <xf numFmtId="186" fontId="92" fillId="0" borderId="89" xfId="0" applyNumberFormat="1" applyFont="1" applyBorder="1" applyAlignment="1">
      <alignment horizontal="left" vertical="center" wrapText="1"/>
    </xf>
    <xf numFmtId="0" fontId="93" fillId="0" borderId="41" xfId="0" applyFont="1" applyBorder="1" applyAlignment="1">
      <alignment horizontal="center" vertical="center" wrapText="1" shrinkToFit="1"/>
    </xf>
    <xf numFmtId="0" fontId="93" fillId="0" borderId="33" xfId="0" applyFont="1" applyBorder="1" applyAlignment="1">
      <alignment horizontal="center" vertical="center" wrapText="1" shrinkToFit="1"/>
    </xf>
    <xf numFmtId="185" fontId="93" fillId="0" borderId="41" xfId="0" applyNumberFormat="1" applyFont="1" applyBorder="1" applyAlignment="1">
      <alignment horizontal="center" vertical="center" wrapText="1" shrinkToFit="1"/>
    </xf>
    <xf numFmtId="185" fontId="93" fillId="0" borderId="33" xfId="0" applyNumberFormat="1" applyFont="1" applyBorder="1" applyAlignment="1">
      <alignment horizontal="center" vertical="center" wrapText="1" shrinkToFit="1"/>
    </xf>
    <xf numFmtId="0" fontId="93" fillId="0" borderId="56" xfId="0" applyFont="1" applyBorder="1" applyAlignment="1">
      <alignment horizontal="center" vertical="center" wrapText="1" shrinkToFit="1"/>
    </xf>
    <xf numFmtId="0" fontId="93" fillId="0" borderId="58" xfId="0" applyFont="1" applyBorder="1" applyAlignment="1">
      <alignment horizontal="center" vertical="center" wrapText="1" shrinkToFit="1"/>
    </xf>
    <xf numFmtId="0" fontId="93" fillId="0" borderId="22" xfId="0" applyFont="1" applyBorder="1" applyAlignment="1">
      <alignment horizontal="center" vertical="center"/>
    </xf>
    <xf numFmtId="0" fontId="93" fillId="0" borderId="23" xfId="0" applyFont="1" applyBorder="1" applyAlignment="1">
      <alignment horizontal="center" vertical="center"/>
    </xf>
    <xf numFmtId="0" fontId="93" fillId="0" borderId="90" xfId="0" applyFont="1" applyBorder="1" applyAlignment="1">
      <alignment horizontal="center" vertical="center"/>
    </xf>
    <xf numFmtId="0" fontId="93" fillId="0" borderId="25" xfId="0" applyFont="1" applyBorder="1" applyAlignment="1">
      <alignment horizontal="center" vertical="center"/>
    </xf>
    <xf numFmtId="0" fontId="93" fillId="0" borderId="0" xfId="0" applyFont="1" applyAlignment="1">
      <alignment horizontal="center" vertical="center"/>
    </xf>
    <xf numFmtId="0" fontId="93" fillId="0" borderId="91" xfId="0" applyFont="1" applyBorder="1" applyAlignment="1">
      <alignment horizontal="center" vertical="center"/>
    </xf>
    <xf numFmtId="0" fontId="93" fillId="0" borderId="27" xfId="0" applyFont="1" applyBorder="1" applyAlignment="1">
      <alignment horizontal="center" vertical="center"/>
    </xf>
    <xf numFmtId="0" fontId="93" fillId="0" borderId="28" xfId="0" applyFont="1" applyBorder="1" applyAlignment="1">
      <alignment horizontal="center" vertical="center"/>
    </xf>
    <xf numFmtId="0" fontId="93" fillId="0" borderId="92" xfId="0" applyFont="1" applyBorder="1" applyAlignment="1">
      <alignment horizontal="center" vertical="center"/>
    </xf>
    <xf numFmtId="0" fontId="0" fillId="0" borderId="0" xfId="0" applyAlignment="1">
      <alignment vertical="center" wrapText="1"/>
    </xf>
    <xf numFmtId="0" fontId="0" fillId="0" borderId="63" xfId="0" applyBorder="1" applyAlignment="1">
      <alignment horizontal="left" vertical="center" wrapText="1"/>
    </xf>
    <xf numFmtId="0" fontId="0" fillId="0" borderId="7" xfId="0" applyBorder="1" applyAlignment="1">
      <alignment horizontal="left" vertical="center" wrapText="1"/>
    </xf>
    <xf numFmtId="0" fontId="0" fillId="0" borderId="96" xfId="0" applyBorder="1" applyAlignment="1">
      <alignment horizontal="left" vertical="center" wrapText="1"/>
    </xf>
    <xf numFmtId="0" fontId="92" fillId="0" borderId="63" xfId="0" applyFont="1" applyBorder="1" applyAlignment="1">
      <alignment horizontal="left" vertical="center" wrapText="1"/>
    </xf>
    <xf numFmtId="0" fontId="92" fillId="0" borderId="7" xfId="0" applyFont="1" applyBorder="1" applyAlignment="1">
      <alignment horizontal="left" vertical="center" wrapText="1"/>
    </xf>
    <xf numFmtId="0" fontId="92" fillId="0" borderId="96" xfId="0" applyFont="1" applyBorder="1" applyAlignment="1">
      <alignment horizontal="left" vertical="center" wrapText="1"/>
    </xf>
    <xf numFmtId="0" fontId="104" fillId="0" borderId="61" xfId="0" applyFont="1" applyBorder="1" applyAlignment="1">
      <alignment horizontal="center" vertical="center"/>
    </xf>
    <xf numFmtId="0" fontId="104" fillId="0" borderId="64" xfId="0" applyFont="1" applyBorder="1" applyAlignment="1">
      <alignment horizontal="center" vertical="center"/>
    </xf>
    <xf numFmtId="0" fontId="93" fillId="0" borderId="41" xfId="0" applyFont="1" applyBorder="1" applyAlignment="1">
      <alignment horizontal="center" vertical="center"/>
    </xf>
    <xf numFmtId="187" fontId="93" fillId="0" borderId="48" xfId="0" applyNumberFormat="1" applyFont="1" applyBorder="1" applyAlignment="1">
      <alignment horizontal="center" vertical="center"/>
    </xf>
    <xf numFmtId="187" fontId="93" fillId="0" borderId="49" xfId="0" applyNumberFormat="1" applyFont="1" applyBorder="1" applyAlignment="1">
      <alignment horizontal="center" vertical="center"/>
    </xf>
    <xf numFmtId="187" fontId="93" fillId="0" borderId="50" xfId="0" applyNumberFormat="1" applyFont="1" applyBorder="1" applyAlignment="1">
      <alignment horizontal="center" vertical="center"/>
    </xf>
    <xf numFmtId="0" fontId="93" fillId="0" borderId="78" xfId="0" applyFont="1" applyBorder="1" applyAlignment="1">
      <alignment horizontal="center" vertical="center"/>
    </xf>
    <xf numFmtId="0" fontId="93" fillId="0" borderId="5" xfId="0" applyFont="1" applyBorder="1" applyAlignment="1">
      <alignment horizontal="center" vertical="center"/>
    </xf>
    <xf numFmtId="0" fontId="93" fillId="0" borderId="60" xfId="0" applyFont="1" applyBorder="1" applyAlignment="1">
      <alignment horizontal="center" vertical="center"/>
    </xf>
    <xf numFmtId="0" fontId="93" fillId="0" borderId="35" xfId="0" applyFont="1" applyBorder="1" applyAlignment="1">
      <alignment horizontal="center" vertical="center"/>
    </xf>
    <xf numFmtId="0" fontId="93" fillId="0" borderId="69" xfId="0" applyFont="1" applyBorder="1" applyAlignment="1">
      <alignment horizontal="center" vertical="center"/>
    </xf>
    <xf numFmtId="0" fontId="106" fillId="0" borderId="0" xfId="0" applyFont="1" applyAlignment="1">
      <alignment horizontal="center" vertical="center" wrapText="1" shrinkToFit="1"/>
    </xf>
    <xf numFmtId="0" fontId="106" fillId="0" borderId="26" xfId="0" applyFont="1" applyBorder="1" applyAlignment="1">
      <alignment horizontal="center" vertical="center" wrapText="1" shrinkToFit="1"/>
    </xf>
    <xf numFmtId="1" fontId="93" fillId="0" borderId="41" xfId="0" applyNumberFormat="1" applyFont="1" applyBorder="1" applyAlignment="1">
      <alignment horizontal="center" vertical="center" wrapText="1" shrinkToFit="1"/>
    </xf>
    <xf numFmtId="1" fontId="93" fillId="0" borderId="33" xfId="0" applyNumberFormat="1" applyFont="1" applyBorder="1" applyAlignment="1">
      <alignment horizontal="center" vertical="center" wrapText="1" shrinkToFit="1"/>
    </xf>
    <xf numFmtId="0" fontId="93" fillId="0" borderId="40" xfId="0" applyFont="1" applyBorder="1" applyAlignment="1">
      <alignment horizontal="left" vertical="center"/>
    </xf>
    <xf numFmtId="0" fontId="93" fillId="0" borderId="63" xfId="0" applyFont="1" applyBorder="1" applyAlignment="1">
      <alignment horizontal="left" vertical="center"/>
    </xf>
    <xf numFmtId="0" fontId="93" fillId="0" borderId="22" xfId="0" applyFont="1" applyBorder="1" applyAlignment="1">
      <alignment horizontal="center" vertical="center" wrapText="1" shrinkToFit="1"/>
    </xf>
    <xf numFmtId="0" fontId="93" fillId="0" borderId="25" xfId="0" applyFont="1" applyBorder="1" applyAlignment="1">
      <alignment horizontal="center" vertical="center" wrapText="1" shrinkToFit="1"/>
    </xf>
    <xf numFmtId="0" fontId="93" fillId="0" borderId="62" xfId="0" applyFont="1" applyBorder="1" applyAlignment="1">
      <alignment horizontal="center" vertical="center" wrapText="1" shrinkToFit="1"/>
    </xf>
    <xf numFmtId="0" fontId="93" fillId="0" borderId="65" xfId="0" applyFont="1" applyBorder="1" applyAlignment="1">
      <alignment horizontal="center" vertical="center" wrapText="1" shrinkToFit="1"/>
    </xf>
    <xf numFmtId="0" fontId="92" fillId="0" borderId="1" xfId="0" applyFont="1" applyBorder="1" applyAlignment="1">
      <alignment horizontal="center" vertical="center" wrapText="1" shrinkToFit="1"/>
    </xf>
    <xf numFmtId="0" fontId="100" fillId="0" borderId="68" xfId="0" applyFont="1" applyBorder="1" applyAlignment="1">
      <alignment horizontal="center" vertical="center" wrapText="1" shrinkToFit="1"/>
    </xf>
    <xf numFmtId="0" fontId="92" fillId="0" borderId="25" xfId="0" applyFont="1" applyBorder="1" applyAlignment="1">
      <alignment horizontal="center" vertical="center" wrapText="1" shrinkToFit="1"/>
    </xf>
    <xf numFmtId="0" fontId="92" fillId="0" borderId="27" xfId="0" applyFont="1" applyBorder="1" applyAlignment="1">
      <alignment horizontal="center" vertical="center" wrapText="1" shrinkToFit="1"/>
    </xf>
    <xf numFmtId="0" fontId="92" fillId="0" borderId="81" xfId="0" applyFont="1" applyBorder="1" applyAlignment="1">
      <alignment horizontal="left" vertical="center" wrapText="1" shrinkToFit="1"/>
    </xf>
    <xf numFmtId="0" fontId="92" fillId="0" borderId="80" xfId="0" applyFont="1" applyBorder="1" applyAlignment="1">
      <alignment horizontal="left" vertical="center" wrapText="1" shrinkToFit="1"/>
    </xf>
    <xf numFmtId="0" fontId="92" fillId="0" borderId="89" xfId="0" applyFont="1" applyBorder="1" applyAlignment="1">
      <alignment horizontal="left" vertical="center" wrapText="1" shrinkToFit="1"/>
    </xf>
    <xf numFmtId="186" fontId="129" fillId="0" borderId="63" xfId="0" quotePrefix="1" applyNumberFormat="1" applyFont="1" applyBorder="1" applyAlignment="1">
      <alignment horizontal="left" vertical="center" wrapText="1"/>
    </xf>
    <xf numFmtId="186" fontId="129" fillId="0" borderId="7" xfId="0" applyNumberFormat="1" applyFont="1" applyBorder="1" applyAlignment="1">
      <alignment horizontal="left" vertical="center" wrapText="1"/>
    </xf>
    <xf numFmtId="186" fontId="129" fillId="0" borderId="96" xfId="0" applyNumberFormat="1" applyFont="1" applyBorder="1" applyAlignment="1">
      <alignment horizontal="left" vertical="center" wrapText="1"/>
    </xf>
    <xf numFmtId="0" fontId="93" fillId="0" borderId="83" xfId="0" applyFont="1" applyBorder="1" applyAlignment="1">
      <alignment horizontal="center" vertical="center" wrapText="1" shrinkToFit="1"/>
    </xf>
    <xf numFmtId="0" fontId="100" fillId="0" borderId="32" xfId="0" applyFont="1" applyBorder="1" applyAlignment="1">
      <alignment horizontal="center" vertical="center" wrapText="1" shrinkToFit="1"/>
    </xf>
    <xf numFmtId="0" fontId="100" fillId="0" borderId="84" xfId="0" applyFont="1" applyBorder="1" applyAlignment="1">
      <alignment horizontal="center" vertical="center" wrapText="1" shrinkToFit="1"/>
    </xf>
    <xf numFmtId="0" fontId="92" fillId="0" borderId="95" xfId="0" applyFont="1" applyBorder="1" applyAlignment="1">
      <alignment horizontal="left" vertical="center" wrapText="1"/>
    </xf>
    <xf numFmtId="0" fontId="92" fillId="0" borderId="28" xfId="0" applyFont="1" applyBorder="1" applyAlignment="1">
      <alignment horizontal="left" vertical="center" wrapText="1"/>
    </xf>
    <xf numFmtId="0" fontId="92" fillId="0" borderId="29" xfId="0" applyFont="1" applyBorder="1" applyAlignment="1">
      <alignment horizontal="left" vertical="center" wrapText="1"/>
    </xf>
    <xf numFmtId="0" fontId="92" fillId="0" borderId="66" xfId="0" applyFont="1" applyBorder="1" applyAlignment="1">
      <alignment horizontal="left" vertical="center" wrapText="1"/>
    </xf>
    <xf numFmtId="0" fontId="92" fillId="0" borderId="74" xfId="0" applyFont="1" applyBorder="1" applyAlignment="1">
      <alignment horizontal="left" vertical="center" wrapText="1"/>
    </xf>
    <xf numFmtId="0" fontId="92" fillId="0" borderId="85" xfId="0" applyFont="1" applyBorder="1" applyAlignment="1">
      <alignment horizontal="left" vertical="center" wrapText="1"/>
    </xf>
    <xf numFmtId="186" fontId="92" fillId="0" borderId="63" xfId="0" applyNumberFormat="1" applyFont="1" applyBorder="1" applyAlignment="1">
      <alignment horizontal="left" vertical="center" wrapText="1"/>
    </xf>
    <xf numFmtId="186" fontId="92" fillId="0" borderId="7" xfId="0" applyNumberFormat="1" applyFont="1" applyBorder="1" applyAlignment="1">
      <alignment horizontal="left" vertical="center" wrapText="1"/>
    </xf>
    <xf numFmtId="186" fontId="92" fillId="0" borderId="96" xfId="0" applyNumberFormat="1" applyFont="1" applyBorder="1" applyAlignment="1">
      <alignment horizontal="left" vertical="center" wrapText="1"/>
    </xf>
    <xf numFmtId="0" fontId="93" fillId="0" borderId="0" xfId="0" applyFont="1" applyAlignment="1">
      <alignment horizontal="center" vertical="center" textRotation="180" wrapText="1"/>
    </xf>
    <xf numFmtId="0" fontId="109" fillId="0" borderId="0" xfId="0" applyFont="1" applyAlignment="1">
      <alignment horizontal="center" vertical="center" wrapText="1"/>
    </xf>
    <xf numFmtId="0" fontId="92" fillId="0" borderId="25" xfId="0" applyFont="1" applyBorder="1" applyAlignment="1">
      <alignment horizontal="center" vertical="center"/>
    </xf>
    <xf numFmtId="0" fontId="92" fillId="0" borderId="0" xfId="0" applyFont="1" applyAlignment="1">
      <alignment horizontal="left" vertical="center" wrapText="1"/>
    </xf>
    <xf numFmtId="0" fontId="105" fillId="0" borderId="0" xfId="0" applyFont="1" applyAlignment="1">
      <alignment horizontal="center" vertical="center" wrapText="1"/>
    </xf>
    <xf numFmtId="186" fontId="92" fillId="0" borderId="0" xfId="0" applyNumberFormat="1" applyFont="1" applyAlignment="1">
      <alignment horizontal="center" vertical="center" wrapText="1"/>
    </xf>
    <xf numFmtId="186" fontId="92" fillId="0" borderId="23" xfId="0" applyNumberFormat="1" applyFont="1" applyBorder="1" applyAlignment="1">
      <alignment horizontal="center" vertical="center" wrapText="1"/>
    </xf>
    <xf numFmtId="187" fontId="92" fillId="0" borderId="0" xfId="0" applyNumberFormat="1" applyFont="1" applyAlignment="1">
      <alignment horizontal="center" vertical="center" wrapText="1"/>
    </xf>
    <xf numFmtId="0" fontId="105" fillId="11" borderId="28" xfId="0" applyFont="1" applyFill="1" applyBorder="1" applyAlignment="1">
      <alignment horizontal="center" vertical="center" wrapText="1" shrinkToFit="1"/>
    </xf>
    <xf numFmtId="0" fontId="105" fillId="11" borderId="0" xfId="0" applyFont="1" applyFill="1" applyAlignment="1">
      <alignment horizontal="center" vertical="center" wrapText="1" shrinkToFit="1"/>
    </xf>
    <xf numFmtId="0" fontId="100" fillId="11" borderId="0" xfId="0" applyFont="1" applyFill="1" applyAlignment="1">
      <alignment horizontal="left" vertical="center" wrapText="1"/>
    </xf>
    <xf numFmtId="0" fontId="0" fillId="0" borderId="66" xfId="0" applyBorder="1" applyAlignment="1">
      <alignment horizontal="left" vertical="center" wrapText="1"/>
    </xf>
    <xf numFmtId="0" fontId="0" fillId="0" borderId="74" xfId="0" applyBorder="1" applyAlignment="1">
      <alignment horizontal="left" vertical="center" wrapText="1"/>
    </xf>
    <xf numFmtId="0" fontId="0" fillId="0" borderId="85" xfId="0" applyBorder="1" applyAlignment="1">
      <alignment horizontal="left" vertical="center" wrapText="1"/>
    </xf>
    <xf numFmtId="0" fontId="100" fillId="11" borderId="28" xfId="0" applyFont="1" applyFill="1" applyBorder="1" applyAlignment="1">
      <alignment horizontal="left" vertical="center" wrapText="1" shrinkToFit="1"/>
    </xf>
    <xf numFmtId="0" fontId="92" fillId="0" borderId="22" xfId="0" applyFont="1" applyBorder="1" applyAlignment="1">
      <alignment horizontal="left" vertical="center" wrapText="1"/>
    </xf>
    <xf numFmtId="0" fontId="92" fillId="0" borderId="93" xfId="0" applyFont="1" applyBorder="1" applyAlignment="1">
      <alignment horizontal="left" vertical="center" wrapText="1"/>
    </xf>
    <xf numFmtId="0" fontId="92" fillId="0" borderId="94" xfId="0" applyFont="1" applyBorder="1" applyAlignment="1">
      <alignment horizontal="left" vertical="center" wrapText="1"/>
    </xf>
    <xf numFmtId="0" fontId="95" fillId="0" borderId="52" xfId="0" applyFont="1" applyBorder="1" applyAlignment="1">
      <alignment horizontal="left" vertical="center" wrapText="1"/>
    </xf>
    <xf numFmtId="0" fontId="95" fillId="0" borderId="40" xfId="0" applyFont="1" applyBorder="1" applyAlignment="1">
      <alignment horizontal="left" vertical="center" wrapText="1"/>
    </xf>
    <xf numFmtId="0" fontId="95" fillId="0" borderId="15" xfId="0" applyFont="1" applyBorder="1" applyAlignment="1">
      <alignment horizontal="left" vertical="center" wrapText="1"/>
    </xf>
    <xf numFmtId="0" fontId="95" fillId="0" borderId="41" xfId="0" applyFont="1" applyBorder="1" applyAlignment="1">
      <alignment horizontal="left" vertical="center" wrapText="1"/>
    </xf>
    <xf numFmtId="0" fontId="95" fillId="11" borderId="26" xfId="0" applyFont="1" applyFill="1" applyBorder="1" applyAlignment="1">
      <alignment horizontal="center" vertical="center" wrapText="1"/>
    </xf>
    <xf numFmtId="0" fontId="96" fillId="11" borderId="0" xfId="0" applyFont="1" applyFill="1" applyAlignment="1">
      <alignment horizontal="center" vertical="center" textRotation="180" wrapText="1"/>
    </xf>
    <xf numFmtId="0" fontId="95" fillId="11" borderId="0" xfId="0" applyFont="1" applyFill="1" applyAlignment="1">
      <alignment horizontal="center" vertical="center" wrapText="1"/>
    </xf>
    <xf numFmtId="0" fontId="95" fillId="11" borderId="25" xfId="0" applyFont="1" applyFill="1" applyBorder="1" applyAlignment="1">
      <alignment horizontal="center" vertical="center"/>
    </xf>
    <xf numFmtId="0" fontId="95" fillId="11" borderId="0" xfId="0" applyFont="1" applyFill="1" applyAlignment="1">
      <alignment vertical="center" wrapText="1"/>
    </xf>
    <xf numFmtId="186" fontId="95" fillId="11" borderId="0" xfId="0" applyNumberFormat="1" applyFont="1" applyFill="1" applyAlignment="1">
      <alignment horizontal="center" vertical="center" wrapText="1"/>
    </xf>
    <xf numFmtId="0" fontId="95" fillId="11" borderId="23" xfId="0" applyFont="1" applyFill="1" applyBorder="1" applyAlignment="1">
      <alignment horizontal="center" vertical="center" wrapText="1" shrinkToFit="1"/>
    </xf>
    <xf numFmtId="0" fontId="95" fillId="11" borderId="24" xfId="0" applyFont="1" applyFill="1" applyBorder="1" applyAlignment="1">
      <alignment horizontal="center" vertical="center" wrapText="1" shrinkToFit="1"/>
    </xf>
    <xf numFmtId="186" fontId="95" fillId="11" borderId="23" xfId="0" applyNumberFormat="1" applyFont="1" applyFill="1" applyBorder="1" applyAlignment="1">
      <alignment horizontal="center" vertical="center" wrapText="1"/>
    </xf>
    <xf numFmtId="0" fontId="95" fillId="0" borderId="27" xfId="0" applyFont="1" applyBorder="1" applyAlignment="1">
      <alignment horizontal="left" vertical="center" wrapText="1"/>
    </xf>
    <xf numFmtId="186" fontId="95" fillId="0" borderId="66" xfId="0" applyNumberFormat="1" applyFont="1" applyBorder="1" applyAlignment="1">
      <alignment horizontal="left" vertical="center" wrapText="1"/>
    </xf>
    <xf numFmtId="186" fontId="95" fillId="0" borderId="74" xfId="0" applyNumberFormat="1" applyFont="1" applyBorder="1" applyAlignment="1">
      <alignment horizontal="left" vertical="center" wrapText="1"/>
    </xf>
    <xf numFmtId="186" fontId="95" fillId="0" borderId="85" xfId="0" applyNumberFormat="1" applyFont="1" applyBorder="1" applyAlignment="1">
      <alignment horizontal="left" vertical="center" wrapText="1"/>
    </xf>
    <xf numFmtId="186" fontId="95" fillId="0" borderId="95" xfId="0" applyNumberFormat="1" applyFont="1" applyBorder="1" applyAlignment="1">
      <alignment horizontal="left" vertical="center" wrapText="1"/>
    </xf>
    <xf numFmtId="186" fontId="95" fillId="0" borderId="28" xfId="0" applyNumberFormat="1" applyFont="1" applyBorder="1" applyAlignment="1">
      <alignment horizontal="left" vertical="center" wrapText="1"/>
    </xf>
    <xf numFmtId="186" fontId="95" fillId="0" borderId="29" xfId="0" applyNumberFormat="1" applyFont="1" applyBorder="1" applyAlignment="1">
      <alignment horizontal="left" vertical="center" wrapText="1"/>
    </xf>
    <xf numFmtId="1" fontId="96" fillId="0" borderId="64" xfId="0" applyNumberFormat="1" applyFont="1" applyBorder="1" applyAlignment="1">
      <alignment horizontal="center" vertical="center" wrapText="1" shrinkToFit="1"/>
    </xf>
    <xf numFmtId="185" fontId="96" fillId="0" borderId="41" xfId="0" applyNumberFormat="1" applyFont="1" applyBorder="1" applyAlignment="1">
      <alignment horizontal="center" vertical="center" wrapText="1" shrinkToFit="1"/>
    </xf>
    <xf numFmtId="185" fontId="96" fillId="0" borderId="33" xfId="0" applyNumberFormat="1" applyFont="1" applyBorder="1" applyAlignment="1">
      <alignment horizontal="center" vertical="center" wrapText="1" shrinkToFit="1"/>
    </xf>
    <xf numFmtId="1" fontId="96" fillId="0" borderId="56" xfId="0" applyNumberFormat="1" applyFont="1" applyBorder="1" applyAlignment="1">
      <alignment horizontal="center" vertical="center" wrapText="1" shrinkToFit="1"/>
    </xf>
    <xf numFmtId="1" fontId="96" fillId="0" borderId="58" xfId="0" applyNumberFormat="1" applyFont="1" applyBorder="1" applyAlignment="1">
      <alignment horizontal="center" vertical="center" wrapText="1" shrinkToFit="1"/>
    </xf>
    <xf numFmtId="1" fontId="96" fillId="0" borderId="40" xfId="0" applyNumberFormat="1" applyFont="1" applyBorder="1" applyAlignment="1">
      <alignment horizontal="center" vertical="center" wrapText="1" shrinkToFit="1"/>
    </xf>
    <xf numFmtId="1" fontId="96" fillId="0" borderId="31" xfId="0" applyNumberFormat="1" applyFont="1" applyBorder="1" applyAlignment="1">
      <alignment horizontal="center" vertical="center" wrapText="1" shrinkToFit="1"/>
    </xf>
    <xf numFmtId="1" fontId="96" fillId="0" borderId="61" xfId="0" applyNumberFormat="1" applyFont="1" applyBorder="1" applyAlignment="1">
      <alignment horizontal="center" vertical="center" wrapText="1" shrinkToFit="1"/>
    </xf>
    <xf numFmtId="1" fontId="96" fillId="0" borderId="15" xfId="0" applyNumberFormat="1" applyFont="1" applyBorder="1" applyAlignment="1">
      <alignment horizontal="center" vertical="center" wrapText="1" shrinkToFit="1"/>
    </xf>
    <xf numFmtId="1" fontId="96" fillId="0" borderId="57" xfId="0" applyNumberFormat="1" applyFont="1" applyBorder="1" applyAlignment="1">
      <alignment horizontal="center" vertical="center" wrapText="1" shrinkToFit="1"/>
    </xf>
    <xf numFmtId="0" fontId="95" fillId="0" borderId="75" xfId="0" applyFont="1" applyBorder="1" applyAlignment="1">
      <alignment horizontal="left" vertical="center" wrapText="1" shrinkToFit="1"/>
    </xf>
    <xf numFmtId="0" fontId="95" fillId="0" borderId="1" xfId="0" applyFont="1" applyBorder="1" applyAlignment="1">
      <alignment horizontal="left" vertical="center" wrapText="1" shrinkToFit="1"/>
    </xf>
    <xf numFmtId="0" fontId="95" fillId="0" borderId="73" xfId="0" applyFont="1" applyBorder="1" applyAlignment="1">
      <alignment horizontal="left" vertical="center" wrapText="1" shrinkToFit="1"/>
    </xf>
    <xf numFmtId="10" fontId="96" fillId="0" borderId="42" xfId="2466" applyNumberFormat="1" applyFont="1" applyFill="1" applyBorder="1" applyAlignment="1">
      <alignment horizontal="center" vertical="center" wrapText="1" shrinkToFit="1"/>
    </xf>
    <xf numFmtId="0" fontId="95" fillId="0" borderId="68" xfId="0" applyFont="1" applyBorder="1" applyAlignment="1">
      <alignment horizontal="center" vertical="center" wrapText="1" shrinkToFit="1"/>
    </xf>
    <xf numFmtId="0" fontId="95" fillId="0" borderId="45" xfId="0" applyFont="1" applyBorder="1" applyAlignment="1">
      <alignment horizontal="center" vertical="center" wrapText="1" shrinkToFit="1"/>
    </xf>
    <xf numFmtId="0" fontId="95" fillId="0" borderId="47" xfId="0" applyFont="1" applyBorder="1" applyAlignment="1">
      <alignment horizontal="center" vertical="center" wrapText="1" shrinkToFit="1"/>
    </xf>
    <xf numFmtId="0" fontId="95" fillId="0" borderId="50" xfId="0" applyFont="1" applyBorder="1" applyAlignment="1">
      <alignment horizontal="center" vertical="center" wrapText="1" shrinkToFit="1"/>
    </xf>
    <xf numFmtId="0" fontId="96" fillId="0" borderId="82" xfId="0" applyFont="1" applyBorder="1" applyAlignment="1">
      <alignment horizontal="center" vertical="center"/>
    </xf>
    <xf numFmtId="187" fontId="96" fillId="0" borderId="31" xfId="0" applyNumberFormat="1" applyFont="1" applyBorder="1" applyAlignment="1">
      <alignment horizontal="left" vertical="center"/>
    </xf>
    <xf numFmtId="187" fontId="96" fillId="0" borderId="57" xfId="0" applyNumberFormat="1" applyFont="1" applyBorder="1" applyAlignment="1">
      <alignment horizontal="left" vertical="center"/>
    </xf>
    <xf numFmtId="187" fontId="96" fillId="0" borderId="33" xfId="0" applyNumberFormat="1" applyFont="1" applyBorder="1" applyAlignment="1">
      <alignment horizontal="left" vertical="center"/>
    </xf>
    <xf numFmtId="0" fontId="96" fillId="0" borderId="72" xfId="0" applyFont="1" applyBorder="1" applyAlignment="1">
      <alignment horizontal="center" vertical="center" wrapText="1" shrinkToFit="1"/>
    </xf>
    <xf numFmtId="10" fontId="131" fillId="53" borderId="30" xfId="0" applyNumberFormat="1" applyFont="1" applyFill="1" applyBorder="1" applyAlignment="1">
      <alignment horizontal="center" vertical="center"/>
    </xf>
    <xf numFmtId="10" fontId="131" fillId="53" borderId="77" xfId="0" applyNumberFormat="1" applyFont="1" applyFill="1" applyBorder="1" applyAlignment="1">
      <alignment horizontal="center" vertical="center"/>
    </xf>
    <xf numFmtId="0" fontId="96" fillId="0" borderId="93" xfId="0" applyFont="1" applyBorder="1" applyAlignment="1">
      <alignment horizontal="center" vertical="center"/>
    </xf>
    <xf numFmtId="0" fontId="96" fillId="0" borderId="71" xfId="0" applyFont="1" applyBorder="1" applyAlignment="1">
      <alignment horizontal="left" vertical="center"/>
    </xf>
    <xf numFmtId="0" fontId="96" fillId="0" borderId="93" xfId="0" applyFont="1" applyBorder="1" applyAlignment="1">
      <alignment horizontal="left" vertical="center"/>
    </xf>
    <xf numFmtId="0" fontId="96" fillId="0" borderId="48" xfId="0" applyFont="1" applyBorder="1" applyAlignment="1">
      <alignment horizontal="left" vertical="center"/>
    </xf>
    <xf numFmtId="0" fontId="96" fillId="0" borderId="95" xfId="0" applyFont="1" applyBorder="1" applyAlignment="1">
      <alignment horizontal="left" vertical="center"/>
    </xf>
    <xf numFmtId="0" fontId="96" fillId="0" borderId="30" xfId="0" applyFont="1" applyBorder="1" applyAlignment="1">
      <alignment horizontal="center" vertical="center" textRotation="180" wrapText="1"/>
    </xf>
    <xf numFmtId="0" fontId="95" fillId="0" borderId="88" xfId="0" applyFont="1" applyBorder="1" applyAlignment="1">
      <alignment horizontal="center" vertical="center" wrapText="1"/>
    </xf>
    <xf numFmtId="0" fontId="0" fillId="0" borderId="76" xfId="0" applyBorder="1" applyAlignment="1">
      <alignment horizontal="center" vertical="center" wrapText="1"/>
    </xf>
    <xf numFmtId="0" fontId="0" fillId="0" borderId="86" xfId="0" applyBorder="1" applyAlignment="1">
      <alignment horizontal="center" vertical="center" wrapText="1"/>
    </xf>
    <xf numFmtId="0" fontId="95" fillId="0" borderId="25" xfId="0" applyFont="1" applyBorder="1"/>
    <xf numFmtId="0" fontId="95" fillId="0" borderId="0" xfId="0" applyFont="1"/>
    <xf numFmtId="0" fontId="110" fillId="0" borderId="52" xfId="0" applyFont="1" applyBorder="1" applyAlignment="1">
      <alignment vertical="center" wrapText="1"/>
    </xf>
    <xf numFmtId="0" fontId="110" fillId="0" borderId="7" xfId="0" applyFont="1" applyBorder="1" applyAlignment="1">
      <alignment vertical="center" wrapText="1"/>
    </xf>
    <xf numFmtId="0" fontId="110" fillId="0" borderId="96" xfId="0" applyFont="1" applyBorder="1" applyAlignment="1">
      <alignment vertical="center" wrapText="1"/>
    </xf>
    <xf numFmtId="0" fontId="110" fillId="0" borderId="52" xfId="0" applyFont="1" applyBorder="1" applyAlignment="1">
      <alignment horizontal="left" vertical="center" wrapText="1"/>
    </xf>
    <xf numFmtId="0" fontId="110" fillId="0" borderId="7" xfId="0" applyFont="1" applyBorder="1" applyAlignment="1">
      <alignment horizontal="left" vertical="center" wrapText="1"/>
    </xf>
    <xf numFmtId="0" fontId="110" fillId="0" borderId="96" xfId="0" applyFont="1" applyBorder="1" applyAlignment="1">
      <alignment horizontal="left" vertical="center" wrapText="1"/>
    </xf>
    <xf numFmtId="0" fontId="110" fillId="0" borderId="79" xfId="0" applyFont="1" applyBorder="1" applyAlignment="1">
      <alignment horizontal="left" vertical="center" wrapText="1"/>
    </xf>
    <xf numFmtId="0" fontId="110" fillId="0" borderId="80" xfId="0" applyFont="1" applyBorder="1" applyAlignment="1">
      <alignment horizontal="left" vertical="center"/>
    </xf>
    <xf numFmtId="0" fontId="110" fillId="0" borderId="89" xfId="0" applyFont="1" applyBorder="1" applyAlignment="1">
      <alignment horizontal="left" vertical="center"/>
    </xf>
    <xf numFmtId="0" fontId="95" fillId="0" borderId="83" xfId="0" applyFont="1" applyBorder="1" applyAlignment="1">
      <alignment horizontal="left" vertical="center" wrapText="1"/>
    </xf>
    <xf numFmtId="0" fontId="95" fillId="0" borderId="32" xfId="0" applyFont="1" applyBorder="1" applyAlignment="1">
      <alignment horizontal="left" vertical="center" wrapText="1"/>
    </xf>
    <xf numFmtId="0" fontId="95" fillId="0" borderId="84" xfId="0" applyFont="1" applyBorder="1" applyAlignment="1">
      <alignment horizontal="left" vertical="center" wrapText="1"/>
    </xf>
    <xf numFmtId="186" fontId="95" fillId="0" borderId="33" xfId="0" applyNumberFormat="1" applyFont="1" applyBorder="1" applyAlignment="1">
      <alignment horizontal="left" vertical="center" wrapText="1"/>
    </xf>
    <xf numFmtId="186" fontId="110" fillId="0" borderId="63" xfId="0" applyNumberFormat="1" applyFont="1" applyBorder="1" applyAlignment="1">
      <alignment horizontal="left" vertical="center" wrapText="1"/>
    </xf>
    <xf numFmtId="186" fontId="110" fillId="0" borderId="7" xfId="0" applyNumberFormat="1" applyFont="1" applyBorder="1" applyAlignment="1">
      <alignment horizontal="left" vertical="center" wrapText="1"/>
    </xf>
    <xf numFmtId="186" fontId="110" fillId="0" borderId="96" xfId="0" applyNumberFormat="1" applyFont="1" applyBorder="1" applyAlignment="1">
      <alignment horizontal="left" vertical="center" wrapText="1"/>
    </xf>
    <xf numFmtId="0" fontId="95" fillId="0" borderId="26" xfId="0" applyFont="1" applyBorder="1"/>
    <xf numFmtId="186" fontId="95" fillId="0" borderId="61" xfId="0" applyNumberFormat="1" applyFont="1" applyBorder="1" applyAlignment="1">
      <alignment horizontal="left" vertical="center" wrapText="1"/>
    </xf>
    <xf numFmtId="186" fontId="95" fillId="0" borderId="64" xfId="0" applyNumberFormat="1" applyFont="1" applyBorder="1" applyAlignment="1">
      <alignment horizontal="left" vertical="center" wrapText="1"/>
    </xf>
    <xf numFmtId="0" fontId="95" fillId="0" borderId="81" xfId="0" applyFont="1" applyBorder="1" applyAlignment="1">
      <alignment horizontal="left" vertical="center" wrapText="1" shrinkToFit="1"/>
    </xf>
    <xf numFmtId="0" fontId="95" fillId="0" borderId="80" xfId="0" applyFont="1" applyBorder="1" applyAlignment="1">
      <alignment horizontal="left" vertical="center" wrapText="1" shrinkToFit="1"/>
    </xf>
    <xf numFmtId="0" fontId="95" fillId="0" borderId="89" xfId="0" applyFont="1" applyBorder="1" applyAlignment="1">
      <alignment horizontal="left" vertical="center" wrapText="1" shrinkToFit="1"/>
    </xf>
    <xf numFmtId="186" fontId="110" fillId="0" borderId="15" xfId="0" applyNumberFormat="1" applyFont="1" applyBorder="1" applyAlignment="1">
      <alignment horizontal="left" vertical="center" wrapText="1"/>
    </xf>
    <xf numFmtId="186" fontId="110" fillId="0" borderId="41" xfId="0" applyNumberFormat="1" applyFont="1" applyBorder="1" applyAlignment="1">
      <alignment horizontal="left" vertical="center" wrapText="1"/>
    </xf>
    <xf numFmtId="0" fontId="95" fillId="0" borderId="66" xfId="0" applyFont="1" applyBorder="1" applyAlignment="1">
      <alignment horizontal="left" vertical="center" wrapText="1" shrinkToFit="1"/>
    </xf>
    <xf numFmtId="0" fontId="95" fillId="0" borderId="74" xfId="0" applyFont="1" applyBorder="1" applyAlignment="1">
      <alignment horizontal="left" vertical="center" wrapText="1" shrinkToFit="1"/>
    </xf>
    <xf numFmtId="0" fontId="95" fillId="0" borderId="85" xfId="0" applyFont="1" applyBorder="1" applyAlignment="1">
      <alignment horizontal="left" vertical="center" wrapText="1" shrinkToFit="1"/>
    </xf>
    <xf numFmtId="0" fontId="96" fillId="0" borderId="52" xfId="0" applyFont="1" applyBorder="1" applyAlignment="1">
      <alignment horizontal="center" vertical="center"/>
    </xf>
    <xf numFmtId="0" fontId="96" fillId="0" borderId="83" xfId="0" applyFont="1" applyBorder="1"/>
    <xf numFmtId="0" fontId="96" fillId="0" borderId="33" xfId="0" applyFont="1" applyBorder="1"/>
    <xf numFmtId="0" fontId="96" fillId="0" borderId="36" xfId="0" applyFont="1" applyBorder="1" applyAlignment="1">
      <alignment horizontal="center" vertical="center" wrapText="1"/>
    </xf>
    <xf numFmtId="0" fontId="96" fillId="0" borderId="54" xfId="0" applyFont="1" applyBorder="1" applyAlignment="1">
      <alignment horizontal="center" vertical="center" wrapText="1"/>
    </xf>
    <xf numFmtId="10" fontId="96" fillId="0" borderId="79" xfId="0" applyNumberFormat="1" applyFont="1" applyBorder="1" applyAlignment="1">
      <alignment horizontal="center" vertical="center"/>
    </xf>
    <xf numFmtId="10" fontId="96" fillId="0" borderId="52" xfId="0" applyNumberFormat="1" applyFont="1" applyBorder="1" applyAlignment="1">
      <alignment horizontal="center" vertical="center"/>
    </xf>
    <xf numFmtId="0" fontId="96" fillId="0" borderId="52" xfId="0" applyFont="1" applyBorder="1"/>
    <xf numFmtId="10" fontId="96" fillId="0" borderId="52" xfId="0" applyNumberFormat="1" applyFont="1" applyBorder="1" applyAlignment="1">
      <alignment horizontal="center" vertical="center" wrapText="1" shrinkToFit="1"/>
    </xf>
    <xf numFmtId="0" fontId="95" fillId="0" borderId="78" xfId="0" applyFont="1" applyBorder="1" applyAlignment="1">
      <alignment horizontal="center" vertical="center" wrapText="1" shrinkToFit="1"/>
    </xf>
    <xf numFmtId="0" fontId="95" fillId="0" borderId="60" xfId="0" applyFont="1" applyBorder="1" applyAlignment="1">
      <alignment horizontal="center" vertical="center" wrapText="1" shrinkToFit="1"/>
    </xf>
    <xf numFmtId="10" fontId="96" fillId="0" borderId="94" xfId="0" applyNumberFormat="1" applyFont="1" applyBorder="1" applyAlignment="1">
      <alignment horizontal="center" vertical="center"/>
    </xf>
    <xf numFmtId="10" fontId="96" fillId="0" borderId="47" xfId="0" applyNumberFormat="1" applyFont="1" applyBorder="1" applyAlignment="1">
      <alignment horizontal="center" vertical="center"/>
    </xf>
    <xf numFmtId="0" fontId="96" fillId="0" borderId="50" xfId="0" applyFont="1" applyBorder="1"/>
    <xf numFmtId="10" fontId="96" fillId="0" borderId="52" xfId="0" applyNumberFormat="1" applyFont="1" applyBorder="1"/>
    <xf numFmtId="10" fontId="96" fillId="0" borderId="22" xfId="0" applyNumberFormat="1" applyFont="1" applyBorder="1" applyAlignment="1">
      <alignment horizontal="center" vertical="center"/>
    </xf>
    <xf numFmtId="10" fontId="96" fillId="0" borderId="25" xfId="0" applyNumberFormat="1" applyFont="1" applyBorder="1" applyAlignment="1">
      <alignment horizontal="center" vertical="center"/>
    </xf>
    <xf numFmtId="0" fontId="96" fillId="0" borderId="27" xfId="0" applyFont="1" applyBorder="1"/>
    <xf numFmtId="10" fontId="96" fillId="0" borderId="64" xfId="2449" applyNumberFormat="1" applyFont="1" applyFill="1" applyBorder="1" applyAlignment="1">
      <alignment horizontal="center" vertical="center" wrapText="1" shrinkToFit="1"/>
    </xf>
    <xf numFmtId="10" fontId="96" fillId="0" borderId="41" xfId="2449" applyNumberFormat="1" applyFont="1" applyFill="1" applyBorder="1" applyAlignment="1">
      <alignment horizontal="center" vertical="center" wrapText="1" shrinkToFit="1"/>
    </xf>
    <xf numFmtId="10" fontId="96" fillId="0" borderId="33" xfId="2449" applyNumberFormat="1" applyFont="1" applyFill="1" applyBorder="1" applyAlignment="1">
      <alignment horizontal="center" vertical="center" wrapText="1" shrinkToFit="1"/>
    </xf>
    <xf numFmtId="0" fontId="96" fillId="0" borderId="41" xfId="0" applyFont="1" applyBorder="1" applyAlignment="1">
      <alignment horizontal="center" vertical="center" wrapText="1" shrinkToFit="1"/>
    </xf>
    <xf numFmtId="0" fontId="96" fillId="0" borderId="33" xfId="0" applyFont="1" applyBorder="1" applyAlignment="1">
      <alignment horizontal="center" vertical="center" wrapText="1" shrinkToFit="1"/>
    </xf>
    <xf numFmtId="0" fontId="96" fillId="0" borderId="56" xfId="0" applyFont="1" applyBorder="1" applyAlignment="1">
      <alignment horizontal="center" vertical="center" wrapText="1" shrinkToFit="1"/>
    </xf>
    <xf numFmtId="0" fontId="96" fillId="0" borderId="58" xfId="0" applyFont="1" applyBorder="1" applyAlignment="1">
      <alignment horizontal="center" vertical="center" wrapText="1" shrinkToFit="1"/>
    </xf>
    <xf numFmtId="10" fontId="96" fillId="0" borderId="64" xfId="0" applyNumberFormat="1" applyFont="1" applyBorder="1" applyAlignment="1">
      <alignment horizontal="center" vertical="center"/>
    </xf>
    <xf numFmtId="10" fontId="96" fillId="0" borderId="41" xfId="0" applyNumberFormat="1" applyFont="1" applyBorder="1" applyAlignment="1">
      <alignment horizontal="center" vertical="center"/>
    </xf>
    <xf numFmtId="10" fontId="96" fillId="0" borderId="41" xfId="0" applyNumberFormat="1" applyFont="1" applyBorder="1"/>
    <xf numFmtId="10" fontId="96" fillId="0" borderId="37" xfId="2449" applyNumberFormat="1" applyFont="1" applyFill="1" applyBorder="1" applyAlignment="1">
      <alignment horizontal="center" vertical="center" wrapText="1" shrinkToFit="1"/>
    </xf>
    <xf numFmtId="10" fontId="96" fillId="0" borderId="40" xfId="2449" applyNumberFormat="1" applyFont="1" applyFill="1" applyBorder="1" applyAlignment="1">
      <alignment horizontal="center" vertical="center" wrapText="1" shrinkToFit="1"/>
    </xf>
    <xf numFmtId="10" fontId="96" fillId="0" borderId="31" xfId="2449" applyNumberFormat="1" applyFont="1" applyFill="1" applyBorder="1" applyAlignment="1">
      <alignment horizontal="center" vertical="center" wrapText="1" shrinkToFit="1"/>
    </xf>
    <xf numFmtId="0" fontId="95" fillId="0" borderId="78" xfId="0" applyFont="1" applyBorder="1" applyAlignment="1">
      <alignment horizontal="center" vertical="center" wrapText="1"/>
    </xf>
    <xf numFmtId="0" fontId="95" fillId="0" borderId="60" xfId="0" applyFont="1" applyBorder="1" applyAlignment="1">
      <alignment horizontal="center" vertical="center" wrapText="1"/>
    </xf>
    <xf numFmtId="10" fontId="96" fillId="0" borderId="41" xfId="0" applyNumberFormat="1" applyFont="1" applyBorder="1" applyAlignment="1">
      <alignment horizontal="center" vertical="center" wrapText="1" shrinkToFit="1"/>
    </xf>
    <xf numFmtId="10" fontId="96" fillId="0" borderId="64" xfId="0" applyNumberFormat="1" applyFont="1" applyBorder="1" applyAlignment="1">
      <alignment horizontal="center" vertical="center" wrapText="1" shrinkToFit="1"/>
    </xf>
    <xf numFmtId="0" fontId="96" fillId="0" borderId="41" xfId="0" applyFont="1" applyBorder="1"/>
    <xf numFmtId="10" fontId="96" fillId="0" borderId="79" xfId="0" applyNumberFormat="1" applyFont="1" applyBorder="1" applyAlignment="1">
      <alignment horizontal="center" vertical="center" wrapText="1" shrinkToFit="1"/>
    </xf>
    <xf numFmtId="10" fontId="96" fillId="50" borderId="30" xfId="2449" applyNumberFormat="1" applyFont="1" applyFill="1" applyBorder="1" applyAlignment="1">
      <alignment horizontal="center" vertical="center"/>
    </xf>
    <xf numFmtId="10" fontId="96" fillId="50" borderId="77" xfId="2449" applyNumberFormat="1" applyFont="1" applyFill="1" applyBorder="1" applyAlignment="1">
      <alignment horizontal="center" vertical="center"/>
    </xf>
    <xf numFmtId="187" fontId="96" fillId="0" borderId="31" xfId="0" applyNumberFormat="1" applyFont="1" applyBorder="1" applyAlignment="1">
      <alignment horizontal="center" vertical="center"/>
    </xf>
    <xf numFmtId="187" fontId="96" fillId="0" borderId="57" xfId="0" applyNumberFormat="1" applyFont="1" applyBorder="1" applyAlignment="1">
      <alignment horizontal="center" vertical="center"/>
    </xf>
    <xf numFmtId="187" fontId="96" fillId="0" borderId="33" xfId="0" applyNumberFormat="1" applyFont="1" applyBorder="1" applyAlignment="1">
      <alignment horizontal="center" vertical="center"/>
    </xf>
    <xf numFmtId="0" fontId="96" fillId="0" borderId="48" xfId="0" applyFont="1" applyBorder="1" applyAlignment="1">
      <alignment horizontal="center" vertical="center"/>
    </xf>
    <xf numFmtId="0" fontId="96" fillId="0" borderId="49" xfId="0" applyFont="1" applyBorder="1" applyAlignment="1">
      <alignment horizontal="center" vertical="center"/>
    </xf>
    <xf numFmtId="0" fontId="95" fillId="11" borderId="0" xfId="0" applyFont="1" applyFill="1" applyAlignment="1">
      <alignment horizontal="left" vertical="center" wrapText="1" shrinkToFit="1"/>
    </xf>
    <xf numFmtId="0" fontId="95" fillId="11" borderId="28" xfId="0" applyFont="1" applyFill="1" applyBorder="1" applyAlignment="1">
      <alignment horizontal="left" vertical="center" wrapText="1" shrinkToFit="1"/>
    </xf>
    <xf numFmtId="0" fontId="95" fillId="11" borderId="28" xfId="0" applyFont="1" applyFill="1" applyBorder="1" applyAlignment="1">
      <alignment horizontal="center" vertical="center" wrapText="1" shrinkToFit="1"/>
    </xf>
    <xf numFmtId="0" fontId="118" fillId="0" borderId="23" xfId="0" applyFont="1" applyBorder="1" applyAlignment="1">
      <alignment horizontal="left" vertical="center" wrapText="1"/>
    </xf>
    <xf numFmtId="0" fontId="118" fillId="0" borderId="56" xfId="0" applyFont="1" applyBorder="1" applyAlignment="1">
      <alignment horizontal="left" vertical="center" wrapText="1"/>
    </xf>
    <xf numFmtId="0" fontId="118" fillId="0" borderId="15" xfId="0" applyFont="1" applyBorder="1" applyAlignment="1">
      <alignment horizontal="left" vertical="center" wrapText="1"/>
    </xf>
    <xf numFmtId="0" fontId="118" fillId="0" borderId="41" xfId="0" applyFont="1" applyBorder="1" applyAlignment="1">
      <alignment horizontal="left" vertical="center" wrapText="1"/>
    </xf>
    <xf numFmtId="0" fontId="95" fillId="0" borderId="56" xfId="0" applyFont="1" applyBorder="1" applyAlignment="1">
      <alignment horizontal="left" vertical="center" wrapText="1" shrinkToFit="1"/>
    </xf>
    <xf numFmtId="0" fontId="118" fillId="0" borderId="42" xfId="0" applyFont="1" applyBorder="1" applyAlignment="1">
      <alignment horizontal="left" vertical="center" wrapText="1"/>
    </xf>
    <xf numFmtId="0" fontId="118" fillId="0" borderId="44" xfId="0" applyFont="1" applyBorder="1" applyAlignment="1">
      <alignment horizontal="left" vertical="center" wrapText="1"/>
    </xf>
    <xf numFmtId="0" fontId="118" fillId="0" borderId="45" xfId="0" applyFont="1" applyBorder="1" applyAlignment="1">
      <alignment horizontal="left" vertical="center" wrapText="1"/>
    </xf>
    <xf numFmtId="10" fontId="122" fillId="0" borderId="81" xfId="2662" applyNumberFormat="1" applyFont="1" applyFill="1" applyBorder="1" applyAlignment="1">
      <alignment horizontal="center" vertical="center" wrapText="1" shrinkToFit="1"/>
    </xf>
    <xf numFmtId="10" fontId="122" fillId="0" borderId="63" xfId="2662" applyNumberFormat="1" applyFont="1" applyFill="1" applyBorder="1" applyAlignment="1">
      <alignment horizontal="center" vertical="center" wrapText="1" shrinkToFit="1"/>
    </xf>
    <xf numFmtId="10" fontId="122" fillId="0" borderId="64" xfId="0" applyNumberFormat="1" applyFont="1" applyBorder="1" applyAlignment="1">
      <alignment horizontal="center" vertical="center" wrapText="1" shrinkToFit="1"/>
    </xf>
    <xf numFmtId="10" fontId="122" fillId="0" borderId="41" xfId="0" applyNumberFormat="1" applyFont="1" applyBorder="1" applyAlignment="1">
      <alignment horizontal="center" vertical="center" wrapText="1" shrinkToFit="1"/>
    </xf>
    <xf numFmtId="1" fontId="122" fillId="0" borderId="56" xfId="0" applyNumberFormat="1" applyFont="1" applyBorder="1" applyAlignment="1">
      <alignment horizontal="center" vertical="center" wrapText="1" shrinkToFit="1"/>
    </xf>
    <xf numFmtId="1" fontId="122" fillId="0" borderId="42" xfId="0" applyNumberFormat="1" applyFont="1" applyBorder="1" applyAlignment="1">
      <alignment horizontal="center" vertical="center" wrapText="1" shrinkToFit="1"/>
    </xf>
    <xf numFmtId="1" fontId="122" fillId="0" borderId="64" xfId="0" applyNumberFormat="1" applyFont="1" applyBorder="1" applyAlignment="1">
      <alignment horizontal="center" vertical="center" wrapText="1" shrinkToFit="1"/>
    </xf>
    <xf numFmtId="1" fontId="122" fillId="0" borderId="41" xfId="0" applyNumberFormat="1" applyFont="1" applyBorder="1" applyAlignment="1">
      <alignment horizontal="center" vertical="center" wrapText="1" shrinkToFit="1"/>
    </xf>
    <xf numFmtId="1" fontId="122" fillId="0" borderId="33" xfId="0" applyNumberFormat="1" applyFont="1" applyBorder="1" applyAlignment="1">
      <alignment horizontal="center" vertical="center" wrapText="1" shrinkToFit="1"/>
    </xf>
    <xf numFmtId="10" fontId="122" fillId="0" borderId="81" xfId="0" applyNumberFormat="1" applyFont="1" applyBorder="1" applyAlignment="1">
      <alignment horizontal="center" vertical="center" wrapText="1" shrinkToFit="1"/>
    </xf>
    <xf numFmtId="10" fontId="122" fillId="0" borderId="63" xfId="0" applyNumberFormat="1" applyFont="1" applyBorder="1" applyAlignment="1">
      <alignment horizontal="center" vertical="center" wrapText="1" shrinkToFit="1"/>
    </xf>
    <xf numFmtId="10" fontId="122" fillId="0" borderId="82" xfId="0" applyNumberFormat="1" applyFont="1" applyBorder="1" applyAlignment="1">
      <alignment horizontal="center" vertical="center" wrapText="1" shrinkToFit="1"/>
    </xf>
    <xf numFmtId="1" fontId="122" fillId="0" borderId="63" xfId="0" applyNumberFormat="1" applyFont="1" applyBorder="1" applyAlignment="1">
      <alignment horizontal="center" vertical="center" wrapText="1" shrinkToFit="1"/>
    </xf>
    <xf numFmtId="1" fontId="122" fillId="0" borderId="82" xfId="0" applyNumberFormat="1" applyFont="1" applyBorder="1" applyAlignment="1">
      <alignment horizontal="center" vertical="center" wrapText="1" shrinkToFit="1"/>
    </xf>
    <xf numFmtId="0" fontId="118" fillId="0" borderId="72" xfId="0" applyFont="1" applyBorder="1" applyAlignment="1">
      <alignment vertical="center" wrapText="1"/>
    </xf>
    <xf numFmtId="0" fontId="118" fillId="0" borderId="61" xfId="0" applyFont="1" applyBorder="1" applyAlignment="1">
      <alignment vertical="center" wrapText="1"/>
    </xf>
    <xf numFmtId="0" fontId="118" fillId="0" borderId="64" xfId="0" applyFont="1" applyBorder="1" applyAlignment="1">
      <alignment vertical="center" wrapText="1"/>
    </xf>
    <xf numFmtId="0" fontId="95" fillId="0" borderId="44" xfId="0" applyFont="1" applyBorder="1" applyAlignment="1">
      <alignment horizontal="left" vertical="center" wrapText="1"/>
    </xf>
    <xf numFmtId="0" fontId="95" fillId="0" borderId="45" xfId="0" applyFont="1" applyBorder="1" applyAlignment="1">
      <alignment horizontal="left" vertical="center" wrapText="1"/>
    </xf>
    <xf numFmtId="186" fontId="95" fillId="0" borderId="82" xfId="0" applyNumberFormat="1" applyFont="1" applyBorder="1" applyAlignment="1">
      <alignment horizontal="left" vertical="center" wrapText="1"/>
    </xf>
    <xf numFmtId="186" fontId="95" fillId="0" borderId="32" xfId="0" applyNumberFormat="1" applyFont="1" applyBorder="1" applyAlignment="1">
      <alignment horizontal="left" vertical="center" wrapText="1"/>
    </xf>
    <xf numFmtId="186" fontId="95" fillId="0" borderId="84" xfId="0" applyNumberFormat="1" applyFont="1" applyBorder="1" applyAlignment="1">
      <alignment horizontal="left" vertical="center" wrapText="1"/>
    </xf>
    <xf numFmtId="10" fontId="96" fillId="54" borderId="30" xfId="0" applyNumberFormat="1" applyFont="1" applyFill="1" applyBorder="1" applyAlignment="1">
      <alignment horizontal="center" vertical="center"/>
    </xf>
    <xf numFmtId="0" fontId="95" fillId="54" borderId="0" xfId="0" applyFont="1" applyFill="1"/>
    <xf numFmtId="0" fontId="96" fillId="0" borderId="33" xfId="0" applyFont="1" applyBorder="1" applyAlignment="1">
      <alignment horizontal="center" vertical="center"/>
    </xf>
    <xf numFmtId="0" fontId="118" fillId="0" borderId="68" xfId="0" applyFont="1" applyBorder="1" applyAlignment="1">
      <alignment horizontal="center" vertical="center" wrapText="1" shrinkToFit="1"/>
    </xf>
    <xf numFmtId="0" fontId="118" fillId="0" borderId="25" xfId="0" applyFont="1" applyBorder="1" applyAlignment="1">
      <alignment horizontal="center" vertical="center" wrapText="1" shrinkToFit="1"/>
    </xf>
    <xf numFmtId="0" fontId="118" fillId="0" borderId="27" xfId="0" applyFont="1" applyBorder="1" applyAlignment="1">
      <alignment horizontal="center" vertical="center" wrapText="1" shrinkToFit="1"/>
    </xf>
    <xf numFmtId="10" fontId="122" fillId="0" borderId="64" xfId="2662" applyNumberFormat="1" applyFont="1" applyFill="1" applyBorder="1" applyAlignment="1">
      <alignment horizontal="center" vertical="center" wrapText="1" shrinkToFit="1"/>
    </xf>
    <xf numFmtId="10" fontId="122" fillId="0" borderId="41" xfId="2662" applyNumberFormat="1" applyFont="1" applyFill="1" applyBorder="1" applyAlignment="1">
      <alignment horizontal="center" vertical="center" wrapText="1" shrinkToFit="1"/>
    </xf>
    <xf numFmtId="0" fontId="96" fillId="0" borderId="74" xfId="0" applyFont="1" applyBorder="1" applyAlignment="1">
      <alignment horizontal="center" vertical="center" wrapText="1" shrinkToFit="1"/>
    </xf>
    <xf numFmtId="0" fontId="122" fillId="0" borderId="56" xfId="0" applyFont="1" applyBorder="1" applyAlignment="1">
      <alignment horizontal="center" vertical="center" wrapText="1" shrinkToFit="1"/>
    </xf>
    <xf numFmtId="0" fontId="122" fillId="0" borderId="58" xfId="0" applyFont="1" applyBorder="1" applyAlignment="1">
      <alignment horizontal="center" vertical="center" wrapText="1" shrinkToFit="1"/>
    </xf>
    <xf numFmtId="0" fontId="122" fillId="0" borderId="41" xfId="0" applyFont="1" applyBorder="1" applyAlignment="1">
      <alignment horizontal="center" vertical="center" wrapText="1" shrinkToFit="1"/>
    </xf>
    <xf numFmtId="0" fontId="122" fillId="0" borderId="33" xfId="0" applyFont="1" applyBorder="1" applyAlignment="1">
      <alignment horizontal="center" vertical="center" wrapText="1" shrinkToFit="1"/>
    </xf>
    <xf numFmtId="10" fontId="122" fillId="0" borderId="33" xfId="0" applyNumberFormat="1" applyFont="1" applyBorder="1" applyAlignment="1">
      <alignment horizontal="center" vertical="center" wrapText="1" shrinkToFit="1"/>
    </xf>
    <xf numFmtId="0" fontId="96" fillId="0" borderId="36" xfId="0" applyFont="1" applyBorder="1" applyAlignment="1">
      <alignment horizontal="center" vertical="center"/>
    </xf>
    <xf numFmtId="0" fontId="96" fillId="0" borderId="54" xfId="0" applyFont="1" applyBorder="1" applyAlignment="1">
      <alignment horizontal="center" vertical="center"/>
    </xf>
    <xf numFmtId="0" fontId="122" fillId="0" borderId="22" xfId="0" applyFont="1" applyBorder="1" applyAlignment="1">
      <alignment horizontal="center" vertical="center" wrapText="1" shrinkToFit="1"/>
    </xf>
    <xf numFmtId="0" fontId="122" fillId="0" borderId="25" xfId="0" applyFont="1" applyBorder="1" applyAlignment="1">
      <alignment horizontal="center" vertical="center" wrapText="1" shrinkToFit="1"/>
    </xf>
    <xf numFmtId="0" fontId="122" fillId="0" borderId="62" xfId="0" applyFont="1" applyBorder="1" applyAlignment="1">
      <alignment horizontal="center" vertical="center" wrapText="1" shrinkToFit="1"/>
    </xf>
    <xf numFmtId="0" fontId="122" fillId="0" borderId="94" xfId="0" applyFont="1" applyBorder="1" applyAlignment="1">
      <alignment horizontal="center" vertical="center" wrapText="1" shrinkToFit="1"/>
    </xf>
    <xf numFmtId="0" fontId="122" fillId="0" borderId="47" xfId="0" applyFont="1" applyBorder="1" applyAlignment="1">
      <alignment horizontal="center" vertical="center" wrapText="1" shrinkToFit="1"/>
    </xf>
    <xf numFmtId="0" fontId="122" fillId="0" borderId="65" xfId="0" applyFont="1" applyBorder="1" applyAlignment="1">
      <alignment horizontal="center" vertical="center" wrapText="1" shrinkToFit="1"/>
    </xf>
    <xf numFmtId="185" fontId="122" fillId="0" borderId="41" xfId="0" applyNumberFormat="1" applyFont="1" applyBorder="1" applyAlignment="1">
      <alignment horizontal="center" vertical="center" wrapText="1" shrinkToFit="1"/>
    </xf>
    <xf numFmtId="185" fontId="122" fillId="0" borderId="33" xfId="0" applyNumberFormat="1" applyFont="1" applyBorder="1" applyAlignment="1">
      <alignment horizontal="center" vertical="center" wrapText="1" shrinkToFit="1"/>
    </xf>
    <xf numFmtId="0" fontId="118" fillId="0" borderId="45" xfId="0" applyFont="1" applyBorder="1" applyAlignment="1">
      <alignment horizontal="center" vertical="center" wrapText="1" shrinkToFit="1"/>
    </xf>
    <xf numFmtId="0" fontId="118" fillId="0" borderId="47" xfId="0" applyFont="1" applyBorder="1" applyAlignment="1">
      <alignment horizontal="center" vertical="center" wrapText="1" shrinkToFit="1"/>
    </xf>
    <xf numFmtId="0" fontId="118" fillId="0" borderId="50" xfId="0" applyFont="1" applyBorder="1" applyAlignment="1">
      <alignment horizontal="center" vertical="center" wrapText="1" shrinkToFit="1"/>
    </xf>
    <xf numFmtId="0" fontId="95" fillId="0" borderId="15" xfId="0" applyFont="1" applyBorder="1" applyAlignment="1">
      <alignment horizontal="center" vertical="center" wrapText="1"/>
    </xf>
    <xf numFmtId="0" fontId="95" fillId="0" borderId="63" xfId="0" applyFont="1" applyBorder="1" applyAlignment="1">
      <alignment horizontal="center" vertical="center" wrapText="1"/>
    </xf>
    <xf numFmtId="0" fontId="95" fillId="0" borderId="81" xfId="0" applyFont="1" applyBorder="1" applyAlignment="1">
      <alignment horizontal="left" vertical="center" wrapText="1"/>
    </xf>
    <xf numFmtId="0" fontId="95" fillId="0" borderId="80" xfId="0" applyFont="1" applyBorder="1" applyAlignment="1">
      <alignment horizontal="left" vertical="center" wrapText="1"/>
    </xf>
    <xf numFmtId="0" fontId="95" fillId="0" borderId="89" xfId="0" applyFont="1" applyBorder="1" applyAlignment="1">
      <alignment horizontal="left" vertical="center" wrapText="1"/>
    </xf>
    <xf numFmtId="0" fontId="96" fillId="0" borderId="34" xfId="0" applyFont="1" applyBorder="1" applyAlignment="1">
      <alignment horizontal="left" vertical="center"/>
    </xf>
    <xf numFmtId="0" fontId="96" fillId="0" borderId="69" xfId="0" applyFont="1" applyBorder="1" applyAlignment="1">
      <alignment horizontal="left" vertical="center"/>
    </xf>
    <xf numFmtId="0" fontId="96" fillId="0" borderId="44" xfId="0" applyFont="1" applyBorder="1" applyAlignment="1">
      <alignment horizontal="center" vertical="center"/>
    </xf>
    <xf numFmtId="0" fontId="96" fillId="0" borderId="75" xfId="0" applyFont="1" applyBorder="1" applyAlignment="1">
      <alignment horizontal="center" vertical="center"/>
    </xf>
    <xf numFmtId="0" fontId="96" fillId="0" borderId="39" xfId="0" applyFont="1" applyBorder="1" applyAlignment="1">
      <alignment horizontal="left" vertical="center"/>
    </xf>
    <xf numFmtId="0" fontId="96" fillId="0" borderId="75" xfId="0" applyFont="1" applyBorder="1" applyAlignment="1">
      <alignment horizontal="left" vertical="center"/>
    </xf>
    <xf numFmtId="10" fontId="96" fillId="50" borderId="30" xfId="0" quotePrefix="1" applyNumberFormat="1" applyFont="1" applyFill="1" applyBorder="1" applyAlignment="1">
      <alignment horizontal="center" vertical="center"/>
    </xf>
    <xf numFmtId="0" fontId="117" fillId="50" borderId="76" xfId="0" applyFont="1" applyFill="1" applyBorder="1" applyAlignment="1">
      <alignment horizontal="center"/>
    </xf>
    <xf numFmtId="0" fontId="96" fillId="0" borderId="39" xfId="0" applyFont="1" applyBorder="1" applyAlignment="1">
      <alignment horizontal="center" vertical="center"/>
    </xf>
    <xf numFmtId="0" fontId="96" fillId="0" borderId="34" xfId="0" applyFont="1" applyBorder="1" applyAlignment="1">
      <alignment horizontal="center" vertical="center"/>
    </xf>
    <xf numFmtId="10" fontId="96" fillId="0" borderId="93" xfId="2466" applyNumberFormat="1" applyFont="1" applyFill="1" applyBorder="1" applyAlignment="1">
      <alignment horizontal="center" vertical="center" wrapText="1" shrinkToFit="1"/>
    </xf>
    <xf numFmtId="10" fontId="96" fillId="0" borderId="87" xfId="2466" applyNumberFormat="1" applyFont="1" applyFill="1" applyBorder="1" applyAlignment="1">
      <alignment horizontal="center" vertical="center" wrapText="1" shrinkToFit="1"/>
    </xf>
    <xf numFmtId="10" fontId="96" fillId="0" borderId="95" xfId="2466" applyNumberFormat="1" applyFont="1" applyFill="1" applyBorder="1" applyAlignment="1">
      <alignment horizontal="center" vertical="center" wrapText="1" shrinkToFit="1"/>
    </xf>
    <xf numFmtId="10" fontId="96" fillId="0" borderId="94" xfId="2466" applyNumberFormat="1" applyFont="1" applyFill="1" applyBorder="1" applyAlignment="1">
      <alignment horizontal="center" vertical="center" wrapText="1" shrinkToFit="1"/>
    </xf>
    <xf numFmtId="10" fontId="96" fillId="0" borderId="47" xfId="2466" applyNumberFormat="1" applyFont="1" applyFill="1" applyBorder="1" applyAlignment="1">
      <alignment horizontal="center" vertical="center" wrapText="1" shrinkToFit="1"/>
    </xf>
    <xf numFmtId="10" fontId="96" fillId="0" borderId="50" xfId="2466" applyNumberFormat="1" applyFont="1" applyFill="1" applyBorder="1" applyAlignment="1">
      <alignment horizontal="center" vertical="center" wrapText="1" shrinkToFit="1"/>
    </xf>
    <xf numFmtId="0" fontId="96" fillId="0" borderId="60" xfId="0" applyFont="1" applyBorder="1" applyAlignment="1">
      <alignment horizontal="center" vertical="center" wrapText="1" shrinkToFit="1"/>
    </xf>
    <xf numFmtId="0" fontId="96" fillId="0" borderId="71" xfId="0" applyFont="1" applyBorder="1" applyAlignment="1">
      <alignment horizontal="center" vertical="center" wrapText="1" shrinkToFit="1"/>
    </xf>
    <xf numFmtId="0" fontId="96" fillId="0" borderId="46" xfId="0" applyFont="1" applyBorder="1" applyAlignment="1">
      <alignment horizontal="center" vertical="center" wrapText="1" shrinkToFit="1"/>
    </xf>
    <xf numFmtId="0" fontId="96" fillId="0" borderId="48" xfId="0" applyFont="1" applyBorder="1" applyAlignment="1">
      <alignment horizontal="center" vertical="center" wrapText="1" shrinkToFit="1"/>
    </xf>
    <xf numFmtId="0" fontId="95" fillId="0" borderId="5" xfId="0" applyFont="1" applyBorder="1" applyAlignment="1">
      <alignment horizontal="center" vertical="center" wrapText="1" shrinkToFit="1"/>
    </xf>
    <xf numFmtId="0" fontId="118" fillId="0" borderId="5" xfId="0" applyFont="1" applyBorder="1" applyAlignment="1">
      <alignment horizontal="center" vertical="center" wrapText="1" shrinkToFit="1"/>
    </xf>
    <xf numFmtId="0" fontId="96" fillId="0" borderId="45" xfId="0" applyFont="1" applyBorder="1" applyAlignment="1">
      <alignment horizontal="center" vertical="center"/>
    </xf>
    <xf numFmtId="187" fontId="96" fillId="0" borderId="39" xfId="0" quotePrefix="1" applyNumberFormat="1" applyFont="1" applyBorder="1" applyAlignment="1">
      <alignment horizontal="center" vertical="center"/>
    </xf>
    <xf numFmtId="187" fontId="96" fillId="0" borderId="44" xfId="0" applyNumberFormat="1" applyFont="1" applyBorder="1" applyAlignment="1">
      <alignment horizontal="center" vertical="center"/>
    </xf>
    <xf numFmtId="187" fontId="96" fillId="0" borderId="45" xfId="0" applyNumberFormat="1" applyFont="1" applyBorder="1" applyAlignment="1">
      <alignment horizontal="center" vertical="center"/>
    </xf>
    <xf numFmtId="187" fontId="96" fillId="0" borderId="34" xfId="0" applyNumberFormat="1" applyFont="1" applyBorder="1" applyAlignment="1">
      <alignment horizontal="center" vertical="center"/>
    </xf>
    <xf numFmtId="187" fontId="96" fillId="0" borderId="36" xfId="0" applyNumberFormat="1" applyFont="1" applyBorder="1" applyAlignment="1">
      <alignment horizontal="center" vertical="center"/>
    </xf>
    <xf numFmtId="187" fontId="96" fillId="0" borderId="54" xfId="0" applyNumberFormat="1" applyFont="1" applyBorder="1" applyAlignment="1">
      <alignment horizontal="center" vertical="center"/>
    </xf>
    <xf numFmtId="0" fontId="96" fillId="0" borderId="78" xfId="0" applyFont="1" applyBorder="1" applyAlignment="1">
      <alignment horizontal="center" vertical="center" wrapText="1" shrinkToFit="1"/>
    </xf>
    <xf numFmtId="10" fontId="96" fillId="0" borderId="56" xfId="2449" applyNumberFormat="1" applyFont="1" applyFill="1" applyBorder="1" applyAlignment="1">
      <alignment horizontal="center" vertical="center" wrapText="1" shrinkToFit="1"/>
    </xf>
    <xf numFmtId="10" fontId="96" fillId="0" borderId="42" xfId="2449" applyNumberFormat="1" applyFont="1" applyFill="1" applyBorder="1" applyAlignment="1">
      <alignment horizontal="center" vertical="center" wrapText="1" shrinkToFit="1"/>
    </xf>
    <xf numFmtId="0" fontId="95" fillId="0" borderId="87" xfId="0" applyFont="1" applyBorder="1" applyAlignment="1">
      <alignment horizontal="left" vertical="center" wrapText="1" shrinkToFit="1"/>
    </xf>
    <xf numFmtId="0" fontId="95" fillId="0" borderId="0" xfId="0" applyFont="1" applyAlignment="1">
      <alignment horizontal="left" vertical="center" shrinkToFit="1"/>
    </xf>
    <xf numFmtId="0" fontId="95" fillId="0" borderId="26" xfId="0" applyFont="1" applyBorder="1" applyAlignment="1">
      <alignment horizontal="left" vertical="center" shrinkToFit="1"/>
    </xf>
    <xf numFmtId="0" fontId="95" fillId="0" borderId="87" xfId="0" applyFont="1" applyBorder="1" applyAlignment="1">
      <alignment horizontal="left" vertical="center" shrinkToFit="1"/>
    </xf>
    <xf numFmtId="0" fontId="95" fillId="0" borderId="29" xfId="0" applyFont="1" applyBorder="1" applyAlignment="1">
      <alignment horizontal="left" vertical="center" shrinkToFit="1"/>
    </xf>
    <xf numFmtId="0" fontId="95" fillId="0" borderId="49" xfId="0" applyFont="1" applyBorder="1" applyAlignment="1">
      <alignment horizontal="center" vertical="center" wrapText="1" shrinkToFit="1"/>
    </xf>
  </cellXfs>
  <cellStyles count="3185">
    <cellStyle name="_x0002_._x0011__x0002_._x001b__x0002_ _x0015_%_x0018__x0001_" xfId="1"/>
    <cellStyle name="???? [0.00]_inv_sun_11_ro" xfId="2"/>
    <cellStyle name="????_INV_SCC_10_RO" xfId="3"/>
    <cellStyle name="??_06 4S-????????????" xfId="4"/>
    <cellStyle name="@ET_Style?CF_Style_0" xfId="5"/>
    <cellStyle name="_1EMS key 1-20 AP Oct08" xfId="6"/>
    <cellStyle name="_1EMS key 1-20 AP Oct08 2" xfId="7"/>
    <cellStyle name="_1EMS key 1-20 AP Oct08 3" xfId="8"/>
    <cellStyle name="_2007 Budget Worksheets Additional Budgets PMD 3rd Draft (2)" xfId="9"/>
    <cellStyle name="_2007 Budget Worksheets Additional Budgets PMD 3rd Draft (2) 2" xfId="10"/>
    <cellStyle name="_2007 Budget Worksheets Additional Budgets PMD 3rd Draft (2) 3" xfId="11"/>
    <cellStyle name="_2007 Budget Worksheets Production P  L" xfId="12"/>
    <cellStyle name="_2007 Budget Worksheets Production P  L 2" xfId="13"/>
    <cellStyle name="_2007 Budget Worksheets Production P  L 3" xfId="14"/>
    <cellStyle name="_2007 Sales Budget Total Co 3rd Draft" xfId="15"/>
    <cellStyle name="_2007 Sales Budget Total Co 3rd Draft 2" xfId="16"/>
    <cellStyle name="_2007 Sales Budget Total Co 3rd Draft 3" xfId="17"/>
    <cellStyle name="_2007 Sales Budget Total Co 4th Draft" xfId="18"/>
    <cellStyle name="_2007 Sales Budget Total Co 4th Draft 2" xfId="19"/>
    <cellStyle name="_2007 Sales Budget Total Co 4th Draft 3" xfId="20"/>
    <cellStyle name="_2008 09_Shipment performance monitoring Sept 2008" xfId="21"/>
    <cellStyle name="_2008 09_Shipment performance monitoring Sept 2008 (2)" xfId="22"/>
    <cellStyle name="_2008.08_Shipment performance monitoring Aug 2008" xfId="23"/>
    <cellStyle name="_2008.08_Shipment performance monitoring Aug 2008 2" xfId="24"/>
    <cellStyle name="_2008.08_Shipment performance monitoring Aug 2008 3" xfId="25"/>
    <cellStyle name="_2008.09_Sept Shipment Performance" xfId="26"/>
    <cellStyle name="_2008.09_Sept Shipment Performance 2" xfId="27"/>
    <cellStyle name="_2008.09_Sept Shipment Performance 3" xfId="28"/>
    <cellStyle name="_2008.09_Shipment performance monitoring Sept 2008" xfId="29"/>
    <cellStyle name="_2008.10_Oct Shipment Performance" xfId="30"/>
    <cellStyle name="_2008.10_Oct Shipment Performance 2" xfId="31"/>
    <cellStyle name="_2008.10_Oct Shipment Performance 3" xfId="32"/>
    <cellStyle name="_2008.10_Shipment performance monitoring Oct 2008" xfId="33"/>
    <cellStyle name="_2008.11_Key16 Report_Nov 2008" xfId="34"/>
    <cellStyle name="_2008.11_Key16 Report_Nov 2008 2" xfId="35"/>
    <cellStyle name="_2008.11_Key16 Report_Nov 2008 3" xfId="36"/>
    <cellStyle name="_2008.11_Shipment performance monitoring Nov 2008" xfId="37"/>
    <cellStyle name="_2008.12_Shipment performance monitoring Dec 2008" xfId="38"/>
    <cellStyle name="_2009.01_Shipment performance monitoring Jan 2009" xfId="39"/>
    <cellStyle name="_2009.02_Feb Shipment Performance" xfId="40"/>
    <cellStyle name="_2009.02_Feb Shipment Performance 2" xfId="41"/>
    <cellStyle name="_2009.02_Feb Shipment Performance 3" xfId="42"/>
    <cellStyle name="_2009.02_Shipment performance monitoring Feb 2009" xfId="43"/>
    <cellStyle name="_2009.03_Shipment performance monitoring Mar 2009" xfId="44"/>
    <cellStyle name="_2009.04.03_PPORF Company Level Review" xfId="45"/>
    <cellStyle name="_2009.04.03_PPORF Company Level Review 2" xfId="46"/>
    <cellStyle name="_2009.04.03_PPORF Company Level Review 3" xfId="47"/>
    <cellStyle name="_2009.04_Shipment performance monitoring Apr 2009" xfId="48"/>
    <cellStyle name="_2009.08_Shipment performance monitoring Aug 2009" xfId="49"/>
    <cellStyle name="_2009.10_Shipment performance monitoring Oct 2009" xfId="50"/>
    <cellStyle name="_2009.11_Shipment performance monitoring Nov 2009" xfId="51"/>
    <cellStyle name="_April 20 Assessment rev 00" xfId="52"/>
    <cellStyle name="_April 20 Assessment rev 00_Copy of YFLEX  Summary key 15" xfId="53"/>
    <cellStyle name="_April 20 Assessment rev 00_YFLEX  Summary key 11-20" xfId="54"/>
    <cellStyle name="_APRIL 2008" xfId="55"/>
    <cellStyle name="_august 2008" xfId="56"/>
    <cellStyle name="_Basic Direction-Policy 2009(1)" xfId="57"/>
    <cellStyle name="_Basic Direction-Policy 2009(1) (2)" xfId="58"/>
    <cellStyle name="_Basic Direction-Policy 2010(Group)" xfId="59"/>
    <cellStyle name="_Book11" xfId="60"/>
    <cellStyle name="_Book11 2" xfId="61"/>
    <cellStyle name="_Book11 3" xfId="62"/>
    <cellStyle name="_BU1-Shipment Performance for December 2009-1" xfId="63"/>
    <cellStyle name="_BU1-Shipment Performance for February 2010-1" xfId="64"/>
    <cellStyle name="_BU1-Shipment Performance for January 2010-1" xfId="65"/>
    <cellStyle name="_BU1-Shipment Performance for March 2010-1" xfId="66"/>
    <cellStyle name="_BU1-Shipment Performance for October 2009-2" xfId="67"/>
    <cellStyle name="_BU1-Shipment Performance for October 2009-2_EMSD Key12 Action Plan (April 2010)" xfId="68"/>
    <cellStyle name="_BU1-Shipment Performance for October 2009-2_TS-Manufacturing Key12 Action Plan (April 2010)" xfId="69"/>
    <cellStyle name="_claim for july" xfId="70"/>
    <cellStyle name="_Claim Monitoring Data (April 09 - March 10)" xfId="71"/>
    <cellStyle name="_Claim Monitoring Data (April 10 - March 11) (2)" xfId="72"/>
    <cellStyle name="_Condition for Bronze Award (Key 11 EP)_Oct 16, 2009" xfId="73"/>
    <cellStyle name="_Condition for Bronze Award (Key 11 EP)_target rev_Oct 19, 2009" xfId="74"/>
    <cellStyle name="_Copy of BU1-Shipment Performance for November 2009" xfId="75"/>
    <cellStyle name="_Copy of TS-MD Shipment Performance for Nov  2009 (2)" xfId="76"/>
    <cellStyle name="_Delivery Frequency per division_April 2008" xfId="77"/>
    <cellStyle name="_Delivery Frequency per division_APRIL2009 (2)" xfId="78"/>
    <cellStyle name="_Delivery Frequency per division_AUGUST 2008" xfId="79"/>
    <cellStyle name="_Delivery Frequency per division_AUGUST2009" xfId="80"/>
    <cellStyle name="_Delivery Frequency per division_DECEMBER 2008" xfId="81"/>
    <cellStyle name="_Delivery Frequency per division_FEBRUARY2009" xfId="82"/>
    <cellStyle name="_Delivery Frequency per division_JANUARY2009" xfId="83"/>
    <cellStyle name="_Delivery Frequency per division_JULY 2008" xfId="84"/>
    <cellStyle name="_Delivery Frequency per division_JULY2009" xfId="85"/>
    <cellStyle name="_Delivery Frequency per division_JUNE2009" xfId="86"/>
    <cellStyle name="_Delivery Frequency per division_MARCH2009" xfId="87"/>
    <cellStyle name="_Delivery Frequency per division_MAY 2008" xfId="88"/>
    <cellStyle name="_Delivery Frequency per division_MAY2009" xfId="89"/>
    <cellStyle name="_Delivery Frequency per division_MAY2009 (3)" xfId="90"/>
    <cellStyle name="_Delivery Frequency per division_NOVEMBER 2008" xfId="91"/>
    <cellStyle name="_Delivery Frequency per division_November2009" xfId="92"/>
    <cellStyle name="_Delivery Frequency per division_OCTOBER 2008" xfId="93"/>
    <cellStyle name="_Delivery Frequency per division_OCTOBER2009" xfId="94"/>
    <cellStyle name="_Delivery Frequency per division_SEPTEMBER 2008" xfId="95"/>
    <cellStyle name="_Delivery Frequency per division_SEPTEMBER2009" xfId="96"/>
    <cellStyle name="_Delivery Frequency per division-June 2008" xfId="97"/>
    <cellStyle name="_EMS  Manpower Roster May 2008" xfId="98"/>
    <cellStyle name="_EMS 3 Item Kit FY09 wid Specific Target" xfId="99"/>
    <cellStyle name="_EMS 3 Item Kit FY09 wid Specific Target 2" xfId="100"/>
    <cellStyle name="_EMS 3 Item Kit FY09 wid Specific Target 3" xfId="101"/>
    <cellStyle name="_EMS 3 Item Kit FY2010" xfId="102"/>
    <cellStyle name="_EMS 3 Item Kit FY2010 2" xfId="103"/>
    <cellStyle name="_EMS 3 Item Kit FY2010 3" xfId="104"/>
    <cellStyle name="_EMS Group Basic Direction-Policy FY2010" xfId="105"/>
    <cellStyle name="_EMS Key 1 to 20 AP Jan10" xfId="106"/>
    <cellStyle name="_EMS Key 1 to 20 AP Jan10 2" xfId="107"/>
    <cellStyle name="_EMS Key 1 to 20 AP Jan10 3" xfId="108"/>
    <cellStyle name="_EMS Key 12 AP March 08" xfId="109"/>
    <cellStyle name="_EMS Key 12 AP March 08_Copy of YFLEX  Summary key 15" xfId="110"/>
    <cellStyle name="_EMS Key 12 AP March 08_YFLEX  Summary key 11-20" xfId="111"/>
    <cellStyle name="_EMS key 16" xfId="112"/>
    <cellStyle name="_EMS key 16 2" xfId="113"/>
    <cellStyle name="_EMS key 16 3" xfId="114"/>
    <cellStyle name="_EMS Key 16 AP - Aug09" xfId="115"/>
    <cellStyle name="_EMS Key 16 AP - December08" xfId="116"/>
    <cellStyle name="_EMS Key 16 AP - Feb10 oks" xfId="117"/>
    <cellStyle name="_EMS Key 16 AP - Jul09 oks" xfId="118"/>
    <cellStyle name="_EMS Key 16 AP - Mar09" xfId="119"/>
    <cellStyle name="_EMS Key 16 AP - Nov08 oks" xfId="120"/>
    <cellStyle name="_EMS Key 16 AP -Ap09 oks" xfId="121"/>
    <cellStyle name="_EMS Key 16 AP Apr10 ok" xfId="122"/>
    <cellStyle name="_EMS Key 16 AP -Feb09" xfId="123"/>
    <cellStyle name="_EMS Key 16 AP -Jan09 oks" xfId="124"/>
    <cellStyle name="_EMS Key 16 AP Jan10 oks" xfId="125"/>
    <cellStyle name="_EMS Key 16 AP Jrrran10" xfId="126"/>
    <cellStyle name="_EMS Key 16 AP Jrrran10 2" xfId="127"/>
    <cellStyle name="_EMS Key 16 AP Jrrran10 3" xfId="128"/>
    <cellStyle name="_EMS Key 16 AP -Oct08" xfId="129"/>
    <cellStyle name="_EMS Key 16 AP -Oct08 oks" xfId="130"/>
    <cellStyle name="_EMS Key 16 AP Oct09 oks" xfId="131"/>
    <cellStyle name="_EMS Key 16 AP -Sep09 " xfId="132"/>
    <cellStyle name="_EMS Key 16 AP -September08" xfId="133"/>
    <cellStyle name="_EMS Key 16 AP -September08 2" xfId="134"/>
    <cellStyle name="_EMS Key 16 AP -September08 3" xfId="135"/>
    <cellStyle name="_EMS-TOTAL (PWA-APP) COST ANALYSIS (FY2008)" xfId="136"/>
    <cellStyle name="_EMS-TOTAL (PWA-APP) COST ANALYSIS (FY2008) 2" xfId="137"/>
    <cellStyle name="_EMS-TOTAL (PWA-APP) COST ANALYSIS (FY2008) 3" xfId="138"/>
    <cellStyle name="_ET_STYLE_NoName_00_" xfId="139"/>
    <cellStyle name="_ET_STYLE_NoName_00_ 2" xfId="140"/>
    <cellStyle name="_ET_STYLE_NoName_00_ 3" xfId="141"/>
    <cellStyle name="_ET_STYLE_NoName_00__CCFR_PPS-LOGS-1505-002" xfId="142"/>
    <cellStyle name="_ET_STYLE_NoName_00__CCFR_TSQC-DCC-1505-003" xfId="143"/>
    <cellStyle name="_ET_STYLE_NoName_00__CCFR_YFQC-DCC-1504-001" xfId="144"/>
    <cellStyle name="_ET_STYLE_NoName_00__YFQC_DCC_1504_001 Wrong revision # posted in Nautilus" xfId="145"/>
    <cellStyle name="_HCTI_Production Schedule 07-05-23 rev00" xfId="146"/>
    <cellStyle name="_HCTI_Production Schedule 07-05-23 rev00_2008 09_Key16 Report_Sept 2008" xfId="147"/>
    <cellStyle name="_HCTI_Production Schedule 07-05-23 rev00_2008 09_Key16 Report_Sept 2008_Book2 (6)" xfId="148"/>
    <cellStyle name="_HCTI_Production Schedule 07-05-23 rev00_2008 09_Key16 Report_Sept 2008_Key 11~ 20 AP Report-Ap'10" xfId="149"/>
    <cellStyle name="_HCTI_Production Schedule 07-05-23 rev00_2008 09_Key16 Report_Sept 2008_YFLEX Innovation-FY 10" xfId="150"/>
    <cellStyle name="_HCTI_Production Schedule 07-05-23 rev00_2008.09_Shipment performance monitoring Sept 2008" xfId="151"/>
    <cellStyle name="_HCTI_Production Schedule 07-05-23 rev00_2008.09_Shipment performance monitoring Sept 2008_Book2 (6)" xfId="152"/>
    <cellStyle name="_HCTI_Production Schedule 07-05-23 rev00_2008.09_Shipment performance monitoring Sept 2008_Key 11~ 20 AP Report-Ap'10" xfId="153"/>
    <cellStyle name="_HCTI_Production Schedule 07-05-23 rev00_2008.09_Shipment performance monitoring Sept 2008_YFLEX Innovation-FY 10" xfId="154"/>
    <cellStyle name="_HCTI_Production Schedule 07-05-23 rev00_2008.10_Key16 Report_Oct 2008" xfId="155"/>
    <cellStyle name="_HCTI_Production Schedule 07-05-23 rev00_2008.10_Key16 Report_Oct 2008_Book2 (6)" xfId="156"/>
    <cellStyle name="_HCTI_Production Schedule 07-05-23 rev00_2008.10_Key16 Report_Oct 2008_Key 11~ 20 AP Report-Ap'10" xfId="157"/>
    <cellStyle name="_HCTI_Production Schedule 07-05-23 rev00_2008.10_Key16 Report_Oct 2008_YFLEX Innovation-FY 10" xfId="158"/>
    <cellStyle name="_HCTI_Production Schedule 07-05-23 rev00_2008.10_Shipment performance monitoring Oct 2008" xfId="159"/>
    <cellStyle name="_HCTI_Production Schedule 07-05-23 rev00_2008.10_Shipment performance monitoring Oct 2008_Book2 (6)" xfId="160"/>
    <cellStyle name="_HCTI_Production Schedule 07-05-23 rev00_2008.10_Shipment performance monitoring Oct 2008_Key 11~ 20 AP Report-Ap'10" xfId="161"/>
    <cellStyle name="_HCTI_Production Schedule 07-05-23 rev00_2008.10_Shipment performance monitoring Oct 2008_YFLEX Innovation-FY 10" xfId="162"/>
    <cellStyle name="_HCTI_Production Schedule 07-05-23 rev00_2008.11_Shipment performance monitoring Nov 2008" xfId="163"/>
    <cellStyle name="_HCTI_Production Schedule 07-05-23 rev00_2008.11_Shipment performance monitoring Nov 2008_Book2 (6)" xfId="164"/>
    <cellStyle name="_HCTI_Production Schedule 07-05-23 rev00_2008.11_Shipment performance monitoring Nov 2008_Key 11~ 20 AP Report-Ap'10" xfId="165"/>
    <cellStyle name="_HCTI_Production Schedule 07-05-23 rev00_2008.11_Shipment performance monitoring Nov 2008_YFLEX Innovation-FY 10" xfId="166"/>
    <cellStyle name="_HCTI_Production Schedule 07-05-23 rev00_2008.12_Shipment performance monitoring Dec 2008" xfId="167"/>
    <cellStyle name="_HCTI_Production Schedule 07-05-23 rev00_2008.12_Shipment performance monitoring Dec 2008_Book2 (6)" xfId="168"/>
    <cellStyle name="_HCTI_Production Schedule 07-05-23 rev00_2008.12_Shipment performance monitoring Dec 2008_Key 11~ 20 AP Report-Ap'10" xfId="169"/>
    <cellStyle name="_HCTI_Production Schedule 07-05-23 rev00_2008.12_Shipment performance monitoring Dec 2008_YFLEX Innovation-FY 10" xfId="170"/>
    <cellStyle name="_HCTI_Production Schedule 07-05-23 rev00_2009.01_Shipment performance monitoring Jan 2009" xfId="171"/>
    <cellStyle name="_HCTI_Production Schedule 07-05-23 rev00_2009.01_Shipment performance monitoring Jan 2009_Book2 (6)" xfId="172"/>
    <cellStyle name="_HCTI_Production Schedule 07-05-23 rev00_2009.01_Shipment performance monitoring Jan 2009_Key 11~ 20 AP Report-Ap'10" xfId="173"/>
    <cellStyle name="_HCTI_Production Schedule 07-05-23 rev00_2009.01_Shipment performance monitoring Jan 2009_YFLEX Innovation-FY 10" xfId="174"/>
    <cellStyle name="_HCTI_Production Schedule 07-05-23 rev00_2009.02_Shipment performance monitoring Feb 2009" xfId="175"/>
    <cellStyle name="_HCTI_Production Schedule 07-05-23 rev00_2009.02_Shipment performance monitoring Feb 2009 2" xfId="176"/>
    <cellStyle name="_HCTI_Production Schedule 07-05-23 rev00_2009.02_Shipment performance monitoring Feb 2009_Book2 (6)" xfId="177"/>
    <cellStyle name="_HCTI_Production Schedule 07-05-23 rev00_2009.02_Shipment performance monitoring Feb 2009_Key 11~ 20 AP Report-Ap'10" xfId="178"/>
    <cellStyle name="_HCTI_Production Schedule 07-05-23 rev00_2009.03_Shipment performance monitoring Mar 2009" xfId="179"/>
    <cellStyle name="_HCTI_Production Schedule 07-05-23 rev00_2009.03_Shipment performance monitoring Mar 2009 2" xfId="180"/>
    <cellStyle name="_HCTI_Production Schedule 07-05-23 rev00_2009.03_Shipment performance monitoring Mar 2009_Book2 (6)" xfId="181"/>
    <cellStyle name="_HCTI_Production Schedule 07-05-23 rev00_2009.03_Shipment performance monitoring Mar 2009_Key 11~ 20 AP Report-Ap'10" xfId="182"/>
    <cellStyle name="_HCTI_Production Schedule 07-05-23 rev00_2009.04_Shipment performance monitoring Apr 2009" xfId="183"/>
    <cellStyle name="_HCTI_Production Schedule 07-05-23 rev00_2009.04_Shipment performance monitoring Apr 2009 2" xfId="184"/>
    <cellStyle name="_HCTI_Production Schedule 07-05-23 rev00_2009.04_Shipment performance monitoring Apr 2009_Book2 (6)" xfId="185"/>
    <cellStyle name="_HCTI_Production Schedule 07-05-23 rev00_2009.04_Shipment performance monitoring Apr 2009_Key 11~ 20 AP Report-Ap'10" xfId="186"/>
    <cellStyle name="_HCTI_Production Schedule 07-05-23 rev00_2009.08_Shipment performance monitoring Aug 2009" xfId="187"/>
    <cellStyle name="_HCTI_Production Schedule 07-05-23 rev00_2009.08_Shipment performance monitoring Aug 2009 2" xfId="188"/>
    <cellStyle name="_HCTI_Production Schedule 07-05-23 rev00_2009.08_Shipment performance monitoring Aug 2009_Book2 (6)" xfId="189"/>
    <cellStyle name="_HCTI_Production Schedule 07-05-23 rev00_2009.08_Shipment performance monitoring Aug 2009_Key 11~ 20 AP Report-Ap'10" xfId="190"/>
    <cellStyle name="_HCTI_Production Schedule 07-05-23 rev00_2009.10_Shipment performance monitoring Oct 2009" xfId="191"/>
    <cellStyle name="_HCTI_Production Schedule 07-05-23 rev00_2009.10_Shipment performance monitoring Oct 2009 2" xfId="192"/>
    <cellStyle name="_HCTI_Production Schedule 07-05-23 rev00_2009.10_Shipment performance monitoring Oct 2009_Book2 (6)" xfId="193"/>
    <cellStyle name="_HCTI_Production Schedule 07-05-23 rev00_2009.11_Shipment performance monitoring Nov 2009" xfId="194"/>
    <cellStyle name="_HCTI_Production Schedule 07-05-23 rev00_2009.11_Shipment performance monitoring Nov 2009 2" xfId="195"/>
    <cellStyle name="_HCTI_Production Schedule 07-05-23 rev00_2009.11_Shipment performance monitoring Nov 2009_Book2 (6)" xfId="196"/>
    <cellStyle name="_HCTI_Production Schedule 07-05-23 rev00_2009.12_Key16 Report_Dec 2009" xfId="197"/>
    <cellStyle name="_HCTI_Production Schedule 07-05-23 rev00_2009.12_Key16 Report_Dec 2009 2" xfId="198"/>
    <cellStyle name="_HCTI_Production Schedule 07-05-23 rev00_2009.12_Key16 Report_Dec 2009_Book2 (6)" xfId="199"/>
    <cellStyle name="_HCTI_Production Schedule 07-05-23 rev00_2010.04_Key16 Report_Apr 2010" xfId="200"/>
    <cellStyle name="_HCTI_Production Schedule 07-05-23 rev00_2010.04_Key16 Report_Apr 2010 2" xfId="201"/>
    <cellStyle name="_HCTI_Production Schedule 07-05-23 rev00_2EMS key 11-20 AP Aug08" xfId="202"/>
    <cellStyle name="_HCTI_Production Schedule 07-05-23 rev00_2EMS key 11-20 AP Aug08 2" xfId="203"/>
    <cellStyle name="_HCTI_Production Schedule 07-05-23 rev00_2EMS key 11-20 AP Aug08_Key 11~ 20 AP Report-Ap'10" xfId="204"/>
    <cellStyle name="_HCTI_Production Schedule 07-05-23 rev00_Company Wide Key 12 Action plan April 2010 for FY2010 refined" xfId="205"/>
    <cellStyle name="_HCTI_Production Schedule 07-05-23 rev00_EMS 3 Item Kit FY09 for presentation 1" xfId="206"/>
    <cellStyle name="_HCTI_Production Schedule 07-05-23 rev00_EMS 3 Item Kit FY2010" xfId="207"/>
    <cellStyle name="_HCTI_Production Schedule 07-05-23 rev00_EMS 3 Item Kit FY2010 2" xfId="208"/>
    <cellStyle name="_HCTI_Production Schedule 07-05-23 rev00_EMS Key 16 AP -Oct08" xfId="209"/>
    <cellStyle name="_HCTI_Production Schedule 07-05-23 rev00_EMS Key 16 AP -Oct08_Book2 (6)" xfId="210"/>
    <cellStyle name="_HCTI_Production Schedule 07-05-23 rev00_EMS Key 16 AP -Oct08_Key 11~ 20 AP Report-Ap'10" xfId="211"/>
    <cellStyle name="_HCTI_Production Schedule 07-05-23 rev00_EMS Key 16 AP -Oct08_YFLEX Innovation-FY 10" xfId="212"/>
    <cellStyle name="_HCTI_Production Schedule 07-05-23 rev00_EMS Key 20 AP -Apr09 oks" xfId="213"/>
    <cellStyle name="_HCTI_Production Schedule 07-05-23 rev00_EMS Key 20 AP Apr10 oks" xfId="214"/>
    <cellStyle name="_HCTI_Production Schedule 07-05-23 rev00_EMS Key 20 AP -Aug09 oks" xfId="215"/>
    <cellStyle name="_HCTI_Production Schedule 07-05-23 rev00_EMS Key 20 AP Feb10 oks" xfId="216"/>
    <cellStyle name="_HCTI_Production Schedule 07-05-23 rev00_EMS Key 20 AP Jan10 oks" xfId="217"/>
    <cellStyle name="_HCTI_Production Schedule 07-05-23 rev00_EMS Key 20 AP -Jul09 oks" xfId="218"/>
    <cellStyle name="_HCTI_Production Schedule 07-05-23 rev00_EMS Key 20 AP Nov09" xfId="219"/>
    <cellStyle name="_HCTI_Production Schedule 07-05-23 rev00_EMS Key 20 AP Oct09 oks" xfId="220"/>
    <cellStyle name="_HCTI_Production Schedule 07-05-23 rev00_EMS Key 20 AP -Sep09 oks" xfId="221"/>
    <cellStyle name="_HCTI_Production Schedule 07-05-23 rev00_EMS-TOTAL (PWA-APP) COST ANALYSIS (FY2008)" xfId="222"/>
    <cellStyle name="_HCTI_Production Schedule 07-05-23 rev00_Key 16" xfId="223"/>
    <cellStyle name="_HCTI_Production Schedule 07-05-23 rev00_Key 16 2" xfId="224"/>
    <cellStyle name="_HCTI_Production Schedule 07-05-23 rev00_key 16 action plan per division_2008 Aug 08 performance" xfId="225"/>
    <cellStyle name="_HCTI_Production Schedule 07-05-23 rev00_key 16 action plan per division_2008 Aug 08 performance_Book2 (6)" xfId="226"/>
    <cellStyle name="_HCTI_Production Schedule 07-05-23 rev00_key 16 action plan per division_2008 Aug 08 performance_Key 11~ 20 AP Report-Ap'10" xfId="227"/>
    <cellStyle name="_HCTI_Production Schedule 07-05-23 rev00_key 16 action plan per division_2008 Aug 08 performance_YFLEX Innovation-FY 10" xfId="228"/>
    <cellStyle name="_HCTI_Production Schedule 07-05-23 rev00_key 16 action plan per division_2008 Dec 08 performance" xfId="229"/>
    <cellStyle name="_HCTI_Production Schedule 07-05-23 rev00_key 16 action plan per division_2009 12 December performance" xfId="230"/>
    <cellStyle name="_HCTI_Production Schedule 07-05-23 rev00_key 16 action plan per division_2010 01 January performance" xfId="231"/>
    <cellStyle name="_HCTI_Production Schedule 07-05-23 rev00_key 16 action plan per division_2010 04 06 Mar performance" xfId="232"/>
    <cellStyle name="_HCTI_Production Schedule 07-05-23 rev00_key 16 action plan_2010.05.01 Apr performance NPS" xfId="233"/>
    <cellStyle name="_HCTI_Production Schedule 07-05-23 rev00_Key 18" xfId="234"/>
    <cellStyle name="_HCTI_Production Schedule 07-05-23 rev00_Key 18 2" xfId="235"/>
    <cellStyle name="_HCTI_Production Schedule 07-05-23 rev00_Key 20" xfId="236"/>
    <cellStyle name="_HCTI_Production Schedule 07-05-23 rev00_Key11 -  20 " xfId="237"/>
    <cellStyle name="_HCTI_Production Schedule 07-05-23 rev00_Molding" xfId="238"/>
    <cellStyle name="_JANUARY 2009  SHIPMENT VARIANCE" xfId="239"/>
    <cellStyle name="_JANUARY 2009  SHIPMENT VARIANCE 2" xfId="240"/>
    <cellStyle name="_JANUARY 2009  SHIPMENT VARIANCE 3" xfId="241"/>
    <cellStyle name="_JanuaryTOSHIBA MAIN BEST LINE" xfId="242"/>
    <cellStyle name="_Key 11 AP_Sept 2009_CO-Wide_Oct 13, 2009" xfId="243"/>
    <cellStyle name="_Key 11 AP_Sept 2009_CO-Wide_Oct 13, 2009 2" xfId="244"/>
    <cellStyle name="_Key 11 AP_Sept 2009_CO-Wide_Oct 13, 2009 3" xfId="245"/>
    <cellStyle name="_key 16 action plan per division_2008 Aug 08 performance" xfId="246"/>
    <cellStyle name="_key 16 action plan per division_2008 Aug 08 performance 2" xfId="247"/>
    <cellStyle name="_key 16 action plan per division_2008 Aug 08 performance 3" xfId="248"/>
    <cellStyle name="_key 16 action plan per division_2008 Dec 08 performance" xfId="249"/>
    <cellStyle name="_key 16 action plan per division_2008 Dec 08 performance 2" xfId="250"/>
    <cellStyle name="_key 16 action plan per division_2008 Dec 08 performance 3" xfId="251"/>
    <cellStyle name="_key 16 action plan per division_2010 04 06 Mar performance" xfId="252"/>
    <cellStyle name="_key 16 action plan per division_2010 04 06 Mar performance 2" xfId="253"/>
    <cellStyle name="_key 16 action plan per division_2010 04 06 Mar performance 3" xfId="254"/>
    <cellStyle name="_key 16 action plan_2010.05.01 Apr performance NPS" xfId="255"/>
    <cellStyle name="_key 16 action plan_2010.05.01 Apr performance NPS 2" xfId="256"/>
    <cellStyle name="_key 16 action plan_2010.05.01 Apr performance NPS 3" xfId="257"/>
    <cellStyle name="_Key 16 Report Hit Rate  Action Plan" xfId="258"/>
    <cellStyle name="_Key 16 Report Hit Rate  Action Plan (3)" xfId="259"/>
    <cellStyle name="_Key 16 Report Hit Rate  Action Plan (3) 2" xfId="260"/>
    <cellStyle name="_Key 16 Report Hit Rate  Action Plan (3) 3" xfId="261"/>
    <cellStyle name="_Key 16 Report Hit Rate  Action Plan (6)" xfId="262"/>
    <cellStyle name="_Key 16 Report Hit Rate  Action Plan (6) 2" xfId="263"/>
    <cellStyle name="_Key 16 Report Hit Rate  Action Plan (6) 3" xfId="264"/>
    <cellStyle name="_Key 16 Report Hit Rate  Action Plan (7)" xfId="265"/>
    <cellStyle name="_Key 16 Report Hit Rate  Action Plan (7) 2" xfId="266"/>
    <cellStyle name="_Key 16 Report Hit Rate  Action Plan (7) 3" xfId="267"/>
    <cellStyle name="_Key 16 Report Hit Rate  Action Plan 10" xfId="268"/>
    <cellStyle name="_Key 16 Report Hit Rate  Action Plan 11" xfId="269"/>
    <cellStyle name="_Key 16 Report Hit Rate  Action Plan 12" xfId="270"/>
    <cellStyle name="_Key 16 Report Hit Rate  Action Plan 2" xfId="271"/>
    <cellStyle name="_Key 16 Report Hit Rate  Action Plan 3" xfId="272"/>
    <cellStyle name="_Key 16 Report Hit Rate  Action Plan 4" xfId="273"/>
    <cellStyle name="_Key 16 Report Hit Rate  Action Plan 5" xfId="274"/>
    <cellStyle name="_Key 16 Report Hit Rate  Action Plan 6" xfId="275"/>
    <cellStyle name="_Key 16 Report Hit Rate  Action Plan 7" xfId="276"/>
    <cellStyle name="_Key 16 Report Hit Rate  Action Plan 8" xfId="277"/>
    <cellStyle name="_Key 16 Report Hit Rate  Action Plan 9" xfId="278"/>
    <cellStyle name="_Key 16 Report Hit Rate  Action Plan(2009)jmm" xfId="279"/>
    <cellStyle name="_Key 16 Report Hit Rate  Action Plan(2009)jmm 2" xfId="280"/>
    <cellStyle name="_Key 16 Report Hit Rate  Action Plan(2009)jmm 3" xfId="281"/>
    <cellStyle name="_Landel BOM 11-8-06" xfId="282"/>
    <cellStyle name="_Landel BOM 2006-11-28" xfId="283"/>
    <cellStyle name="_Line Balancing Chart - 2.5T (MQ320KXP-S LINE)" xfId="284"/>
    <cellStyle name="_Line Balancing Chart - 2.5T (MQ320KXP-S LINE) 2" xfId="285"/>
    <cellStyle name="_Line Balancing Chart - 2.5T (MQ320KXP-S LINE) 3" xfId="286"/>
    <cellStyle name="_Line Balancing Chart - 2.5T (MQ320KXP-S LINE) rev01 - July~August" xfId="287"/>
    <cellStyle name="_Line Balancing Chart - 2.5T (MQ320KXP-S LINE) rev01 - July~August 2" xfId="288"/>
    <cellStyle name="_Line Balancing Chart - 2.5T (MQ320KXP-S LINE) rev01 - July~August 3" xfId="289"/>
    <cellStyle name="_Line Balancing Chart - 2.5T (MQ320KXP-S LINE) rev01 - June" xfId="290"/>
    <cellStyle name="_Line Balancing Chart - 2.5T (MQ320KXP-S LINE) rev01 - June 2" xfId="291"/>
    <cellStyle name="_Line Balancing Chart - 2.5T (MQ320KXP-S LINE) rev01 - June 3" xfId="292"/>
    <cellStyle name="_Line Balancing Chart - Remec LINE) rev00 - January (on-going)" xfId="293"/>
    <cellStyle name="_Line Balancing Chart - Remec LINE) rev00 - January (on-going) 2" xfId="294"/>
    <cellStyle name="_Line Balancing Chart - Remec LINE) rev00 - January (on-going) 3" xfId="295"/>
    <cellStyle name="_Line Balancing Chart - Remec LINE) rev00 - July" xfId="296"/>
    <cellStyle name="_Line Balancing Chart - Remec LINE) rev00 - July 2" xfId="297"/>
    <cellStyle name="_Line Balancing Chart - Remec LINE) rev00 - July 3" xfId="298"/>
    <cellStyle name="_Line Balancing Chart - Remec LINE) rev01 - December" xfId="299"/>
    <cellStyle name="_Line Balancing Chart - Remec LINE) rev01 - December 2" xfId="300"/>
    <cellStyle name="_Line Balancing Chart - Remec LINE) rev01 - December 3" xfId="301"/>
    <cellStyle name="_Line Balancing Chart - Remec LINE) rev01 - September (2)" xfId="302"/>
    <cellStyle name="_Line Balancing Chart - Remec LINE) rev01 - September (2) 2" xfId="303"/>
    <cellStyle name="_Line Balancing Chart - Remec LINE) rev01 - September (2) 3" xfId="304"/>
    <cellStyle name="_March  2010" xfId="305"/>
    <cellStyle name="_may 2008" xfId="306"/>
    <cellStyle name="_Molding Shipment Performance April 2008 (2)" xfId="307"/>
    <cellStyle name="_Molding Shipment Performance April 2008 (2)_Company Wide Key 12 Action Plan August 2009" xfId="308"/>
    <cellStyle name="_Molding Shipment Performance April 2008 (2)_Company Wide Key 12 Action Plan August 2009_Company Wide Key 12 Action plan revised tricolor final-2009" xfId="309"/>
    <cellStyle name="_Molding Shipment Performance April 2008 (2)_Company Wide Key 12 Action Plan August 2009_Company Wide Key 12 Action plan revised tricolor final-2009 (2)" xfId="310"/>
    <cellStyle name="_Molding Shipment Performance April 2008 (2)_Company Wide Key 12 Action Plan August 2009_Company Wide Key 12 Action plan revised tricolor final-2009-2010" xfId="311"/>
    <cellStyle name="_Molding Shipment Performance April 2008 (2)_Company Wide Key 12 Action Plan August 2009_EMSD Key12 Action Plan (April 2010)" xfId="312"/>
    <cellStyle name="_Molding Shipment Performance April 2008 (2)_Company Wide Key 12 Action Plan August 2009_TS-Manufacturing Key12 Action Plan (April 2010)" xfId="313"/>
    <cellStyle name="_Molding Shipment Performance April 2008 (2)_Company Wide Key 12 Action plan October 2009" xfId="314"/>
    <cellStyle name="_Molding Shipment Performance April 2008 (2)_Company Wide Key 12 Action plan October 2009 with adjustment and simulation" xfId="315"/>
    <cellStyle name="_Molding Shipment Performance April 2008 (2)_Company Wide Key 12 Action plan October 2009_Company Wide Key 12 Action plan revised tricolor final-2009" xfId="316"/>
    <cellStyle name="_Molding Shipment Performance April 2008 (2)_Company Wide Key 12 Action plan October 2009_Company Wide Key 12 Action plan revised tricolor final-2009 (2)" xfId="317"/>
    <cellStyle name="_Molding Shipment Performance April 2008 (2)_Company Wide Key 12 Action plan October 2009_Company Wide Key 12 Action plan revised tricolor final-2009-2010" xfId="318"/>
    <cellStyle name="_Molding Shipment Performance April 2008 (2)_Company Wide Key 12 Action plan October 2009_EMSD Key12 Action Plan (April 2010)" xfId="319"/>
    <cellStyle name="_Molding Shipment Performance April 2008 (2)_Company Wide Key 12 Action plan October 2009_TS-Manufacturing Key12 Action Plan (April 2010)" xfId="320"/>
    <cellStyle name="_Molding Shipment Performance April 2008 (2)_Company Wide Key 12 Action plan revised tricolor final-2009" xfId="321"/>
    <cellStyle name="_Molding Shipment Performance April 2008 (2)_Company Wide Key 12 Action plan revised tricolor final-2009 (2)" xfId="322"/>
    <cellStyle name="_Molding Shipment Performance April 2008 (2)_Company Wide Key 12 Action plan revised tricolor final-2009-2010" xfId="323"/>
    <cellStyle name="_Molding Shipment Performance April 2008 (2)_EMSD Key12 Action Plan (April 2010)" xfId="324"/>
    <cellStyle name="_Molding Shipment Performance April 2008 (2)_Key 14" xfId="325"/>
    <cellStyle name="_Molding Shipment Performance April 2008 (2)_TS-Manufacturing Key12 Action Plan (April 2010)" xfId="326"/>
    <cellStyle name="_Molding Shipment Performance April 2009" xfId="327"/>
    <cellStyle name="_Molding Shipment Performance April 2009_Company Wide Key 12 Action Plan August 2009" xfId="328"/>
    <cellStyle name="_Molding Shipment Performance April 2009_Company Wide Key 12 Action Plan August 2009_Company Wide Key 12 Action plan revised tricolor final-2009" xfId="329"/>
    <cellStyle name="_Molding Shipment Performance April 2009_Company Wide Key 12 Action Plan August 2009_Company Wide Key 12 Action plan revised tricolor final-2009 (2)" xfId="330"/>
    <cellStyle name="_Molding Shipment Performance April 2009_Company Wide Key 12 Action Plan August 2009_Company Wide Key 12 Action plan revised tricolor final-2009-2010" xfId="331"/>
    <cellStyle name="_Molding Shipment Performance April 2009_Company Wide Key 12 Action Plan August 2009_EMSD Key12 Action Plan (April 2010)" xfId="332"/>
    <cellStyle name="_Molding Shipment Performance April 2009_Company Wide Key 12 Action Plan August 2009_TS-Manufacturing Key12 Action Plan (April 2010)" xfId="333"/>
    <cellStyle name="_Molding Shipment Performance April 2009_Company Wide Key 12 Action plan October 2009" xfId="334"/>
    <cellStyle name="_Molding Shipment Performance April 2009_Company Wide Key 12 Action plan October 2009 with adjustment and simulation" xfId="335"/>
    <cellStyle name="_Molding Shipment Performance April 2009_Company Wide Key 12 Action plan October 2009_Company Wide Key 12 Action plan revised tricolor final-2009" xfId="336"/>
    <cellStyle name="_Molding Shipment Performance April 2009_Company Wide Key 12 Action plan October 2009_Company Wide Key 12 Action plan revised tricolor final-2009 (2)" xfId="337"/>
    <cellStyle name="_Molding Shipment Performance April 2009_Company Wide Key 12 Action plan October 2009_Company Wide Key 12 Action plan revised tricolor final-2009-2010" xfId="338"/>
    <cellStyle name="_Molding Shipment Performance April 2009_Company Wide Key 12 Action plan October 2009_EMSD Key12 Action Plan (April 2010)" xfId="339"/>
    <cellStyle name="_Molding Shipment Performance April 2009_Company Wide Key 12 Action plan October 2009_TS-Manufacturing Key12 Action Plan (April 2010)" xfId="340"/>
    <cellStyle name="_Molding Shipment Performance April 2009_Company Wide Key 12 Action plan revised tricolor final-2009" xfId="341"/>
    <cellStyle name="_Molding Shipment Performance April 2009_Company Wide Key 12 Action plan revised tricolor final-2009 (2)" xfId="342"/>
    <cellStyle name="_Molding Shipment Performance April 2009_Company Wide Key 12 Action plan revised tricolor final-2009-2010" xfId="343"/>
    <cellStyle name="_Molding Shipment Performance April 2009_EMSD Key12 Action Plan (April 2010)" xfId="344"/>
    <cellStyle name="_Molding Shipment Performance April 2009_TS-Manufacturing Key12 Action Plan (April 2010)" xfId="345"/>
    <cellStyle name="_Molding Shipment Performance August 2008 (revised)" xfId="346"/>
    <cellStyle name="_Molding Shipment Performance August 2008 (revised)_Company Wide Key 12 Action Plan August 2009" xfId="347"/>
    <cellStyle name="_Molding Shipment Performance August 2008 (revised)_Company Wide Key 12 Action Plan August 2009_Company Wide Key 12 Action plan revised tricolor final-2009" xfId="348"/>
    <cellStyle name="_Molding Shipment Performance August 2008 (revised)_Company Wide Key 12 Action Plan August 2009_Company Wide Key 12 Action plan revised tricolor final-2009 (2)" xfId="349"/>
    <cellStyle name="_Molding Shipment Performance August 2008 (revised)_Company Wide Key 12 Action Plan August 2009_Company Wide Key 12 Action plan revised tricolor final-2009-2010" xfId="350"/>
    <cellStyle name="_Molding Shipment Performance August 2008 (revised)_Company Wide Key 12 Action Plan August 2009_EMSD Key12 Action Plan (April 2010)" xfId="351"/>
    <cellStyle name="_Molding Shipment Performance August 2008 (revised)_Company Wide Key 12 Action Plan August 2009_TS-Manufacturing Key12 Action Plan (April 2010)" xfId="352"/>
    <cellStyle name="_Molding Shipment Performance August 2008 (revised)_Company Wide Key 12 Action plan October 2009" xfId="353"/>
    <cellStyle name="_Molding Shipment Performance August 2008 (revised)_Company Wide Key 12 Action plan October 2009 with adjustment and simulation" xfId="354"/>
    <cellStyle name="_Molding Shipment Performance August 2008 (revised)_Company Wide Key 12 Action plan October 2009_Company Wide Key 12 Action plan revised tricolor final-2009" xfId="355"/>
    <cellStyle name="_Molding Shipment Performance August 2008 (revised)_Company Wide Key 12 Action plan October 2009_Company Wide Key 12 Action plan revised tricolor final-2009 (2)" xfId="356"/>
    <cellStyle name="_Molding Shipment Performance August 2008 (revised)_Company Wide Key 12 Action plan October 2009_Company Wide Key 12 Action plan revised tricolor final-2009-2010" xfId="357"/>
    <cellStyle name="_Molding Shipment Performance August 2008 (revised)_Company Wide Key 12 Action plan October 2009_EMSD Key12 Action Plan (April 2010)" xfId="358"/>
    <cellStyle name="_Molding Shipment Performance August 2008 (revised)_Company Wide Key 12 Action plan October 2009_TS-Manufacturing Key12 Action Plan (April 2010)" xfId="359"/>
    <cellStyle name="_Molding Shipment Performance August 2008 (revised)_Company Wide Key 12 Action plan revised tricolor final-2009" xfId="360"/>
    <cellStyle name="_Molding Shipment Performance August 2008 (revised)_Company Wide Key 12 Action plan revised tricolor final-2009 (2)" xfId="361"/>
    <cellStyle name="_Molding Shipment Performance August 2008 (revised)_Company Wide Key 12 Action plan revised tricolor final-2009-2010" xfId="362"/>
    <cellStyle name="_Molding Shipment Performance August 2008 (revised)_EMSD Key12 Action Plan (April 2010)" xfId="363"/>
    <cellStyle name="_Molding Shipment Performance August 2008 (revised)_TS-Manufacturing Key12 Action Plan (April 2010)" xfId="364"/>
    <cellStyle name="_Molding Shipment Performance August 2009 (2)" xfId="365"/>
    <cellStyle name="_Molding Shipment Performance August 2009 (2)_Company Wide Key 12 Action plan October 2009" xfId="366"/>
    <cellStyle name="_Molding Shipment Performance August 2009 (2)_Company Wide Key 12 Action plan October 2009 with adjustment and simulation" xfId="367"/>
    <cellStyle name="_Molding Shipment Performance August 2009 (2)_Company Wide Key 12 Action plan October 2009_Company Wide Key 12 Action plan revised tricolor final-2009" xfId="368"/>
    <cellStyle name="_Molding Shipment Performance August 2009 (2)_Company Wide Key 12 Action plan October 2009_Company Wide Key 12 Action plan revised tricolor final-2009 (2)" xfId="369"/>
    <cellStyle name="_Molding Shipment Performance August 2009 (2)_Company Wide Key 12 Action plan October 2009_Company Wide Key 12 Action plan revised tricolor final-2009-2010" xfId="370"/>
    <cellStyle name="_Molding Shipment Performance August 2009 (2)_Company Wide Key 12 Action plan October 2009_EMSD Key12 Action Plan (April 2010)" xfId="371"/>
    <cellStyle name="_Molding Shipment Performance August 2009 (2)_Company Wide Key 12 Action plan October 2009_TS-Manufacturing Key12 Action Plan (April 2010)" xfId="372"/>
    <cellStyle name="_Molding Shipment Performance August 2009 (2)_Company Wide Key 12 Action plan revised tricolor final-2009" xfId="373"/>
    <cellStyle name="_Molding Shipment Performance August 2009 (2)_Company Wide Key 12 Action plan revised tricolor final-2009 (2)" xfId="374"/>
    <cellStyle name="_Molding Shipment Performance August 2009 (2)_Company Wide Key 12 Action plan revised tricolor final-2009-2010" xfId="375"/>
    <cellStyle name="_Molding Shipment Performance August 2009 (2)_EMSD Key12 Action Plan (April 2010)" xfId="376"/>
    <cellStyle name="_Molding Shipment Performance August 2009 (2)_TS-Manufacturing Key12 Action Plan (April 2010)" xfId="377"/>
    <cellStyle name="_Molding Shipment Performance December 2008" xfId="378"/>
    <cellStyle name="_Molding Shipment Performance December 2008_Company Wide Key 12 Action Plan August 2009" xfId="379"/>
    <cellStyle name="_Molding Shipment Performance December 2008_Company Wide Key 12 Action Plan August 2009_Company Wide Key 12 Action plan revised tricolor final-2009" xfId="380"/>
    <cellStyle name="_Molding Shipment Performance December 2008_Company Wide Key 12 Action Plan August 2009_Company Wide Key 12 Action plan revised tricolor final-2009 (2)" xfId="381"/>
    <cellStyle name="_Molding Shipment Performance December 2008_Company Wide Key 12 Action Plan August 2009_Company Wide Key 12 Action plan revised tricolor final-2009-2010" xfId="382"/>
    <cellStyle name="_Molding Shipment Performance December 2008_Company Wide Key 12 Action Plan August 2009_EMSD Key12 Action Plan (April 2010)" xfId="383"/>
    <cellStyle name="_Molding Shipment Performance December 2008_Company Wide Key 12 Action Plan August 2009_TS-Manufacturing Key12 Action Plan (April 2010)" xfId="384"/>
    <cellStyle name="_Molding Shipment Performance December 2008_Company Wide Key 12 Action plan October 2009" xfId="385"/>
    <cellStyle name="_Molding Shipment Performance December 2008_Company Wide Key 12 Action plan October 2009 with adjustment and simulation" xfId="386"/>
    <cellStyle name="_Molding Shipment Performance December 2008_Company Wide Key 12 Action plan October 2009_Company Wide Key 12 Action plan revised tricolor final-2009" xfId="387"/>
    <cellStyle name="_Molding Shipment Performance December 2008_Company Wide Key 12 Action plan October 2009_Company Wide Key 12 Action plan revised tricolor final-2009 (2)" xfId="388"/>
    <cellStyle name="_Molding Shipment Performance December 2008_Company Wide Key 12 Action plan October 2009_Company Wide Key 12 Action plan revised tricolor final-2009-2010" xfId="389"/>
    <cellStyle name="_Molding Shipment Performance December 2008_Company Wide Key 12 Action plan October 2009_EMSD Key12 Action Plan (April 2010)" xfId="390"/>
    <cellStyle name="_Molding Shipment Performance December 2008_Company Wide Key 12 Action plan October 2009_TS-Manufacturing Key12 Action Plan (April 2010)" xfId="391"/>
    <cellStyle name="_Molding Shipment Performance December 2008_Company Wide Key 12 Action plan revised tricolor final-2009" xfId="392"/>
    <cellStyle name="_Molding Shipment Performance December 2008_Company Wide Key 12 Action plan revised tricolor final-2009 (2)" xfId="393"/>
    <cellStyle name="_Molding Shipment Performance December 2008_Company Wide Key 12 Action plan revised tricolor final-2009-2010" xfId="394"/>
    <cellStyle name="_Molding Shipment Performance December 2008_EMSD Key12 Action Plan (April 2010)" xfId="395"/>
    <cellStyle name="_Molding Shipment Performance December 2008_TS-Manufacturing Key12 Action Plan (April 2010)" xfId="396"/>
    <cellStyle name="_Molding Shipment Performance December 2009" xfId="397"/>
    <cellStyle name="_Molding Shipment Performance February 2008" xfId="398"/>
    <cellStyle name="_Molding Shipment Performance February 2008_Company Wide Key 12 Action Plan August 2009" xfId="399"/>
    <cellStyle name="_Molding Shipment Performance February 2008_Company Wide Key 12 Action Plan August 2009_Company Wide Key 12 Action plan revised tricolor final-2009" xfId="400"/>
    <cellStyle name="_Molding Shipment Performance February 2008_Company Wide Key 12 Action Plan August 2009_Company Wide Key 12 Action plan revised tricolor final-2009 (2)" xfId="401"/>
    <cellStyle name="_Molding Shipment Performance February 2008_Company Wide Key 12 Action Plan August 2009_Company Wide Key 12 Action plan revised tricolor final-2009-2010" xfId="402"/>
    <cellStyle name="_Molding Shipment Performance February 2008_Company Wide Key 12 Action Plan August 2009_EMSD Key12 Action Plan (April 2010)" xfId="403"/>
    <cellStyle name="_Molding Shipment Performance February 2008_Company Wide Key 12 Action Plan August 2009_TS-Manufacturing Key12 Action Plan (April 2010)" xfId="404"/>
    <cellStyle name="_Molding Shipment Performance February 2008_Company Wide Key 12 Action plan October 2009" xfId="405"/>
    <cellStyle name="_Molding Shipment Performance February 2008_Company Wide Key 12 Action plan October 2009 with adjustment and simulation" xfId="406"/>
    <cellStyle name="_Molding Shipment Performance February 2008_Company Wide Key 12 Action plan October 2009_Company Wide Key 12 Action plan revised tricolor final-2009" xfId="407"/>
    <cellStyle name="_Molding Shipment Performance February 2008_Company Wide Key 12 Action plan October 2009_Company Wide Key 12 Action plan revised tricolor final-2009 (2)" xfId="408"/>
    <cellStyle name="_Molding Shipment Performance February 2008_Company Wide Key 12 Action plan October 2009_Company Wide Key 12 Action plan revised tricolor final-2009-2010" xfId="409"/>
    <cellStyle name="_Molding Shipment Performance February 2008_Company Wide Key 12 Action plan October 2009_EMSD Key12 Action Plan (April 2010)" xfId="410"/>
    <cellStyle name="_Molding Shipment Performance February 2008_Company Wide Key 12 Action plan October 2009_TS-Manufacturing Key12 Action Plan (April 2010)" xfId="411"/>
    <cellStyle name="_Molding Shipment Performance February 2008_Company Wide Key 12 Action plan revised tricolor final-2009" xfId="412"/>
    <cellStyle name="_Molding Shipment Performance February 2008_Company Wide Key 12 Action plan revised tricolor final-2009 (2)" xfId="413"/>
    <cellStyle name="_Molding Shipment Performance February 2008_Company Wide Key 12 Action plan revised tricolor final-2009-2010" xfId="414"/>
    <cellStyle name="_Molding Shipment Performance February 2008_EMSD Key12 Action Plan (April 2010)" xfId="415"/>
    <cellStyle name="_Molding Shipment Performance February 2008_Key 14" xfId="416"/>
    <cellStyle name="_Molding Shipment Performance February 2008_TS-Manufacturing Key12 Action Plan (April 2010)" xfId="417"/>
    <cellStyle name="_Molding Shipment Performance February 2009" xfId="418"/>
    <cellStyle name="_Molding Shipment Performance February 2009_Company Wide Key 12 Action Plan August 2009" xfId="419"/>
    <cellStyle name="_Molding Shipment Performance February 2009_Company Wide Key 12 Action Plan August 2009_Company Wide Key 12 Action plan revised tricolor final-2009" xfId="420"/>
    <cellStyle name="_Molding Shipment Performance February 2009_Company Wide Key 12 Action Plan August 2009_Company Wide Key 12 Action plan revised tricolor final-2009 (2)" xfId="421"/>
    <cellStyle name="_Molding Shipment Performance February 2009_Company Wide Key 12 Action Plan August 2009_Company Wide Key 12 Action plan revised tricolor final-2009-2010" xfId="422"/>
    <cellStyle name="_Molding Shipment Performance February 2009_Company Wide Key 12 Action Plan August 2009_EMSD Key12 Action Plan (April 2010)" xfId="423"/>
    <cellStyle name="_Molding Shipment Performance February 2009_Company Wide Key 12 Action Plan August 2009_TS-Manufacturing Key12 Action Plan (April 2010)" xfId="424"/>
    <cellStyle name="_Molding Shipment Performance February 2009_Company Wide Key 12 Action plan October 2009" xfId="425"/>
    <cellStyle name="_Molding Shipment Performance February 2009_Company Wide Key 12 Action plan October 2009 with adjustment and simulation" xfId="426"/>
    <cellStyle name="_Molding Shipment Performance February 2009_Company Wide Key 12 Action plan October 2009_Company Wide Key 12 Action plan revised tricolor final-2009" xfId="427"/>
    <cellStyle name="_Molding Shipment Performance February 2009_Company Wide Key 12 Action plan October 2009_Company Wide Key 12 Action plan revised tricolor final-2009 (2)" xfId="428"/>
    <cellStyle name="_Molding Shipment Performance February 2009_Company Wide Key 12 Action plan October 2009_Company Wide Key 12 Action plan revised tricolor final-2009-2010" xfId="429"/>
    <cellStyle name="_Molding Shipment Performance February 2009_Company Wide Key 12 Action plan October 2009_EMSD Key12 Action Plan (April 2010)" xfId="430"/>
    <cellStyle name="_Molding Shipment Performance February 2009_Company Wide Key 12 Action plan October 2009_TS-Manufacturing Key12 Action Plan (April 2010)" xfId="431"/>
    <cellStyle name="_Molding Shipment Performance February 2009_Company Wide Key 12 Action plan revised tricolor final-2009" xfId="432"/>
    <cellStyle name="_Molding Shipment Performance February 2009_Company Wide Key 12 Action plan revised tricolor final-2009 (2)" xfId="433"/>
    <cellStyle name="_Molding Shipment Performance February 2009_Company Wide Key 12 Action plan revised tricolor final-2009-2010" xfId="434"/>
    <cellStyle name="_Molding Shipment Performance February 2009_EMSD Key12 Action Plan (April 2010)" xfId="435"/>
    <cellStyle name="_Molding Shipment Performance February 2009_TS-Manufacturing Key12 Action Plan (April 2010)" xfId="436"/>
    <cellStyle name="_Molding Shipment Performance February 2010 (2)" xfId="437"/>
    <cellStyle name="_Molding Shipment Performance January 2008 LATEST (2)" xfId="438"/>
    <cellStyle name="_Molding Shipment Performance January 2008 LATEST (2)_Company Wide Key 12 Action Plan August 2009" xfId="439"/>
    <cellStyle name="_Molding Shipment Performance January 2008 LATEST (2)_Company Wide Key 12 Action Plan August 2009_Company Wide Key 12 Action plan revised tricolor final-2009" xfId="440"/>
    <cellStyle name="_Molding Shipment Performance January 2008 LATEST (2)_Company Wide Key 12 Action Plan August 2009_Company Wide Key 12 Action plan revised tricolor final-2009 (2)" xfId="441"/>
    <cellStyle name="_Molding Shipment Performance January 2008 LATEST (2)_Company Wide Key 12 Action Plan August 2009_Company Wide Key 12 Action plan revised tricolor final-2009-2010" xfId="442"/>
    <cellStyle name="_Molding Shipment Performance January 2008 LATEST (2)_Company Wide Key 12 Action Plan August 2009_EMSD Key12 Action Plan (April 2010)" xfId="443"/>
    <cellStyle name="_Molding Shipment Performance January 2008 LATEST (2)_Company Wide Key 12 Action Plan August 2009_TS-Manufacturing Key12 Action Plan (April 2010)" xfId="444"/>
    <cellStyle name="_Molding Shipment Performance January 2008 LATEST (2)_Company Wide Key 12 Action plan October 2009" xfId="445"/>
    <cellStyle name="_Molding Shipment Performance January 2008 LATEST (2)_Company Wide Key 12 Action plan October 2009 with adjustment and simulation" xfId="446"/>
    <cellStyle name="_Molding Shipment Performance January 2008 LATEST (2)_Company Wide Key 12 Action plan October 2009_Company Wide Key 12 Action plan revised tricolor final-2009" xfId="447"/>
    <cellStyle name="_Molding Shipment Performance January 2008 LATEST (2)_Company Wide Key 12 Action plan October 2009_Company Wide Key 12 Action plan revised tricolor final-2009 (2)" xfId="448"/>
    <cellStyle name="_Molding Shipment Performance January 2008 LATEST (2)_Company Wide Key 12 Action plan October 2009_Company Wide Key 12 Action plan revised tricolor final-2009-2010" xfId="449"/>
    <cellStyle name="_Molding Shipment Performance January 2008 LATEST (2)_Company Wide Key 12 Action plan October 2009_EMSD Key12 Action Plan (April 2010)" xfId="450"/>
    <cellStyle name="_Molding Shipment Performance January 2008 LATEST (2)_Company Wide Key 12 Action plan October 2009_TS-Manufacturing Key12 Action Plan (April 2010)" xfId="451"/>
    <cellStyle name="_Molding Shipment Performance January 2008 LATEST (2)_Company Wide Key 12 Action plan revised tricolor final-2009" xfId="452"/>
    <cellStyle name="_Molding Shipment Performance January 2008 LATEST (2)_Company Wide Key 12 Action plan revised tricolor final-2009 (2)" xfId="453"/>
    <cellStyle name="_Molding Shipment Performance January 2008 LATEST (2)_Company Wide Key 12 Action plan revised tricolor final-2009-2010" xfId="454"/>
    <cellStyle name="_Molding Shipment Performance January 2008 LATEST (2)_EMSD Key12 Action Plan (April 2010)" xfId="455"/>
    <cellStyle name="_Molding Shipment Performance January 2008 LATEST (2)_Key 14" xfId="456"/>
    <cellStyle name="_Molding Shipment Performance January 2008 LATEST (2)_TS-Manufacturing Key12 Action Plan (April 2010)" xfId="457"/>
    <cellStyle name="_Molding Shipment Performance January 2009" xfId="458"/>
    <cellStyle name="_Molding Shipment Performance January 2009_Company Wide Key 12 Action Plan August 2009" xfId="459"/>
    <cellStyle name="_Molding Shipment Performance January 2009_Company Wide Key 12 Action Plan August 2009_Company Wide Key 12 Action plan revised tricolor final-2009" xfId="460"/>
    <cellStyle name="_Molding Shipment Performance January 2009_Company Wide Key 12 Action Plan August 2009_Company Wide Key 12 Action plan revised tricolor final-2009 (2)" xfId="461"/>
    <cellStyle name="_Molding Shipment Performance January 2009_Company Wide Key 12 Action Plan August 2009_Company Wide Key 12 Action plan revised tricolor final-2009-2010" xfId="462"/>
    <cellStyle name="_Molding Shipment Performance January 2009_Company Wide Key 12 Action Plan August 2009_EMSD Key12 Action Plan (April 2010)" xfId="463"/>
    <cellStyle name="_Molding Shipment Performance January 2009_Company Wide Key 12 Action Plan August 2009_TS-Manufacturing Key12 Action Plan (April 2010)" xfId="464"/>
    <cellStyle name="_Molding Shipment Performance January 2009_Company Wide Key 12 Action plan October 2009" xfId="465"/>
    <cellStyle name="_Molding Shipment Performance January 2009_Company Wide Key 12 Action plan October 2009 with adjustment and simulation" xfId="466"/>
    <cellStyle name="_Molding Shipment Performance January 2009_Company Wide Key 12 Action plan October 2009_Company Wide Key 12 Action plan revised tricolor final-2009" xfId="467"/>
    <cellStyle name="_Molding Shipment Performance January 2009_Company Wide Key 12 Action plan October 2009_Company Wide Key 12 Action plan revised tricolor final-2009 (2)" xfId="468"/>
    <cellStyle name="_Molding Shipment Performance January 2009_Company Wide Key 12 Action plan October 2009_Company Wide Key 12 Action plan revised tricolor final-2009-2010" xfId="469"/>
    <cellStyle name="_Molding Shipment Performance January 2009_Company Wide Key 12 Action plan October 2009_EMSD Key12 Action Plan (April 2010)" xfId="470"/>
    <cellStyle name="_Molding Shipment Performance January 2009_Company Wide Key 12 Action plan October 2009_TS-Manufacturing Key12 Action Plan (April 2010)" xfId="471"/>
    <cellStyle name="_Molding Shipment Performance January 2009_Company Wide Key 12 Action plan revised tricolor final-2009" xfId="472"/>
    <cellStyle name="_Molding Shipment Performance January 2009_Company Wide Key 12 Action plan revised tricolor final-2009 (2)" xfId="473"/>
    <cellStyle name="_Molding Shipment Performance January 2009_Company Wide Key 12 Action plan revised tricolor final-2009-2010" xfId="474"/>
    <cellStyle name="_Molding Shipment Performance January 2009_EMSD Key12 Action Plan (April 2010)" xfId="475"/>
    <cellStyle name="_Molding Shipment Performance January 2009_TS-Manufacturing Key12 Action Plan (April 2010)" xfId="476"/>
    <cellStyle name="_Molding Shipment Performance January 2010" xfId="477"/>
    <cellStyle name="_Molding Shipment Performance July 2008" xfId="478"/>
    <cellStyle name="_Molding Shipment Performance July 2008_Company Wide Key 12 Action Plan August 2009" xfId="479"/>
    <cellStyle name="_Molding Shipment Performance July 2008_Company Wide Key 12 Action Plan August 2009_Company Wide Key 12 Action plan revised tricolor final-2009" xfId="480"/>
    <cellStyle name="_Molding Shipment Performance July 2008_Company Wide Key 12 Action Plan August 2009_Company Wide Key 12 Action plan revised tricolor final-2009 (2)" xfId="481"/>
    <cellStyle name="_Molding Shipment Performance July 2008_Company Wide Key 12 Action Plan August 2009_Company Wide Key 12 Action plan revised tricolor final-2009-2010" xfId="482"/>
    <cellStyle name="_Molding Shipment Performance July 2008_Company Wide Key 12 Action Plan August 2009_EMSD Key12 Action Plan (April 2010)" xfId="483"/>
    <cellStyle name="_Molding Shipment Performance July 2008_Company Wide Key 12 Action Plan August 2009_TS-Manufacturing Key12 Action Plan (April 2010)" xfId="484"/>
    <cellStyle name="_Molding Shipment Performance July 2008_Company Wide Key 12 Action plan October 2009" xfId="485"/>
    <cellStyle name="_Molding Shipment Performance July 2008_Company Wide Key 12 Action plan October 2009 with adjustment and simulation" xfId="486"/>
    <cellStyle name="_Molding Shipment Performance July 2008_Company Wide Key 12 Action plan October 2009_Company Wide Key 12 Action plan revised tricolor final-2009" xfId="487"/>
    <cellStyle name="_Molding Shipment Performance July 2008_Company Wide Key 12 Action plan October 2009_Company Wide Key 12 Action plan revised tricolor final-2009 (2)" xfId="488"/>
    <cellStyle name="_Molding Shipment Performance July 2008_Company Wide Key 12 Action plan October 2009_Company Wide Key 12 Action plan revised tricolor final-2009-2010" xfId="489"/>
    <cellStyle name="_Molding Shipment Performance July 2008_Company Wide Key 12 Action plan October 2009_EMSD Key12 Action Plan (April 2010)" xfId="490"/>
    <cellStyle name="_Molding Shipment Performance July 2008_Company Wide Key 12 Action plan October 2009_TS-Manufacturing Key12 Action Plan (April 2010)" xfId="491"/>
    <cellStyle name="_Molding Shipment Performance July 2008_Company Wide Key 12 Action plan revised tricolor final-2009" xfId="492"/>
    <cellStyle name="_Molding Shipment Performance July 2008_Company Wide Key 12 Action plan revised tricolor final-2009 (2)" xfId="493"/>
    <cellStyle name="_Molding Shipment Performance July 2008_Company Wide Key 12 Action plan revised tricolor final-2009-2010" xfId="494"/>
    <cellStyle name="_Molding Shipment Performance July 2008_EMSD Key12 Action Plan (April 2010)" xfId="495"/>
    <cellStyle name="_Molding Shipment Performance July 2008_TS-Manufacturing Key12 Action Plan (April 2010)" xfId="496"/>
    <cellStyle name="_Molding Shipment Performance July 2009" xfId="497"/>
    <cellStyle name="_Molding Shipment Performance July 2009_Company Wide Key 12 Action plan October 2009" xfId="498"/>
    <cellStyle name="_Molding Shipment Performance July 2009_Company Wide Key 12 Action plan October 2009 with adjustment and simulation" xfId="499"/>
    <cellStyle name="_Molding Shipment Performance July 2009_Company Wide Key 12 Action plan October 2009_Company Wide Key 12 Action plan revised tricolor final-2009" xfId="500"/>
    <cellStyle name="_Molding Shipment Performance July 2009_Company Wide Key 12 Action plan October 2009_Company Wide Key 12 Action plan revised tricolor final-2009 (2)" xfId="501"/>
    <cellStyle name="_Molding Shipment Performance July 2009_Company Wide Key 12 Action plan October 2009_Company Wide Key 12 Action plan revised tricolor final-2009-2010" xfId="502"/>
    <cellStyle name="_Molding Shipment Performance July 2009_Company Wide Key 12 Action plan October 2009_EMSD Key12 Action Plan (April 2010)" xfId="503"/>
    <cellStyle name="_Molding Shipment Performance July 2009_Company Wide Key 12 Action plan October 2009_TS-Manufacturing Key12 Action Plan (April 2010)" xfId="504"/>
    <cellStyle name="_Molding Shipment Performance July 2009_Company Wide Key 12 Action plan revised tricolor final-2009" xfId="505"/>
    <cellStyle name="_Molding Shipment Performance July 2009_Company Wide Key 12 Action plan revised tricolor final-2009 (2)" xfId="506"/>
    <cellStyle name="_Molding Shipment Performance July 2009_Company Wide Key 12 Action plan revised tricolor final-2009-2010" xfId="507"/>
    <cellStyle name="_Molding Shipment Performance July 2009_EMSD Key12 Action Plan (April 2010)" xfId="508"/>
    <cellStyle name="_Molding Shipment Performance July 2009_TS-Manufacturing Key12 Action Plan (April 2010)" xfId="509"/>
    <cellStyle name="_Molding Shipment Performance June 2008" xfId="510"/>
    <cellStyle name="_Molding Shipment Performance June 2008_Company Wide Key 12 Action Plan August 2009" xfId="511"/>
    <cellStyle name="_Molding Shipment Performance June 2008_Company Wide Key 12 Action Plan August 2009_Company Wide Key 12 Action plan revised tricolor final-2009" xfId="512"/>
    <cellStyle name="_Molding Shipment Performance June 2008_Company Wide Key 12 Action Plan August 2009_Company Wide Key 12 Action plan revised tricolor final-2009 (2)" xfId="513"/>
    <cellStyle name="_Molding Shipment Performance June 2008_Company Wide Key 12 Action Plan August 2009_Company Wide Key 12 Action plan revised tricolor final-2009-2010" xfId="514"/>
    <cellStyle name="_Molding Shipment Performance June 2008_Company Wide Key 12 Action Plan August 2009_EMSD Key12 Action Plan (April 2010)" xfId="515"/>
    <cellStyle name="_Molding Shipment Performance June 2008_Company Wide Key 12 Action Plan August 2009_TS-Manufacturing Key12 Action Plan (April 2010)" xfId="516"/>
    <cellStyle name="_Molding Shipment Performance June 2008_Company Wide Key 12 Action plan October 2009" xfId="517"/>
    <cellStyle name="_Molding Shipment Performance June 2008_Company Wide Key 12 Action plan October 2009 with adjustment and simulation" xfId="518"/>
    <cellStyle name="_Molding Shipment Performance June 2008_Company Wide Key 12 Action plan October 2009_Company Wide Key 12 Action plan revised tricolor final-2009" xfId="519"/>
    <cellStyle name="_Molding Shipment Performance June 2008_Company Wide Key 12 Action plan October 2009_Company Wide Key 12 Action plan revised tricolor final-2009 (2)" xfId="520"/>
    <cellStyle name="_Molding Shipment Performance June 2008_Company Wide Key 12 Action plan October 2009_Company Wide Key 12 Action plan revised tricolor final-2009-2010" xfId="521"/>
    <cellStyle name="_Molding Shipment Performance June 2008_Company Wide Key 12 Action plan October 2009_EMSD Key12 Action Plan (April 2010)" xfId="522"/>
    <cellStyle name="_Molding Shipment Performance June 2008_Company Wide Key 12 Action plan October 2009_TS-Manufacturing Key12 Action Plan (April 2010)" xfId="523"/>
    <cellStyle name="_Molding Shipment Performance June 2008_Company Wide Key 12 Action plan revised tricolor final-2009" xfId="524"/>
    <cellStyle name="_Molding Shipment Performance June 2008_Company Wide Key 12 Action plan revised tricolor final-2009 (2)" xfId="525"/>
    <cellStyle name="_Molding Shipment Performance June 2008_Company Wide Key 12 Action plan revised tricolor final-2009-2010" xfId="526"/>
    <cellStyle name="_Molding Shipment Performance June 2008_EMSD Key12 Action Plan (April 2010)" xfId="527"/>
    <cellStyle name="_Molding Shipment Performance June 2008_TS-Manufacturing Key12 Action Plan (April 2010)" xfId="528"/>
    <cellStyle name="_Molding Shipment Performance June 2009" xfId="529"/>
    <cellStyle name="_Molding Shipment Performance June 2009_Company Wide Key 12 Action plan October 2009" xfId="530"/>
    <cellStyle name="_Molding Shipment Performance June 2009_Company Wide Key 12 Action plan October 2009 with adjustment and simulation" xfId="531"/>
    <cellStyle name="_Molding Shipment Performance June 2009_Company Wide Key 12 Action plan October 2009_Company Wide Key 12 Action plan revised tricolor final-2009" xfId="532"/>
    <cellStyle name="_Molding Shipment Performance June 2009_Company Wide Key 12 Action plan October 2009_Company Wide Key 12 Action plan revised tricolor final-2009 (2)" xfId="533"/>
    <cellStyle name="_Molding Shipment Performance June 2009_Company Wide Key 12 Action plan October 2009_Company Wide Key 12 Action plan revised tricolor final-2009-2010" xfId="534"/>
    <cellStyle name="_Molding Shipment Performance June 2009_Company Wide Key 12 Action plan October 2009_EMSD Key12 Action Plan (April 2010)" xfId="535"/>
    <cellStyle name="_Molding Shipment Performance June 2009_Company Wide Key 12 Action plan October 2009_TS-Manufacturing Key12 Action Plan (April 2010)" xfId="536"/>
    <cellStyle name="_Molding Shipment Performance June 2009_Company Wide Key 12 Action plan revised tricolor final-2009" xfId="537"/>
    <cellStyle name="_Molding Shipment Performance June 2009_Company Wide Key 12 Action plan revised tricolor final-2009 (2)" xfId="538"/>
    <cellStyle name="_Molding Shipment Performance June 2009_Company Wide Key 12 Action plan revised tricolor final-2009-2010" xfId="539"/>
    <cellStyle name="_Molding Shipment Performance June 2009_EMSD Key12 Action Plan (April 2010)" xfId="540"/>
    <cellStyle name="_Molding Shipment Performance June 2009_TS-Manufacturing Key12 Action Plan (April 2010)" xfId="541"/>
    <cellStyle name="_Molding Shipment Performance March 2009" xfId="542"/>
    <cellStyle name="_Molding Shipment Performance March 2009_Company Wide Key 12 Action Plan August 2009" xfId="543"/>
    <cellStyle name="_Molding Shipment Performance March 2009_Company Wide Key 12 Action Plan August 2009_Company Wide Key 12 Action plan revised tricolor final-2009" xfId="544"/>
    <cellStyle name="_Molding Shipment Performance March 2009_Company Wide Key 12 Action Plan August 2009_Company Wide Key 12 Action plan revised tricolor final-2009 (2)" xfId="545"/>
    <cellStyle name="_Molding Shipment Performance March 2009_Company Wide Key 12 Action Plan August 2009_Company Wide Key 12 Action plan revised tricolor final-2009-2010" xfId="546"/>
    <cellStyle name="_Molding Shipment Performance March 2009_Company Wide Key 12 Action Plan August 2009_EMSD Key12 Action Plan (April 2010)" xfId="547"/>
    <cellStyle name="_Molding Shipment Performance March 2009_Company Wide Key 12 Action Plan August 2009_TS-Manufacturing Key12 Action Plan (April 2010)" xfId="548"/>
    <cellStyle name="_Molding Shipment Performance March 2009_Company Wide Key 12 Action plan October 2009" xfId="549"/>
    <cellStyle name="_Molding Shipment Performance March 2009_Company Wide Key 12 Action plan October 2009 with adjustment and simulation" xfId="550"/>
    <cellStyle name="_Molding Shipment Performance March 2009_Company Wide Key 12 Action plan October 2009_Company Wide Key 12 Action plan revised tricolor final-2009" xfId="551"/>
    <cellStyle name="_Molding Shipment Performance March 2009_Company Wide Key 12 Action plan October 2009_Company Wide Key 12 Action plan revised tricolor final-2009 (2)" xfId="552"/>
    <cellStyle name="_Molding Shipment Performance March 2009_Company Wide Key 12 Action plan October 2009_Company Wide Key 12 Action plan revised tricolor final-2009-2010" xfId="553"/>
    <cellStyle name="_Molding Shipment Performance March 2009_Company Wide Key 12 Action plan October 2009_EMSD Key12 Action Plan (April 2010)" xfId="554"/>
    <cellStyle name="_Molding Shipment Performance March 2009_Company Wide Key 12 Action plan October 2009_TS-Manufacturing Key12 Action Plan (April 2010)" xfId="555"/>
    <cellStyle name="_Molding Shipment Performance March 2009_Company Wide Key 12 Action plan revised tricolor final-2009" xfId="556"/>
    <cellStyle name="_Molding Shipment Performance March 2009_Company Wide Key 12 Action plan revised tricolor final-2009 (2)" xfId="557"/>
    <cellStyle name="_Molding Shipment Performance March 2009_Company Wide Key 12 Action plan revised tricolor final-2009-2010" xfId="558"/>
    <cellStyle name="_Molding Shipment Performance March 2009_EMSD Key12 Action Plan (April 2010)" xfId="559"/>
    <cellStyle name="_Molding Shipment Performance March 2009_TS-Manufacturing Key12 Action Plan (April 2010)" xfId="560"/>
    <cellStyle name="_Molding Shipment Performance March 2010" xfId="561"/>
    <cellStyle name="_Molding Shipment Performance May 2008" xfId="562"/>
    <cellStyle name="_Molding Shipment Performance May 2008_Company Wide Key 12 Action Plan August 2009" xfId="563"/>
    <cellStyle name="_Molding Shipment Performance May 2008_Company Wide Key 12 Action Plan August 2009_Company Wide Key 12 Action plan revised tricolor final-2009" xfId="564"/>
    <cellStyle name="_Molding Shipment Performance May 2008_Company Wide Key 12 Action Plan August 2009_Company Wide Key 12 Action plan revised tricolor final-2009 (2)" xfId="565"/>
    <cellStyle name="_Molding Shipment Performance May 2008_Company Wide Key 12 Action Plan August 2009_Company Wide Key 12 Action plan revised tricolor final-2009-2010" xfId="566"/>
    <cellStyle name="_Molding Shipment Performance May 2008_Company Wide Key 12 Action Plan August 2009_EMSD Key12 Action Plan (April 2010)" xfId="567"/>
    <cellStyle name="_Molding Shipment Performance May 2008_Company Wide Key 12 Action Plan August 2009_TS-Manufacturing Key12 Action Plan (April 2010)" xfId="568"/>
    <cellStyle name="_Molding Shipment Performance May 2008_Company Wide Key 12 Action plan October 2009" xfId="569"/>
    <cellStyle name="_Molding Shipment Performance May 2008_Company Wide Key 12 Action plan October 2009 with adjustment and simulation" xfId="570"/>
    <cellStyle name="_Molding Shipment Performance May 2008_Company Wide Key 12 Action plan October 2009_Company Wide Key 12 Action plan revised tricolor final-2009" xfId="571"/>
    <cellStyle name="_Molding Shipment Performance May 2008_Company Wide Key 12 Action plan October 2009_Company Wide Key 12 Action plan revised tricolor final-2009 (2)" xfId="572"/>
    <cellStyle name="_Molding Shipment Performance May 2008_Company Wide Key 12 Action plan October 2009_Company Wide Key 12 Action plan revised tricolor final-2009-2010" xfId="573"/>
    <cellStyle name="_Molding Shipment Performance May 2008_Company Wide Key 12 Action plan October 2009_EMSD Key12 Action Plan (April 2010)" xfId="574"/>
    <cellStyle name="_Molding Shipment Performance May 2008_Company Wide Key 12 Action plan October 2009_TS-Manufacturing Key12 Action Plan (April 2010)" xfId="575"/>
    <cellStyle name="_Molding Shipment Performance May 2008_Company Wide Key 12 Action plan revised tricolor final-2009" xfId="576"/>
    <cellStyle name="_Molding Shipment Performance May 2008_Company Wide Key 12 Action plan revised tricolor final-2009 (2)" xfId="577"/>
    <cellStyle name="_Molding Shipment Performance May 2008_Company Wide Key 12 Action plan revised tricolor final-2009-2010" xfId="578"/>
    <cellStyle name="_Molding Shipment Performance May 2008_EMSD Key12 Action Plan (April 2010)" xfId="579"/>
    <cellStyle name="_Molding Shipment Performance May 2008_Key 14" xfId="580"/>
    <cellStyle name="_Molding Shipment Performance May 2008_TS-Manufacturing Key12 Action Plan (April 2010)" xfId="581"/>
    <cellStyle name="_Molding Shipment Performance May 2009 (2)" xfId="582"/>
    <cellStyle name="_Molding Shipment Performance May 2009 (2)_Company Wide Key 12 Action plan October 2009" xfId="583"/>
    <cellStyle name="_Molding Shipment Performance May 2009 (2)_Company Wide Key 12 Action plan October 2009 with adjustment and simulation" xfId="584"/>
    <cellStyle name="_Molding Shipment Performance May 2009 (2)_Company Wide Key 12 Action plan October 2009_Company Wide Key 12 Action plan revised tricolor final-2009" xfId="585"/>
    <cellStyle name="_Molding Shipment Performance May 2009 (2)_Company Wide Key 12 Action plan October 2009_Company Wide Key 12 Action plan revised tricolor final-2009 (2)" xfId="586"/>
    <cellStyle name="_Molding Shipment Performance May 2009 (2)_Company Wide Key 12 Action plan October 2009_Company Wide Key 12 Action plan revised tricolor final-2009-2010" xfId="587"/>
    <cellStyle name="_Molding Shipment Performance May 2009 (2)_Company Wide Key 12 Action plan October 2009_EMSD Key12 Action Plan (April 2010)" xfId="588"/>
    <cellStyle name="_Molding Shipment Performance May 2009 (2)_Company Wide Key 12 Action plan October 2009_TS-Manufacturing Key12 Action Plan (April 2010)" xfId="589"/>
    <cellStyle name="_Molding Shipment Performance May 2009 (2)_Company Wide Key 12 Action plan revised tricolor final-2009" xfId="590"/>
    <cellStyle name="_Molding Shipment Performance May 2009 (2)_Company Wide Key 12 Action plan revised tricolor final-2009 (2)" xfId="591"/>
    <cellStyle name="_Molding Shipment Performance May 2009 (2)_Company Wide Key 12 Action plan revised tricolor final-2009-2010" xfId="592"/>
    <cellStyle name="_Molding Shipment Performance May 2009 (2)_EMSD Key12 Action Plan (April 2010)" xfId="593"/>
    <cellStyle name="_Molding Shipment Performance May 2009 (2)_TS-Manufacturing Key12 Action Plan (April 2010)" xfId="594"/>
    <cellStyle name="_Molding Shipment Performance November 2009" xfId="595"/>
    <cellStyle name="_Molding Shipment Performance Novemberr 2008" xfId="596"/>
    <cellStyle name="_Molding Shipment Performance Novemberr 2008_Company Wide Key 12 Action Plan August 2009" xfId="597"/>
    <cellStyle name="_Molding Shipment Performance Novemberr 2008_Company Wide Key 12 Action Plan August 2009_Company Wide Key 12 Action plan revised tricolor final-2009" xfId="598"/>
    <cellStyle name="_Molding Shipment Performance Novemberr 2008_Company Wide Key 12 Action Plan August 2009_Company Wide Key 12 Action plan revised tricolor final-2009 (2)" xfId="599"/>
    <cellStyle name="_Molding Shipment Performance Novemberr 2008_Company Wide Key 12 Action Plan August 2009_Company Wide Key 12 Action plan revised tricolor final-2009-2010" xfId="600"/>
    <cellStyle name="_Molding Shipment Performance Novemberr 2008_Company Wide Key 12 Action Plan August 2009_EMSD Key12 Action Plan (April 2010)" xfId="601"/>
    <cellStyle name="_Molding Shipment Performance Novemberr 2008_Company Wide Key 12 Action Plan August 2009_TS-Manufacturing Key12 Action Plan (April 2010)" xfId="602"/>
    <cellStyle name="_Molding Shipment Performance Novemberr 2008_Company Wide Key 12 Action plan October 2009" xfId="603"/>
    <cellStyle name="_Molding Shipment Performance Novemberr 2008_Company Wide Key 12 Action plan October 2009 with adjustment and simulation" xfId="604"/>
    <cellStyle name="_Molding Shipment Performance Novemberr 2008_Company Wide Key 12 Action plan October 2009_Company Wide Key 12 Action plan revised tricolor final-2009" xfId="605"/>
    <cellStyle name="_Molding Shipment Performance Novemberr 2008_Company Wide Key 12 Action plan October 2009_Company Wide Key 12 Action plan revised tricolor final-2009 (2)" xfId="606"/>
    <cellStyle name="_Molding Shipment Performance Novemberr 2008_Company Wide Key 12 Action plan October 2009_Company Wide Key 12 Action plan revised tricolor final-2009-2010" xfId="607"/>
    <cellStyle name="_Molding Shipment Performance Novemberr 2008_Company Wide Key 12 Action plan October 2009_EMSD Key12 Action Plan (April 2010)" xfId="608"/>
    <cellStyle name="_Molding Shipment Performance Novemberr 2008_Company Wide Key 12 Action plan October 2009_TS-Manufacturing Key12 Action Plan (April 2010)" xfId="609"/>
    <cellStyle name="_Molding Shipment Performance Novemberr 2008_Company Wide Key 12 Action plan revised tricolor final-2009" xfId="610"/>
    <cellStyle name="_Molding Shipment Performance Novemberr 2008_Company Wide Key 12 Action plan revised tricolor final-2009 (2)" xfId="611"/>
    <cellStyle name="_Molding Shipment Performance Novemberr 2008_Company Wide Key 12 Action plan revised tricolor final-2009-2010" xfId="612"/>
    <cellStyle name="_Molding Shipment Performance Novemberr 2008_EMSD Key12 Action Plan (April 2010)" xfId="613"/>
    <cellStyle name="_Molding Shipment Performance Novemberr 2008_TS-Manufacturing Key12 Action Plan (April 2010)" xfId="614"/>
    <cellStyle name="_Molding Shipment Performance October 2008" xfId="615"/>
    <cellStyle name="_Molding Shipment Performance October 2008_Company Wide Key 12 Action Plan August 2009" xfId="616"/>
    <cellStyle name="_Molding Shipment Performance October 2008_Company Wide Key 12 Action Plan August 2009_Company Wide Key 12 Action plan revised tricolor final-2009" xfId="617"/>
    <cellStyle name="_Molding Shipment Performance October 2008_Company Wide Key 12 Action Plan August 2009_Company Wide Key 12 Action plan revised tricolor final-2009 (2)" xfId="618"/>
    <cellStyle name="_Molding Shipment Performance October 2008_Company Wide Key 12 Action Plan August 2009_Company Wide Key 12 Action plan revised tricolor final-2009-2010" xfId="619"/>
    <cellStyle name="_Molding Shipment Performance October 2008_Company Wide Key 12 Action Plan August 2009_EMSD Key12 Action Plan (April 2010)" xfId="620"/>
    <cellStyle name="_Molding Shipment Performance October 2008_Company Wide Key 12 Action Plan August 2009_TS-Manufacturing Key12 Action Plan (April 2010)" xfId="621"/>
    <cellStyle name="_Molding Shipment Performance October 2008_Company Wide Key 12 Action plan October 2009" xfId="622"/>
    <cellStyle name="_Molding Shipment Performance October 2008_Company Wide Key 12 Action plan October 2009 with adjustment and simulation" xfId="623"/>
    <cellStyle name="_Molding Shipment Performance October 2008_Company Wide Key 12 Action plan October 2009_Company Wide Key 12 Action plan revised tricolor final-2009" xfId="624"/>
    <cellStyle name="_Molding Shipment Performance October 2008_Company Wide Key 12 Action plan October 2009_Company Wide Key 12 Action plan revised tricolor final-2009 (2)" xfId="625"/>
    <cellStyle name="_Molding Shipment Performance October 2008_Company Wide Key 12 Action plan October 2009_Company Wide Key 12 Action plan revised tricolor final-2009-2010" xfId="626"/>
    <cellStyle name="_Molding Shipment Performance October 2008_Company Wide Key 12 Action plan October 2009_EMSD Key12 Action Plan (April 2010)" xfId="627"/>
    <cellStyle name="_Molding Shipment Performance October 2008_Company Wide Key 12 Action plan October 2009_TS-Manufacturing Key12 Action Plan (April 2010)" xfId="628"/>
    <cellStyle name="_Molding Shipment Performance October 2008_Company Wide Key 12 Action plan revised tricolor final-2009" xfId="629"/>
    <cellStyle name="_Molding Shipment Performance October 2008_Company Wide Key 12 Action plan revised tricolor final-2009 (2)" xfId="630"/>
    <cellStyle name="_Molding Shipment Performance October 2008_Company Wide Key 12 Action plan revised tricolor final-2009-2010" xfId="631"/>
    <cellStyle name="_Molding Shipment Performance October 2008_EMSD Key12 Action Plan (April 2010)" xfId="632"/>
    <cellStyle name="_Molding Shipment Performance October 2008_TS-Manufacturing Key12 Action Plan (April 2010)" xfId="633"/>
    <cellStyle name="_Molding Shipment Performance October 2009-01" xfId="634"/>
    <cellStyle name="_Molding Shipment Performance October 2009-01_EMSD Key12 Action Plan (April 2010)" xfId="635"/>
    <cellStyle name="_Molding Shipment Performance October 2009-01_TS-Manufacturing Key12 Action Plan (April 2010)" xfId="636"/>
    <cellStyle name="_Molding Shipment Performance October 2009-02" xfId="637"/>
    <cellStyle name="_Molding Shipment Performance October 2009-02_EMSD Key12 Action Plan (April 2010)" xfId="638"/>
    <cellStyle name="_Molding Shipment Performance October 2009-02_TS-Manufacturing Key12 Action Plan (April 2010)" xfId="639"/>
    <cellStyle name="_Molding Shipment Performance September 2008" xfId="640"/>
    <cellStyle name="_Molding Shipment Performance September 2008_Company Wide Key 12 Action Plan August 2009" xfId="641"/>
    <cellStyle name="_Molding Shipment Performance September 2008_Company Wide Key 12 Action Plan August 2009_Company Wide Key 12 Action plan revised tricolor final-2009" xfId="642"/>
    <cellStyle name="_Molding Shipment Performance September 2008_Company Wide Key 12 Action Plan August 2009_Company Wide Key 12 Action plan revised tricolor final-2009 (2)" xfId="643"/>
    <cellStyle name="_Molding Shipment Performance September 2008_Company Wide Key 12 Action Plan August 2009_Company Wide Key 12 Action plan revised tricolor final-2009-2010" xfId="644"/>
    <cellStyle name="_Molding Shipment Performance September 2008_Company Wide Key 12 Action Plan August 2009_EMSD Key12 Action Plan (April 2010)" xfId="645"/>
    <cellStyle name="_Molding Shipment Performance September 2008_Company Wide Key 12 Action Plan August 2009_TS-Manufacturing Key12 Action Plan (April 2010)" xfId="646"/>
    <cellStyle name="_Molding Shipment Performance September 2008_Company Wide Key 12 Action plan October 2009" xfId="647"/>
    <cellStyle name="_Molding Shipment Performance September 2008_Company Wide Key 12 Action plan October 2009 with adjustment and simulation" xfId="648"/>
    <cellStyle name="_Molding Shipment Performance September 2008_Company Wide Key 12 Action plan October 2009_Company Wide Key 12 Action plan revised tricolor final-2009" xfId="649"/>
    <cellStyle name="_Molding Shipment Performance September 2008_Company Wide Key 12 Action plan October 2009_Company Wide Key 12 Action plan revised tricolor final-2009 (2)" xfId="650"/>
    <cellStyle name="_Molding Shipment Performance September 2008_Company Wide Key 12 Action plan October 2009_Company Wide Key 12 Action plan revised tricolor final-2009-2010" xfId="651"/>
    <cellStyle name="_Molding Shipment Performance September 2008_Company Wide Key 12 Action plan October 2009_EMSD Key12 Action Plan (April 2010)" xfId="652"/>
    <cellStyle name="_Molding Shipment Performance September 2008_Company Wide Key 12 Action plan October 2009_TS-Manufacturing Key12 Action Plan (April 2010)" xfId="653"/>
    <cellStyle name="_Molding Shipment Performance September 2008_Company Wide Key 12 Action plan revised tricolor final-2009" xfId="654"/>
    <cellStyle name="_Molding Shipment Performance September 2008_Company Wide Key 12 Action plan revised tricolor final-2009 (2)" xfId="655"/>
    <cellStyle name="_Molding Shipment Performance September 2008_Company Wide Key 12 Action plan revised tricolor final-2009-2010" xfId="656"/>
    <cellStyle name="_Molding Shipment Performance September 2008_EMSD Key12 Action Plan (April 2010)" xfId="657"/>
    <cellStyle name="_Molding Shipment Performance September 2008_TS-Manufacturing Key12 Action Plan (April 2010)" xfId="658"/>
    <cellStyle name="_OQC Data_FY2009_02" xfId="659"/>
    <cellStyle name="_OQC Data_FY2009_03" xfId="660"/>
    <cellStyle name="_PMI DR_2007-05 11_rev00_for Ma'am Noeme" xfId="661"/>
    <cellStyle name="_PMI DR_2007-05 11_rev00_for Ma'am Noeme_2008 09_Key16 Report_Sept 2008" xfId="662"/>
    <cellStyle name="_PMI DR_2007-05 11_rev00_for Ma'am Noeme_2008 09_Key16 Report_Sept 2008_Book2 (6)" xfId="663"/>
    <cellStyle name="_PMI DR_2007-05 11_rev00_for Ma'am Noeme_2008 09_Key16 Report_Sept 2008_Key 11~ 20 AP Report-Ap'10" xfId="664"/>
    <cellStyle name="_PMI DR_2007-05 11_rev00_for Ma'am Noeme_2008 09_Key16 Report_Sept 2008_YFLEX Innovation-FY 10" xfId="665"/>
    <cellStyle name="_PMI DR_2007-05 11_rev00_for Ma'am Noeme_2008.09_Shipment performance monitoring Sept 2008" xfId="666"/>
    <cellStyle name="_PMI DR_2007-05 11_rev00_for Ma'am Noeme_2008.09_Shipment performance monitoring Sept 2008_Book2 (6)" xfId="667"/>
    <cellStyle name="_PMI DR_2007-05 11_rev00_for Ma'am Noeme_2008.09_Shipment performance monitoring Sept 2008_Key 11~ 20 AP Report-Ap'10" xfId="668"/>
    <cellStyle name="_PMI DR_2007-05 11_rev00_for Ma'am Noeme_2008.09_Shipment performance monitoring Sept 2008_YFLEX Innovation-FY 10" xfId="669"/>
    <cellStyle name="_PMI DR_2007-05 11_rev00_for Ma'am Noeme_2008.10_Key16 Report_Oct 2008" xfId="670"/>
    <cellStyle name="_PMI DR_2007-05 11_rev00_for Ma'am Noeme_2008.10_Key16 Report_Oct 2008_Book2 (6)" xfId="671"/>
    <cellStyle name="_PMI DR_2007-05 11_rev00_for Ma'am Noeme_2008.10_Key16 Report_Oct 2008_Key 11~ 20 AP Report-Ap'10" xfId="672"/>
    <cellStyle name="_PMI DR_2007-05 11_rev00_for Ma'am Noeme_2008.10_Key16 Report_Oct 2008_YFLEX Innovation-FY 10" xfId="673"/>
    <cellStyle name="_PMI DR_2007-05 11_rev00_for Ma'am Noeme_2008.10_Shipment performance monitoring Oct 2008" xfId="674"/>
    <cellStyle name="_PMI DR_2007-05 11_rev00_for Ma'am Noeme_2008.10_Shipment performance monitoring Oct 2008_Book2 (6)" xfId="675"/>
    <cellStyle name="_PMI DR_2007-05 11_rev00_for Ma'am Noeme_2008.10_Shipment performance monitoring Oct 2008_Key 11~ 20 AP Report-Ap'10" xfId="676"/>
    <cellStyle name="_PMI DR_2007-05 11_rev00_for Ma'am Noeme_2008.10_Shipment performance monitoring Oct 2008_YFLEX Innovation-FY 10" xfId="677"/>
    <cellStyle name="_PMI DR_2007-05 11_rev00_for Ma'am Noeme_2008.11_Shipment performance monitoring Nov 2008" xfId="678"/>
    <cellStyle name="_PMI DR_2007-05 11_rev00_for Ma'am Noeme_2008.11_Shipment performance monitoring Nov 2008_Book2 (6)" xfId="679"/>
    <cellStyle name="_PMI DR_2007-05 11_rev00_for Ma'am Noeme_2008.11_Shipment performance monitoring Nov 2008_Key 11~ 20 AP Report-Ap'10" xfId="680"/>
    <cellStyle name="_PMI DR_2007-05 11_rev00_for Ma'am Noeme_2008.11_Shipment performance monitoring Nov 2008_YFLEX Innovation-FY 10" xfId="681"/>
    <cellStyle name="_PMI DR_2007-05 11_rev00_for Ma'am Noeme_2008.12_Shipment performance monitoring Dec 2008" xfId="682"/>
    <cellStyle name="_PMI DR_2007-05 11_rev00_for Ma'am Noeme_2008.12_Shipment performance monitoring Dec 2008_Book2 (6)" xfId="683"/>
    <cellStyle name="_PMI DR_2007-05 11_rev00_for Ma'am Noeme_2008.12_Shipment performance monitoring Dec 2008_Key 11~ 20 AP Report-Ap'10" xfId="684"/>
    <cellStyle name="_PMI DR_2007-05 11_rev00_for Ma'am Noeme_2008.12_Shipment performance monitoring Dec 2008_YFLEX Innovation-FY 10" xfId="685"/>
    <cellStyle name="_PMI DR_2007-05 11_rev00_for Ma'am Noeme_2009.01_Shipment performance monitoring Jan 2009" xfId="686"/>
    <cellStyle name="_PMI DR_2007-05 11_rev00_for Ma'am Noeme_2009.01_Shipment performance monitoring Jan 2009_Book2 (6)" xfId="687"/>
    <cellStyle name="_PMI DR_2007-05 11_rev00_for Ma'am Noeme_2009.01_Shipment performance monitoring Jan 2009_Key 11~ 20 AP Report-Ap'10" xfId="688"/>
    <cellStyle name="_PMI DR_2007-05 11_rev00_for Ma'am Noeme_2009.01_Shipment performance monitoring Jan 2009_YFLEX Innovation-FY 10" xfId="689"/>
    <cellStyle name="_PMI DR_2007-05 11_rev00_for Ma'am Noeme_2009.02_Shipment performance monitoring Feb 2009" xfId="690"/>
    <cellStyle name="_PMI DR_2007-05 11_rev00_for Ma'am Noeme_2009.02_Shipment performance monitoring Feb 2009 2" xfId="691"/>
    <cellStyle name="_PMI DR_2007-05 11_rev00_for Ma'am Noeme_2009.02_Shipment performance monitoring Feb 2009_Book2 (6)" xfId="692"/>
    <cellStyle name="_PMI DR_2007-05 11_rev00_for Ma'am Noeme_2009.02_Shipment performance monitoring Feb 2009_Key 11~ 20 AP Report-Ap'10" xfId="693"/>
    <cellStyle name="_PMI DR_2007-05 11_rev00_for Ma'am Noeme_2009.03_Shipment performance monitoring Mar 2009" xfId="694"/>
    <cellStyle name="_PMI DR_2007-05 11_rev00_for Ma'am Noeme_2009.03_Shipment performance monitoring Mar 2009 2" xfId="695"/>
    <cellStyle name="_PMI DR_2007-05 11_rev00_for Ma'am Noeme_2009.03_Shipment performance monitoring Mar 2009_Book2 (6)" xfId="696"/>
    <cellStyle name="_PMI DR_2007-05 11_rev00_for Ma'am Noeme_2009.03_Shipment performance monitoring Mar 2009_Key 11~ 20 AP Report-Ap'10" xfId="697"/>
    <cellStyle name="_PMI DR_2007-05 11_rev00_for Ma'am Noeme_2009.04_Shipment performance monitoring Apr 2009" xfId="698"/>
    <cellStyle name="_PMI DR_2007-05 11_rev00_for Ma'am Noeme_2009.04_Shipment performance monitoring Apr 2009 2" xfId="699"/>
    <cellStyle name="_PMI DR_2007-05 11_rev00_for Ma'am Noeme_2009.04_Shipment performance monitoring Apr 2009_Book2 (6)" xfId="700"/>
    <cellStyle name="_PMI DR_2007-05 11_rev00_for Ma'am Noeme_2009.04_Shipment performance monitoring Apr 2009_Key 11~ 20 AP Report-Ap'10" xfId="701"/>
    <cellStyle name="_PMI DR_2007-05 11_rev00_for Ma'am Noeme_2009.08_Shipment performance monitoring Aug 2009" xfId="702"/>
    <cellStyle name="_PMI DR_2007-05 11_rev00_for Ma'am Noeme_2009.08_Shipment performance monitoring Aug 2009 2" xfId="703"/>
    <cellStyle name="_PMI DR_2007-05 11_rev00_for Ma'am Noeme_2009.08_Shipment performance monitoring Aug 2009_Book2 (6)" xfId="704"/>
    <cellStyle name="_PMI DR_2007-05 11_rev00_for Ma'am Noeme_2009.08_Shipment performance monitoring Aug 2009_Key 11~ 20 AP Report-Ap'10" xfId="705"/>
    <cellStyle name="_PMI DR_2007-05 11_rev00_for Ma'am Noeme_2009.10_Shipment performance monitoring Oct 2009" xfId="706"/>
    <cellStyle name="_PMI DR_2007-05 11_rev00_for Ma'am Noeme_2009.10_Shipment performance monitoring Oct 2009 2" xfId="707"/>
    <cellStyle name="_PMI DR_2007-05 11_rev00_for Ma'am Noeme_2009.10_Shipment performance monitoring Oct 2009_Book2 (6)" xfId="708"/>
    <cellStyle name="_PMI DR_2007-05 11_rev00_for Ma'am Noeme_2009.11_Shipment performance monitoring Nov 2009" xfId="709"/>
    <cellStyle name="_PMI DR_2007-05 11_rev00_for Ma'am Noeme_2009.11_Shipment performance monitoring Nov 2009 2" xfId="710"/>
    <cellStyle name="_PMI DR_2007-05 11_rev00_for Ma'am Noeme_2009.11_Shipment performance monitoring Nov 2009_Book2 (6)" xfId="711"/>
    <cellStyle name="_PMI DR_2007-05 11_rev00_for Ma'am Noeme_2009.12_Key16 Report_Dec 2009" xfId="712"/>
    <cellStyle name="_PMI DR_2007-05 11_rev00_for Ma'am Noeme_2009.12_Key16 Report_Dec 2009 2" xfId="713"/>
    <cellStyle name="_PMI DR_2007-05 11_rev00_for Ma'am Noeme_2009.12_Key16 Report_Dec 2009_Book2 (6)" xfId="714"/>
    <cellStyle name="_PMI DR_2007-05 11_rev00_for Ma'am Noeme_2010.04_Key16 Report_Apr 2010" xfId="715"/>
    <cellStyle name="_PMI DR_2007-05 11_rev00_for Ma'am Noeme_2010.04_Key16 Report_Apr 2010 2" xfId="716"/>
    <cellStyle name="_PMI DR_2007-05 11_rev00_for Ma'am Noeme_2EMS key 11-20 AP Aug08" xfId="717"/>
    <cellStyle name="_PMI DR_2007-05 11_rev00_for Ma'am Noeme_2EMS key 11-20 AP Aug08 2" xfId="718"/>
    <cellStyle name="_PMI DR_2007-05 11_rev00_for Ma'am Noeme_2EMS key 11-20 AP Aug08_Key 11~ 20 AP Report-Ap'10" xfId="719"/>
    <cellStyle name="_PMI DR_2007-05 11_rev00_for Ma'am Noeme_Company Wide Key 12 Action plan April 2010 for FY2010 refined" xfId="720"/>
    <cellStyle name="_PMI DR_2007-05 11_rev00_for Ma'am Noeme_EMS 3 Item Kit FY09 for presentation 1" xfId="721"/>
    <cellStyle name="_PMI DR_2007-05 11_rev00_for Ma'am Noeme_EMS 3 Item Kit FY2010" xfId="722"/>
    <cellStyle name="_PMI DR_2007-05 11_rev00_for Ma'am Noeme_EMS 3 Item Kit FY2010 2" xfId="723"/>
    <cellStyle name="_PMI DR_2007-05 11_rev00_for Ma'am Noeme_EMS Key 16 AP -Oct08" xfId="724"/>
    <cellStyle name="_PMI DR_2007-05 11_rev00_for Ma'am Noeme_EMS Key 16 AP -Oct08_Book2 (6)" xfId="725"/>
    <cellStyle name="_PMI DR_2007-05 11_rev00_for Ma'am Noeme_EMS Key 16 AP -Oct08_Key 11~ 20 AP Report-Ap'10" xfId="726"/>
    <cellStyle name="_PMI DR_2007-05 11_rev00_for Ma'am Noeme_EMS Key 16 AP -Oct08_YFLEX Innovation-FY 10" xfId="727"/>
    <cellStyle name="_PMI DR_2007-05 11_rev00_for Ma'am Noeme_EMS Key 20 AP -Apr09 oks" xfId="728"/>
    <cellStyle name="_PMI DR_2007-05 11_rev00_for Ma'am Noeme_EMS Key 20 AP Apr10 oks" xfId="729"/>
    <cellStyle name="_PMI DR_2007-05 11_rev00_for Ma'am Noeme_EMS Key 20 AP -Aug09 oks" xfId="730"/>
    <cellStyle name="_PMI DR_2007-05 11_rev00_for Ma'am Noeme_EMS Key 20 AP Feb10 oks" xfId="731"/>
    <cellStyle name="_PMI DR_2007-05 11_rev00_for Ma'am Noeme_EMS Key 20 AP Jan10 oks" xfId="732"/>
    <cellStyle name="_PMI DR_2007-05 11_rev00_for Ma'am Noeme_EMS Key 20 AP -Jul09 oks" xfId="733"/>
    <cellStyle name="_PMI DR_2007-05 11_rev00_for Ma'am Noeme_EMS Key 20 AP Nov09" xfId="734"/>
    <cellStyle name="_PMI DR_2007-05 11_rev00_for Ma'am Noeme_EMS Key 20 AP Oct09 oks" xfId="735"/>
    <cellStyle name="_PMI DR_2007-05 11_rev00_for Ma'am Noeme_EMS Key 20 AP -Sep09 oks" xfId="736"/>
    <cellStyle name="_PMI DR_2007-05 11_rev00_for Ma'am Noeme_EMS-TOTAL (PWA-APP) COST ANALYSIS (FY2008)" xfId="737"/>
    <cellStyle name="_PMI DR_2007-05 11_rev00_for Ma'am Noeme_Key 16" xfId="738"/>
    <cellStyle name="_PMI DR_2007-05 11_rev00_for Ma'am Noeme_Key 16 2" xfId="739"/>
    <cellStyle name="_PMI DR_2007-05 11_rev00_for Ma'am Noeme_key 16 action plan per division_2008 Aug 08 performance" xfId="740"/>
    <cellStyle name="_PMI DR_2007-05 11_rev00_for Ma'am Noeme_key 16 action plan per division_2008 Aug 08 performance_Book2 (6)" xfId="741"/>
    <cellStyle name="_PMI DR_2007-05 11_rev00_for Ma'am Noeme_key 16 action plan per division_2008 Aug 08 performance_Key 11~ 20 AP Report-Ap'10" xfId="742"/>
    <cellStyle name="_PMI DR_2007-05 11_rev00_for Ma'am Noeme_key 16 action plan per division_2008 Aug 08 performance_YFLEX Innovation-FY 10" xfId="743"/>
    <cellStyle name="_PMI DR_2007-05 11_rev00_for Ma'am Noeme_key 16 action plan per division_2008 Dec 08 performance" xfId="744"/>
    <cellStyle name="_PMI DR_2007-05 11_rev00_for Ma'am Noeme_key 16 action plan per division_2009 12 December performance" xfId="745"/>
    <cellStyle name="_PMI DR_2007-05 11_rev00_for Ma'am Noeme_key 16 action plan per division_2010 01 January performance" xfId="746"/>
    <cellStyle name="_PMI DR_2007-05 11_rev00_for Ma'am Noeme_key 16 action plan per division_2010 04 06 Mar performance" xfId="747"/>
    <cellStyle name="_PMI DR_2007-05 11_rev00_for Ma'am Noeme_key 16 action plan_2010.05.01 Apr performance NPS" xfId="748"/>
    <cellStyle name="_PMI DR_2007-05 11_rev00_for Ma'am Noeme_Key 18" xfId="749"/>
    <cellStyle name="_PMI DR_2007-05 11_rev00_for Ma'am Noeme_Key 18 2" xfId="750"/>
    <cellStyle name="_PMI DR_2007-05 11_rev00_for Ma'am Noeme_Key 20" xfId="751"/>
    <cellStyle name="_PMI DR_2007-05 11_rev00_for Ma'am Noeme_Key11 -  20 " xfId="752"/>
    <cellStyle name="_PMI DR_2007-05 11_rev00_for Ma'am Noeme_Molding" xfId="753"/>
    <cellStyle name="_PPC  Marketing Tricolor_Action Plan 11 - 20_Innovation Program Nov 08" xfId="754"/>
    <cellStyle name="_PPC  Marketing Tricolor_Action Plan 11 - 20_Innovation Program Oct 08" xfId="755"/>
    <cellStyle name="_PPC_Mktg Key 20 AP-Mar09" xfId="756"/>
    <cellStyle name="_PPC_Mktg Key 20 Update rev 02 2" xfId="757"/>
    <cellStyle name="_PPD Shipment Performance December  2007" xfId="758"/>
    <cellStyle name="_PPD Shipment Performance December  2007_Company Wide Key 12 Action Plan August 2009" xfId="759"/>
    <cellStyle name="_PPD Shipment Performance December  2007_Company Wide Key 12 Action Plan August 2009_Company Wide Key 12 Action plan revised tricolor final-2009" xfId="760"/>
    <cellStyle name="_PPD Shipment Performance December  2007_Company Wide Key 12 Action Plan August 2009_Company Wide Key 12 Action plan revised tricolor final-2009 (2)" xfId="761"/>
    <cellStyle name="_PPD Shipment Performance December  2007_Company Wide Key 12 Action Plan August 2009_Company Wide Key 12 Action plan revised tricolor final-2009-2010" xfId="762"/>
    <cellStyle name="_PPD Shipment Performance December  2007_Company Wide Key 12 Action Plan August 2009_EMSD Key12 Action Plan (April 2010)" xfId="763"/>
    <cellStyle name="_PPD Shipment Performance December  2007_Company Wide Key 12 Action Plan August 2009_TS-Manufacturing Key12 Action Plan (April 2010)" xfId="764"/>
    <cellStyle name="_PPD Shipment Performance December  2007_Company Wide Key 12 Action plan October 2009" xfId="765"/>
    <cellStyle name="_PPD Shipment Performance December  2007_Company Wide Key 12 Action plan October 2009 with adjustment and simulation" xfId="766"/>
    <cellStyle name="_PPD Shipment Performance December  2007_Company Wide Key 12 Action plan October 2009_Company Wide Key 12 Action plan revised tricolor final-2009" xfId="767"/>
    <cellStyle name="_PPD Shipment Performance December  2007_Company Wide Key 12 Action plan October 2009_Company Wide Key 12 Action plan revised tricolor final-2009 (2)" xfId="768"/>
    <cellStyle name="_PPD Shipment Performance December  2007_Company Wide Key 12 Action plan October 2009_Company Wide Key 12 Action plan revised tricolor final-2009-2010" xfId="769"/>
    <cellStyle name="_PPD Shipment Performance December  2007_Company Wide Key 12 Action plan October 2009_EMSD Key12 Action Plan (April 2010)" xfId="770"/>
    <cellStyle name="_PPD Shipment Performance December  2007_Company Wide Key 12 Action plan October 2009_TS-Manufacturing Key12 Action Plan (April 2010)" xfId="771"/>
    <cellStyle name="_PPD Shipment Performance December  2007_Company Wide Key 12 Action plan revised tricolor final-2009" xfId="772"/>
    <cellStyle name="_PPD Shipment Performance December  2007_Company Wide Key 12 Action plan revised tricolor final-2009 (2)" xfId="773"/>
    <cellStyle name="_PPD Shipment Performance December  2007_Company Wide Key 12 Action plan revised tricolor final-2009-2010" xfId="774"/>
    <cellStyle name="_PPD Shipment Performance December  2007_EMSD Key12 Action Plan (April 2010)" xfId="775"/>
    <cellStyle name="_PPD Shipment Performance December  2007_Key 14" xfId="776"/>
    <cellStyle name="_PPD Shipment Performance December  2007_TS-Manufacturing Key12 Action Plan (April 2010)" xfId="777"/>
    <cellStyle name="_PPD Shipment Performance November  2007 (2)" xfId="778"/>
    <cellStyle name="_PPD Shipment Performance November  2007 (2)_Company Wide Key 12 Action Plan August 2009" xfId="779"/>
    <cellStyle name="_PPD Shipment Performance November  2007 (2)_Company Wide Key 12 Action Plan August 2009_Company Wide Key 12 Action plan revised tricolor final-2009" xfId="780"/>
    <cellStyle name="_PPD Shipment Performance November  2007 (2)_Company Wide Key 12 Action Plan August 2009_Company Wide Key 12 Action plan revised tricolor final-2009 (2)" xfId="781"/>
    <cellStyle name="_PPD Shipment Performance November  2007 (2)_Company Wide Key 12 Action Plan August 2009_Company Wide Key 12 Action plan revised tricolor final-2009-2010" xfId="782"/>
    <cellStyle name="_PPD Shipment Performance November  2007 (2)_Company Wide Key 12 Action Plan August 2009_EMSD Key12 Action Plan (April 2010)" xfId="783"/>
    <cellStyle name="_PPD Shipment Performance November  2007 (2)_Company Wide Key 12 Action Plan August 2009_TS-Manufacturing Key12 Action Plan (April 2010)" xfId="784"/>
    <cellStyle name="_PPD Shipment Performance November  2007 (2)_Company Wide Key 12 Action plan October 2009" xfId="785"/>
    <cellStyle name="_PPD Shipment Performance November  2007 (2)_Company Wide Key 12 Action plan October 2009 with adjustment and simulation" xfId="786"/>
    <cellStyle name="_PPD Shipment Performance November  2007 (2)_Company Wide Key 12 Action plan October 2009_Company Wide Key 12 Action plan revised tricolor final-2009" xfId="787"/>
    <cellStyle name="_PPD Shipment Performance November  2007 (2)_Company Wide Key 12 Action plan October 2009_Company Wide Key 12 Action plan revised tricolor final-2009 (2)" xfId="788"/>
    <cellStyle name="_PPD Shipment Performance November  2007 (2)_Company Wide Key 12 Action plan October 2009_Company Wide Key 12 Action plan revised tricolor final-2009-2010" xfId="789"/>
    <cellStyle name="_PPD Shipment Performance November  2007 (2)_Company Wide Key 12 Action plan October 2009_EMSD Key12 Action Plan (April 2010)" xfId="790"/>
    <cellStyle name="_PPD Shipment Performance November  2007 (2)_Company Wide Key 12 Action plan October 2009_TS-Manufacturing Key12 Action Plan (April 2010)" xfId="791"/>
    <cellStyle name="_PPD Shipment Performance November  2007 (2)_Company Wide Key 12 Action plan revised tricolor final-2009" xfId="792"/>
    <cellStyle name="_PPD Shipment Performance November  2007 (2)_Company Wide Key 12 Action plan revised tricolor final-2009 (2)" xfId="793"/>
    <cellStyle name="_PPD Shipment Performance November  2007 (2)_Company Wide Key 12 Action plan revised tricolor final-2009-2010" xfId="794"/>
    <cellStyle name="_PPD Shipment Performance November  2007 (2)_EMSD Key12 Action Plan (April 2010)" xfId="795"/>
    <cellStyle name="_PPD Shipment Performance November  2007 (2)_Key 14" xfId="796"/>
    <cellStyle name="_PPD Shipment Performance November  2007 (2)_TS-Manufacturing Key12 Action Plan (April 2010)" xfId="797"/>
    <cellStyle name="_Relay-out Plans (665k Volume) rev10' (2)" xfId="798"/>
    <cellStyle name="_Remec Prodn Sched_2007.03.10" xfId="799"/>
    <cellStyle name="_Remec Prodn Sched_2007.03.10_2008.10_Key16 Report_Oct 2008" xfId="800"/>
    <cellStyle name="_Remec Prodn Sched_2007.03.10_2008.10_Shipment performance monitoring Oct 2008" xfId="801"/>
    <cellStyle name="_Remec Prodn Sched_2007.03.10_2008.11_Shipment performance monitoring Nov 2008" xfId="802"/>
    <cellStyle name="_Remec Prodn Sched_2007.03.10_2008.12_Shipment performance monitoring Dec 2008" xfId="803"/>
    <cellStyle name="_Remec Prodn Sched_2007.03.10_2009.01_Shipment performance monitoring Jan 2009" xfId="804"/>
    <cellStyle name="_Remec Prodn Sched_2007.03.10_2009.02_Shipment performance monitoring Feb 2009" xfId="805"/>
    <cellStyle name="_Remec Prodn Sched_2007.03.10_2009.03_Shipment performance monitoring Mar 2009" xfId="806"/>
    <cellStyle name="_Remec Prodn Sched_2007.03.10_2009.04_Shipment performance monitoring Apr 2009" xfId="807"/>
    <cellStyle name="_Remec Prodn Sched_2007.03.10_2009.08_Shipment performance monitoring Aug 2009" xfId="808"/>
    <cellStyle name="_Remec Prodn Sched_2007.03.10_2009.10_Shipment performance monitoring Oct 2009" xfId="809"/>
    <cellStyle name="_Remec Prodn Sched_2007.03.10_2009.11_Shipment performance monitoring Nov 2009" xfId="810"/>
    <cellStyle name="_Remec Prodn Sched_2007.03.10_2009.12_Key16 Report_Dec 2009" xfId="811"/>
    <cellStyle name="_Remec Prodn Sched_2007.03.10_2010.04_Key16 Report_Apr 2010" xfId="812"/>
    <cellStyle name="_Remec Prodn Sched_2007.03.10_August '08 Key 9 Report" xfId="813"/>
    <cellStyle name="_Remec Prodn Sched_2007.03.10_August YFLEX-AP" xfId="814"/>
    <cellStyle name="_Remec Prodn Sched_2007.03.10_Book2 (6)" xfId="815"/>
    <cellStyle name="_Remec Prodn Sched_2007.03.10_Co  wide AP Monitoring" xfId="816"/>
    <cellStyle name="_Remec Prodn Sched_2007.03.10_Co  wide AP Monitoring (2)" xfId="817"/>
    <cellStyle name="_Remec Prodn Sched_2007.03.10_Company Wide Key 12 Action Plan May 2009" xfId="818"/>
    <cellStyle name="_Remec Prodn Sched_2007.03.10_Company Wide Key12 Action Plan" xfId="819"/>
    <cellStyle name="_Remec Prodn Sched_2007.03.10_Company Wide Key12 Action Plan " xfId="820"/>
    <cellStyle name="_Remec Prodn Sched_2007.03.10_Copy of Jun '08  YFLEX-AP Report" xfId="821"/>
    <cellStyle name="_Remec Prodn Sched_2007.03.10_Copy of Key 11 AP_ Aug 2009_Co-Wide_090914" xfId="822"/>
    <cellStyle name="_Remec Prodn Sched_2007.03.10_Copy of YFLEX  Summary key 15" xfId="823"/>
    <cellStyle name="_Remec Prodn Sched_2007.03.10_Co-wide Key 20 AP -Apr08 (version 1)" xfId="824"/>
    <cellStyle name="_Remec Prodn Sched_2007.03.10_December 00" xfId="825"/>
    <cellStyle name="_Remec Prodn Sched_2007.03.10_December '08 Key 9 Report" xfId="826"/>
    <cellStyle name="_Remec Prodn Sched_2007.03.10_December true" xfId="827"/>
    <cellStyle name="_Remec Prodn Sched_2007.03.10_EMS Key 13 AP -Mar09" xfId="828"/>
    <cellStyle name="_Remec Prodn Sched_2007.03.10_EMS Key 16 AP -Oct08" xfId="829"/>
    <cellStyle name="_Remec Prodn Sched_2007.03.10_Jluy YFLEX-AP Report Key1~10" xfId="830"/>
    <cellStyle name="_Remec Prodn Sched_2007.03.10_July '08 Key 9 Report" xfId="831"/>
    <cellStyle name="_Remec Prodn Sched_2007.03.10_Jun '08  YFLEX-AP Report Key1~10 (2)" xfId="832"/>
    <cellStyle name="_Remec Prodn Sched_2007.03.10_K1 ~ 20 Checksheet Summary" xfId="833"/>
    <cellStyle name="_Remec Prodn Sched_2007.03.10_K19 - FY09 Charts &amp; Action Plans" xfId="834"/>
    <cellStyle name="_Remec Prodn Sched_2007.03.10_Key 1~10" xfId="835"/>
    <cellStyle name="_Remec Prodn Sched_2007.03.10_Key 1~10 (version 1)" xfId="836"/>
    <cellStyle name="_Remec Prodn Sched_2007.03.10_Key 1~10 AP Report" xfId="837"/>
    <cellStyle name="_Remec Prodn Sched_2007.03.10_Key 1~10 AP Report 01" xfId="838"/>
    <cellStyle name="_Remec Prodn Sched_2007.03.10_key 10" xfId="839"/>
    <cellStyle name="_Remec Prodn Sched_2007.03.10_Key 11 AP_081004" xfId="840"/>
    <cellStyle name="_Remec Prodn Sched_2007.03.10_Key 11 AP_Apr 2010_CO-Wide_May 12 2010" xfId="841"/>
    <cellStyle name="_Remec Prodn Sched_2007.03.10_Key 11 AP_April 2009_Co-Wide_090513" xfId="842"/>
    <cellStyle name="_Remec Prodn Sched_2007.03.10_Key 11 AP_April 2009_Co-Wide_090513_FORMAT" xfId="843"/>
    <cellStyle name="_Remec Prodn Sched_2007.03.10_Key 11 AP_Jan 2009_Co-Wide_090210" xfId="844"/>
    <cellStyle name="_Remec Prodn Sched_2007.03.10_Key 11 AP_Jul 2009_Co-Wide_090810" xfId="845"/>
    <cellStyle name="_Remec Prodn Sched_2007.03.10_Key 11 AP_Jun 2009_Co-Wide_090707" xfId="846"/>
    <cellStyle name="_Remec Prodn Sched_2007.03.10_Key 11 AP_March 2009_Co-Wide_090416" xfId="847"/>
    <cellStyle name="_Remec Prodn Sched_2007.03.10_Key 11 AP_March 2009_Co-Wide_090417" xfId="848"/>
    <cellStyle name="_Remec Prodn Sched_2007.03.10_Key 11 AP_May 2009_Co-Wide_090617" xfId="849"/>
    <cellStyle name="_Remec Prodn Sched_2007.03.10_Key 11 AP_Nov 2008_081205" xfId="850"/>
    <cellStyle name="_Remec Prodn Sched_2007.03.10_Key 11 AP_Nov 2009_CO-Wide_091214" xfId="851"/>
    <cellStyle name="_Remec Prodn Sched_2007.03.10_Key 11 AP_Oct 2008_081105" xfId="852"/>
    <cellStyle name="_Remec Prodn Sched_2007.03.10_Key 11 AP_Oct 2009_CO-Wide_091109" xfId="853"/>
    <cellStyle name="_Remec Prodn Sched_2007.03.10_Key 11_AP_080524" xfId="854"/>
    <cellStyle name="_Remec Prodn Sched_2007.03.10_Key 11_AP_080613" xfId="855"/>
    <cellStyle name="_Remec Prodn Sched_2007.03.10_Key 11_AP_080613 (2)" xfId="856"/>
    <cellStyle name="_Remec Prodn Sched_2007.03.10_Key 11_AP_080712" xfId="857"/>
    <cellStyle name="_Remec Prodn Sched_2007.03.10_Key 11~ 20 AP Report" xfId="858"/>
    <cellStyle name="_Remec Prodn Sched_2007.03.10_Key 11~ 20 AP Report (2)" xfId="859"/>
    <cellStyle name="_Remec Prodn Sched_2007.03.10_Key 11~ 20 AP Report 01" xfId="860"/>
    <cellStyle name="_Remec Prodn Sched_2007.03.10_Key 11~ 20 AP Report-Jan'10 (version 1)" xfId="861"/>
    <cellStyle name="_Remec Prodn Sched_2007.03.10_Key 11~20 AP report" xfId="862"/>
    <cellStyle name="_Remec Prodn Sched_2007.03.10_Key 12 Action Plan May 2009" xfId="863"/>
    <cellStyle name="_Remec Prodn Sched_2007.03.10_Key 14 Action Plan (2008)" xfId="864"/>
    <cellStyle name="_Remec Prodn Sched_2007.03.10_Key 14 Action Plan (2008) rev 02" xfId="865"/>
    <cellStyle name="_Remec Prodn Sched_2007.03.10_Key 15 Training Sched" xfId="866"/>
    <cellStyle name="_Remec Prodn Sched_2007.03.10_Key 16 - April2010" xfId="867"/>
    <cellStyle name="_Remec Prodn Sched_2007.03.10_Key 16 - October update" xfId="868"/>
    <cellStyle name="_Remec Prodn Sched_2007.03.10_key 16 action plan per division_2008 Sept 08 performance" xfId="869"/>
    <cellStyle name="_Remec Prodn Sched_2007.03.10_key 16 action plan per division_2009 04 April performance" xfId="870"/>
    <cellStyle name="_Remec Prodn Sched_2007.03.10_key 16 action plan per division_2009 08 August performance" xfId="871"/>
    <cellStyle name="_Remec Prodn Sched_2007.03.10_key 16 action plan per division_2009.04 April performance" xfId="872"/>
    <cellStyle name="_Remec Prodn Sched_2007.03.10_key 16 action plan per division_2009.09 September performance" xfId="873"/>
    <cellStyle name="_Remec Prodn Sched_2007.03.10_key 16 action plan_2010.05.01 Apr performance" xfId="874"/>
    <cellStyle name="_Remec Prodn Sched_2007.03.10_Key 16 Report Hit Rate  Action Plan (7)" xfId="875"/>
    <cellStyle name="_Remec Prodn Sched_2007.03.10_Key 16 Report Hit Rate  Action Plan(2010)1" xfId="876"/>
    <cellStyle name="_Remec Prodn Sched_2007.03.10_Key 17 Action Plan - Company wide" xfId="877"/>
    <cellStyle name="_Remec Prodn Sched_2007.03.10_Key 17 Action Plan - Company wide1" xfId="878"/>
    <cellStyle name="_Remec Prodn Sched_2007.03.10_Key 2" xfId="879"/>
    <cellStyle name="_Remec Prodn Sched_2007.03.10_Key 2      " xfId="880"/>
    <cellStyle name="_Remec Prodn Sched_2007.03.10_Key 2 Action Plan Per Division Apr08" xfId="881"/>
    <cellStyle name="_Remec Prodn Sched_2007.03.10_Key 2_2009 Action Plan" xfId="882"/>
    <cellStyle name="_Remec Prodn Sched_2007.03.10_Key 2_2009 Action Plan 2" xfId="883"/>
    <cellStyle name="_Remec Prodn Sched_2007.03.10_Key 20 AP" xfId="884"/>
    <cellStyle name="_Remec Prodn Sched_2007.03.10_Key 20 AP -Company Wide May08 Update" xfId="885"/>
    <cellStyle name="_Remec Prodn Sched_2007.03.10_Key 20 AP -New" xfId="886"/>
    <cellStyle name="_Remec Prodn Sched_2007.03.10_Key 20 AP -New (2)" xfId="887"/>
    <cellStyle name="_Remec Prodn Sched_2007.03.10_Key 20 AP Report" xfId="888"/>
    <cellStyle name="_Remec Prodn Sched_2007.03.10_Key 20 Checksheet" xfId="889"/>
    <cellStyle name="_Remec Prodn Sched_2007.03.10_key 4" xfId="890"/>
    <cellStyle name="_Remec Prodn Sched_2007.03.10_Key 8" xfId="891"/>
    <cellStyle name="_Remec Prodn Sched_2007.03.10_Key10" xfId="892"/>
    <cellStyle name="_Remec Prodn Sched_2007.03.10_Key10 Checksheet" xfId="893"/>
    <cellStyle name="_Remec Prodn Sched_2007.03.10_Key12" xfId="894"/>
    <cellStyle name="_Remec Prodn Sched_2007.03.10_Key12 Action Plan" xfId="895"/>
    <cellStyle name="_Remec Prodn Sched_2007.03.10_Key13" xfId="896"/>
    <cellStyle name="_Remec Prodn Sched_2007.03.10_Key14" xfId="897"/>
    <cellStyle name="_Remec Prodn Sched_2007.03.10_Key16" xfId="898"/>
    <cellStyle name="_Remec Prodn Sched_2007.03.10_Key17" xfId="899"/>
    <cellStyle name="_Remec Prodn Sched_2007.03.10_Key19" xfId="900"/>
    <cellStyle name="_Remec Prodn Sched_2007.03.10_Key19 AP - April" xfId="901"/>
    <cellStyle name="_Remec Prodn Sched_2007.03.10_Key19 AP - May (061608) (2)" xfId="902"/>
    <cellStyle name="_Remec Prodn Sched_2007.03.10_Key20" xfId="903"/>
    <cellStyle name="_Remec Prodn Sched_2007.03.10_Key3" xfId="904"/>
    <cellStyle name="_Remec Prodn Sched_2007.03.10_Key4" xfId="905"/>
    <cellStyle name="_Remec Prodn Sched_2007.03.10_Key6" xfId="906"/>
    <cellStyle name="_Remec Prodn Sched_2007.03.10_Key7" xfId="907"/>
    <cellStyle name="_Remec Prodn Sched_2007.03.10_Key9" xfId="908"/>
    <cellStyle name="_Remec Prodn Sched_2007.03.10_May '08  YFLEX-AP Report" xfId="909"/>
    <cellStyle name="_Remec Prodn Sched_2007.03.10_May '08  YFLEX-AP Report-02" xfId="910"/>
    <cellStyle name="_Remec Prodn Sched_2007.03.10_May '08 Key 9 Report (2)" xfId="911"/>
    <cellStyle name="_Remec Prodn Sched_2007.03.10_Sept YFLEX-AP" xfId="912"/>
    <cellStyle name="_Remec Prodn Sched_2007.03.10_Tri-Color dec " xfId="913"/>
    <cellStyle name="_Remec Prodn Sched_2007.03.10_TS-Manufacturing Key 13 Apr 08 Update" xfId="914"/>
    <cellStyle name="_Remec Prodn Sched_2007.03.10_TS-Manufacturing Key 13 Apr 08 Update_YFlex Key 14 August '08 Update" xfId="915"/>
    <cellStyle name="_Remec Prodn Sched_2007.03.10_TS-Manufacturing Key 13 Dec 08 Update" xfId="916"/>
    <cellStyle name="_Remec Prodn Sched_2007.03.10_TS-Manufacturing Key 13 Dec 08 Update_YFlex Key 14 August '08 Update" xfId="917"/>
    <cellStyle name="_Remec Prodn Sched_2007.03.10_TS-Manufacturing Key 13 Mar '09 data" xfId="918"/>
    <cellStyle name="_Remec Prodn Sched_2007.03.10_TS-Mfg  Key15 April 2010 Update" xfId="919"/>
    <cellStyle name="_Remec Prodn Sched_2007.03.10_YFLEX  Summary key 11-20" xfId="920"/>
    <cellStyle name="_Remec Prodn Sched_2007.03.10_YFLEX Innovation-FY 10" xfId="921"/>
    <cellStyle name="_Remec Prodn Sched_2007.03.10_YFLEX Key 1 '08 Update" xfId="922"/>
    <cellStyle name="_Remec Prodn Sched_2007.03.10_YFLEX Key 1 October  '08 Update" xfId="923"/>
    <cellStyle name="_Remec Prodn Sched_2007.03.10_YFLEX Key 1 September '08 Update" xfId="924"/>
    <cellStyle name="_Remec Prodn Sched_2007.03.10_YFLEX Key 14 - Apr '09 Update" xfId="925"/>
    <cellStyle name="_Remec Prodn Sched_2007.03.10_YFlex Key 14 '08" xfId="926"/>
    <cellStyle name="_Remec Prodn Sched_2007.03.10_YFlex Key 14 August '08 Update" xfId="927"/>
    <cellStyle name="_Remec Prodn Sched_2007.03.10_YFlex Key 14 July '08 Update" xfId="928"/>
    <cellStyle name="_Remec Prodn Sched_2007.03.10_YFlex Key 14 May '08 Update" xfId="929"/>
    <cellStyle name="_Remec Prodn Sched_2007.03.10_YFlex Key 14 October '08 Update" xfId="930"/>
    <cellStyle name="_Remec Prodn Sched_2007.03.10_YFlex Key 14 September '08 Update" xfId="931"/>
    <cellStyle name="_Remec Prodn Sched_2007.03.10_YFLEX Key 20 AP -FY2008" xfId="932"/>
    <cellStyle name="_Remec Prodn Sched_2007.03.10_YFLEX Key 20 AP -FY2008 (2)" xfId="933"/>
    <cellStyle name="_Remec Prodn Sched_2007.03.10_YFLEX Key 3" xfId="934"/>
    <cellStyle name="_Remec Prodn Sched_2007.03.10_YFlex Key 7 August '08 Update" xfId="935"/>
    <cellStyle name="_Remec Prodn Sched_2007.03.10_YFlex Key 7 FY2008" xfId="936"/>
    <cellStyle name="_Remec Prodn Sched_2007.03.10_YFlex Key 7 January '09 Update" xfId="937"/>
    <cellStyle name="_Remec Prodn Sched_2007.03.10_YFlex Key 7 July '08 Update" xfId="938"/>
    <cellStyle name="_Remec Prodn Sched_2007.03.10_YFlex Key 7 October '08 Update" xfId="939"/>
    <cellStyle name="_Remec Prodn Sched_2007.03.10_YFLEX Key 9 April '09 Progress Report" xfId="940"/>
    <cellStyle name="_Remec Prodn Sched_2007.03.10_YFlex Key19 March '09 Action Plan" xfId="941"/>
    <cellStyle name="_Remec Prodn Sched_2007.03.10_YFlex Key19 May FY'08- Action Plan" xfId="942"/>
    <cellStyle name="_Remec Prodn Sched_2007.03.10_YFLEX Summary key 1-20" xfId="943"/>
    <cellStyle name="_Remec Prodn Sched_2007.03.10_YFLEX-AP Report Key 1~12" xfId="944"/>
    <cellStyle name="_Remec Prodn Sched_2007.03.10_YFLEX-AP Report Key 1~12 (version 1)" xfId="945"/>
    <cellStyle name="_Remec Prodn Sched_2007.03.10_YFLEX-AP Report Key 1~12-01" xfId="946"/>
    <cellStyle name="_Remec Prodn Sched_2007.03.10_YFLEX-AP Report Key 9~10" xfId="947"/>
    <cellStyle name="_Remec Prodn Sched_2007.03.10_YFLEX-AP Report Key1~17" xfId="948"/>
    <cellStyle name="_Remec Prodn Sched_2007.03.10_YFLEX-AP Report Key10~12" xfId="949"/>
    <cellStyle name="_Remec Prodn Sched_2007.03.10_YFLEX-AP Report Key11~20" xfId="950"/>
    <cellStyle name="_Remec Prodn Sched_2007.03.10_YFLEX-AP Report Key15~17" xfId="951"/>
    <cellStyle name="_Remec Prodn Sched_2007.03.10_YFLEX-AP Report Key16" xfId="952"/>
    <cellStyle name="_Remec Prodn Sched_2007.03.10_YFLEX-AP Report Key18~20" xfId="953"/>
    <cellStyle name="_Remec Prodn Sched_2007.03.10_YFLEX-AP Report Key2" xfId="954"/>
    <cellStyle name="_Remec Prodn Sched_2007.03.10_YFLEX-AP Report Key3~4" xfId="955"/>
    <cellStyle name="_Remec Prodn Sched_2007.03.10_YFLEX-AP Report Key4~6" xfId="956"/>
    <cellStyle name="_Remec Prodn Sched_2007.03.10_YFLEX-AP Report Key5~6" xfId="957"/>
    <cellStyle name="_Remec Prodn Sched_2007.03.10_YFLEX-AP Report Key7~9" xfId="958"/>
    <cellStyle name="_Remec Prodn Sched_2007.04.13" xfId="959"/>
    <cellStyle name="_Remec Prodn Sched_2007.04.13_Copy of YFLEX  Summary key 15" xfId="960"/>
    <cellStyle name="_Remec Prodn Sched_2007.04.13_YFLEX  Summary key 11-20" xfId="961"/>
    <cellStyle name="_revised_PMI_July  Aug   DAILY PLAN_REV17 (3) key 16" xfId="962"/>
    <cellStyle name="_revised_PMI_July  Aug   DAILY PLAN_REV17 (3) key 16_2008.10_Key16 Report_Oct 2008" xfId="963"/>
    <cellStyle name="_revised_PMI_July  Aug   DAILY PLAN_REV17 (3) key 16_2008.10_Shipment performance monitoring Oct 2008" xfId="964"/>
    <cellStyle name="_revised_PMI_July  Aug   DAILY PLAN_REV17 (3) key 16_2008.11_Shipment performance monitoring Nov 2008" xfId="965"/>
    <cellStyle name="_revised_PMI_July  Aug   DAILY PLAN_REV17 (3) key 16_2008.12_Shipment performance monitoring Dec 2008" xfId="966"/>
    <cellStyle name="_revised_PMI_July  Aug   DAILY PLAN_REV17 (3) key 16_2009.01_Shipment performance monitoring Jan 2009" xfId="967"/>
    <cellStyle name="_revised_PMI_July  Aug   DAILY PLAN_REV17 (3) key 16_2009.02_Shipment performance monitoring Feb 2009" xfId="968"/>
    <cellStyle name="_revised_PMI_July  Aug   DAILY PLAN_REV17 (3) key 16_2009.03_Shipment performance monitoring Mar 2009" xfId="969"/>
    <cellStyle name="_revised_PMI_July  Aug   DAILY PLAN_REV17 (3) key 16_2009.04_Shipment performance monitoring Apr 2009" xfId="970"/>
    <cellStyle name="_revised_PMI_July  Aug   DAILY PLAN_REV17 (3) key 16_2009.08_Shipment performance monitoring Aug 2009" xfId="971"/>
    <cellStyle name="_revised_PMI_July  Aug   DAILY PLAN_REV17 (3) key 16_2009.10_Shipment performance monitoring Oct 2009" xfId="972"/>
    <cellStyle name="_revised_PMI_July  Aug   DAILY PLAN_REV17 (3) key 16_2009.11_Shipment performance monitoring Nov 2009" xfId="973"/>
    <cellStyle name="_revised_PMI_July  Aug   DAILY PLAN_REV17 (3) key 16_2009.12_Key16 Report_Dec 2009" xfId="974"/>
    <cellStyle name="_revised_PMI_July  Aug   DAILY PLAN_REV17 (3) key 16_2010.04_Key16 Report_Apr 2010" xfId="975"/>
    <cellStyle name="_revised_PMI_July  Aug   DAILY PLAN_REV17 (3) key 16_August '08 Key 9 Report" xfId="976"/>
    <cellStyle name="_revised_PMI_July  Aug   DAILY PLAN_REV17 (3) key 16_August YFLEX-AP" xfId="977"/>
    <cellStyle name="_revised_PMI_July  Aug   DAILY PLAN_REV17 (3) key 16_Book2 (6)" xfId="978"/>
    <cellStyle name="_revised_PMI_July  Aug   DAILY PLAN_REV17 (3) key 16_Co  wide AP Monitoring" xfId="979"/>
    <cellStyle name="_revised_PMI_July  Aug   DAILY PLAN_REV17 (3) key 16_Co  wide AP Monitoring (2)" xfId="980"/>
    <cellStyle name="_revised_PMI_July  Aug   DAILY PLAN_REV17 (3) key 16_Company Wide Key 12 Action Plan May 2009" xfId="981"/>
    <cellStyle name="_revised_PMI_July  Aug   DAILY PLAN_REV17 (3) key 16_Company Wide Key12 Action Plan" xfId="982"/>
    <cellStyle name="_revised_PMI_July  Aug   DAILY PLAN_REV17 (3) key 16_Company Wide Key12 Action Plan " xfId="983"/>
    <cellStyle name="_revised_PMI_July  Aug   DAILY PLAN_REV17 (3) key 16_Copy of Jun '08  YFLEX-AP Report" xfId="984"/>
    <cellStyle name="_revised_PMI_July  Aug   DAILY PLAN_REV17 (3) key 16_Copy of Key 11 AP_ Aug 2009_Co-Wide_090914" xfId="985"/>
    <cellStyle name="_revised_PMI_July  Aug   DAILY PLAN_REV17 (3) key 16_Copy of YFLEX  Summary key 15" xfId="986"/>
    <cellStyle name="_revised_PMI_July  Aug   DAILY PLAN_REV17 (3) key 16_Co-wide Key 20 AP -Apr08 (version 1)" xfId="987"/>
    <cellStyle name="_revised_PMI_July  Aug   DAILY PLAN_REV17 (3) key 16_December 00" xfId="988"/>
    <cellStyle name="_revised_PMI_July  Aug   DAILY PLAN_REV17 (3) key 16_December '08 Key 9 Report" xfId="989"/>
    <cellStyle name="_revised_PMI_July  Aug   DAILY PLAN_REV17 (3) key 16_December true" xfId="990"/>
    <cellStyle name="_revised_PMI_July  Aug   DAILY PLAN_REV17 (3) key 16_EMS Key 13 AP -Mar09" xfId="991"/>
    <cellStyle name="_revised_PMI_July  Aug   DAILY PLAN_REV17 (3) key 16_EMS Key 16 AP -Oct08" xfId="992"/>
    <cellStyle name="_revised_PMI_July  Aug   DAILY PLAN_REV17 (3) key 16_Jluy YFLEX-AP Report Key1~10" xfId="993"/>
    <cellStyle name="_revised_PMI_July  Aug   DAILY PLAN_REV17 (3) key 16_July '08 Key 9 Report" xfId="994"/>
    <cellStyle name="_revised_PMI_July  Aug   DAILY PLAN_REV17 (3) key 16_Jun '08  YFLEX-AP Report Key1~10 (2)" xfId="995"/>
    <cellStyle name="_revised_PMI_July  Aug   DAILY PLAN_REV17 (3) key 16_K1 ~ 20 Checksheet Summary" xfId="996"/>
    <cellStyle name="_revised_PMI_July  Aug   DAILY PLAN_REV17 (3) key 16_Key 1~10" xfId="997"/>
    <cellStyle name="_revised_PMI_July  Aug   DAILY PLAN_REV17 (3) key 16_Key 1~10 (version 1)" xfId="998"/>
    <cellStyle name="_revised_PMI_July  Aug   DAILY PLAN_REV17 (3) key 16_Key 1~10 AP Report" xfId="999"/>
    <cellStyle name="_revised_PMI_July  Aug   DAILY PLAN_REV17 (3) key 16_Key 1~10 AP Report 01" xfId="1000"/>
    <cellStyle name="_revised_PMI_July  Aug   DAILY PLAN_REV17 (3) key 16_key 10" xfId="1001"/>
    <cellStyle name="_revised_PMI_July  Aug   DAILY PLAN_REV17 (3) key 16_Key 11 AP_081004" xfId="1002"/>
    <cellStyle name="_revised_PMI_July  Aug   DAILY PLAN_REV17 (3) key 16_Key 11 AP_Apr 2010_CO-Wide_May 12 2010" xfId="1003"/>
    <cellStyle name="_revised_PMI_July  Aug   DAILY PLAN_REV17 (3) key 16_Key 11 AP_April 2009_Co-Wide_090513" xfId="1004"/>
    <cellStyle name="_revised_PMI_July  Aug   DAILY PLAN_REV17 (3) key 16_Key 11 AP_April 2009_Co-Wide_090513_FORMAT" xfId="1005"/>
    <cellStyle name="_revised_PMI_July  Aug   DAILY PLAN_REV17 (3) key 16_Key 11 AP_Jan 2009_Co-Wide_090210" xfId="1006"/>
    <cellStyle name="_revised_PMI_July  Aug   DAILY PLAN_REV17 (3) key 16_Key 11 AP_Jul 2009_Co-Wide_090810" xfId="1007"/>
    <cellStyle name="_revised_PMI_July  Aug   DAILY PLAN_REV17 (3) key 16_Key 11 AP_Jun 2009_Co-Wide_090707" xfId="1008"/>
    <cellStyle name="_revised_PMI_July  Aug   DAILY PLAN_REV17 (3) key 16_Key 11 AP_March 2009_Co-Wide_090416" xfId="1009"/>
    <cellStyle name="_revised_PMI_July  Aug   DAILY PLAN_REV17 (3) key 16_Key 11 AP_March 2009_Co-Wide_090417" xfId="1010"/>
    <cellStyle name="_revised_PMI_July  Aug   DAILY PLAN_REV17 (3) key 16_Key 11 AP_May 2009_Co-Wide_090617" xfId="1011"/>
    <cellStyle name="_revised_PMI_July  Aug   DAILY PLAN_REV17 (3) key 16_Key 11 AP_Nov 2008_081205" xfId="1012"/>
    <cellStyle name="_revised_PMI_July  Aug   DAILY PLAN_REV17 (3) key 16_Key 11 AP_Nov 2009_CO-Wide_091214" xfId="1013"/>
    <cellStyle name="_revised_PMI_July  Aug   DAILY PLAN_REV17 (3) key 16_Key 11 AP_Oct 2008_081105" xfId="1014"/>
    <cellStyle name="_revised_PMI_July  Aug   DAILY PLAN_REV17 (3) key 16_Key 11 AP_Oct 2009_CO-Wide_091109" xfId="1015"/>
    <cellStyle name="_revised_PMI_July  Aug   DAILY PLAN_REV17 (3) key 16_Key 11_AP_080524" xfId="1016"/>
    <cellStyle name="_revised_PMI_July  Aug   DAILY PLAN_REV17 (3) key 16_Key 11_AP_080613" xfId="1017"/>
    <cellStyle name="_revised_PMI_July  Aug   DAILY PLAN_REV17 (3) key 16_Key 11_AP_080613 (2)" xfId="1018"/>
    <cellStyle name="_revised_PMI_July  Aug   DAILY PLAN_REV17 (3) key 16_Key 11_AP_080712" xfId="1019"/>
    <cellStyle name="_revised_PMI_July  Aug   DAILY PLAN_REV17 (3) key 16_Key 11~ 20 AP Report" xfId="1020"/>
    <cellStyle name="_revised_PMI_July  Aug   DAILY PLAN_REV17 (3) key 16_Key 11~ 20 AP Report (2)" xfId="1021"/>
    <cellStyle name="_revised_PMI_July  Aug   DAILY PLAN_REV17 (3) key 16_Key 11~ 20 AP Report 01" xfId="1022"/>
    <cellStyle name="_revised_PMI_July  Aug   DAILY PLAN_REV17 (3) key 16_Key 11~ 20 AP Report-Jan'10 (version 1)" xfId="1023"/>
    <cellStyle name="_revised_PMI_July  Aug   DAILY PLAN_REV17 (3) key 16_Key 11~20 AP report" xfId="1024"/>
    <cellStyle name="_revised_PMI_July  Aug   DAILY PLAN_REV17 (3) key 16_Key 12 Action Plan May 2009" xfId="1025"/>
    <cellStyle name="_revised_PMI_July  Aug   DAILY PLAN_REV17 (3) key 16_Key 14 Action Plan (2008)" xfId="1026"/>
    <cellStyle name="_revised_PMI_July  Aug   DAILY PLAN_REV17 (3) key 16_Key 14 Action Plan (2008) rev 02" xfId="1027"/>
    <cellStyle name="_revised_PMI_July  Aug   DAILY PLAN_REV17 (3) key 16_Key 15 Training Sched" xfId="1028"/>
    <cellStyle name="_revised_PMI_July  Aug   DAILY PLAN_REV17 (3) key 16_Key 16 - April2010" xfId="1029"/>
    <cellStyle name="_revised_PMI_July  Aug   DAILY PLAN_REV17 (3) key 16_Key 16 - October update" xfId="1030"/>
    <cellStyle name="_revised_PMI_July  Aug   DAILY PLAN_REV17 (3) key 16_key 16 action plan per division_2008 Sept 08 performance" xfId="1031"/>
    <cellStyle name="_revised_PMI_July  Aug   DAILY PLAN_REV17 (3) key 16_key 16 action plan per division_2009 04 April performance" xfId="1032"/>
    <cellStyle name="_revised_PMI_July  Aug   DAILY PLAN_REV17 (3) key 16_key 16 action plan per division_2009 08 August performance" xfId="1033"/>
    <cellStyle name="_revised_PMI_July  Aug   DAILY PLAN_REV17 (3) key 16_key 16 action plan per division_2009.04 April performance" xfId="1034"/>
    <cellStyle name="_revised_PMI_July  Aug   DAILY PLAN_REV17 (3) key 16_key 16 action plan per division_2009.09 September performance" xfId="1035"/>
    <cellStyle name="_revised_PMI_July  Aug   DAILY PLAN_REV17 (3) key 16_key 16 action plan_2010.05.01 Apr performance" xfId="1036"/>
    <cellStyle name="_revised_PMI_July  Aug   DAILY PLAN_REV17 (3) key 16_Key 17 Action Plan - Company wide" xfId="1037"/>
    <cellStyle name="_revised_PMI_July  Aug   DAILY PLAN_REV17 (3) key 16_Key 17 Action Plan - Company wide1" xfId="1038"/>
    <cellStyle name="_revised_PMI_July  Aug   DAILY PLAN_REV17 (3) key 16_Key 2" xfId="1039"/>
    <cellStyle name="_revised_PMI_July  Aug   DAILY PLAN_REV17 (3) key 16_Key 2      " xfId="1040"/>
    <cellStyle name="_revised_PMI_July  Aug   DAILY PLAN_REV17 (3) key 16_Key 2 Action Plan Per Division Apr08" xfId="1041"/>
    <cellStyle name="_revised_PMI_July  Aug   DAILY PLAN_REV17 (3) key 16_Key 20 AP" xfId="1042"/>
    <cellStyle name="_revised_PMI_July  Aug   DAILY PLAN_REV17 (3) key 16_Key 20 AP -Company Wide May08 Update" xfId="1043"/>
    <cellStyle name="_revised_PMI_July  Aug   DAILY PLAN_REV17 (3) key 16_Key 20 AP -New" xfId="1044"/>
    <cellStyle name="_revised_PMI_July  Aug   DAILY PLAN_REV17 (3) key 16_Key 20 AP -New (2)" xfId="1045"/>
    <cellStyle name="_revised_PMI_July  Aug   DAILY PLAN_REV17 (3) key 16_Key 20 AP Report" xfId="1046"/>
    <cellStyle name="_revised_PMI_July  Aug   DAILY PLAN_REV17 (3) key 16_Key 20 Checksheet" xfId="1047"/>
    <cellStyle name="_revised_PMI_July  Aug   DAILY PLAN_REV17 (3) key 16_key 4" xfId="1048"/>
    <cellStyle name="_revised_PMI_July  Aug   DAILY PLAN_REV17 (3) key 16_Key 8" xfId="1049"/>
    <cellStyle name="_revised_PMI_July  Aug   DAILY PLAN_REV17 (3) key 16_Key10" xfId="1050"/>
    <cellStyle name="_revised_PMI_July  Aug   DAILY PLAN_REV17 (3) key 16_Key10 Checksheet" xfId="1051"/>
    <cellStyle name="_revised_PMI_July  Aug   DAILY PLAN_REV17 (3) key 16_Key12" xfId="1052"/>
    <cellStyle name="_revised_PMI_July  Aug   DAILY PLAN_REV17 (3) key 16_Key12 Action Plan" xfId="1053"/>
    <cellStyle name="_revised_PMI_July  Aug   DAILY PLAN_REV17 (3) key 16_Key13" xfId="1054"/>
    <cellStyle name="_revised_PMI_July  Aug   DAILY PLAN_REV17 (3) key 16_Key14" xfId="1055"/>
    <cellStyle name="_revised_PMI_July  Aug   DAILY PLAN_REV17 (3) key 16_Key16" xfId="1056"/>
    <cellStyle name="_revised_PMI_July  Aug   DAILY PLAN_REV17 (3) key 16_Key17" xfId="1057"/>
    <cellStyle name="_revised_PMI_July  Aug   DAILY PLAN_REV17 (3) key 16_Key20" xfId="1058"/>
    <cellStyle name="_revised_PMI_July  Aug   DAILY PLAN_REV17 (3) key 16_Key3" xfId="1059"/>
    <cellStyle name="_revised_PMI_July  Aug   DAILY PLAN_REV17 (3) key 16_Key4" xfId="1060"/>
    <cellStyle name="_revised_PMI_July  Aug   DAILY PLAN_REV17 (3) key 16_Key6" xfId="1061"/>
    <cellStyle name="_revised_PMI_July  Aug   DAILY PLAN_REV17 (3) key 16_Key7" xfId="1062"/>
    <cellStyle name="_revised_PMI_July  Aug   DAILY PLAN_REV17 (3) key 16_Key9" xfId="1063"/>
    <cellStyle name="_revised_PMI_July  Aug   DAILY PLAN_REV17 (3) key 16_May '08  YFLEX-AP Report" xfId="1064"/>
    <cellStyle name="_revised_PMI_July  Aug   DAILY PLAN_REV17 (3) key 16_May '08  YFLEX-AP Report-02" xfId="1065"/>
    <cellStyle name="_revised_PMI_July  Aug   DAILY PLAN_REV17 (3) key 16_May '08 Key 9 Report (2)" xfId="1066"/>
    <cellStyle name="_revised_PMI_July  Aug   DAILY PLAN_REV17 (3) key 16_Sept YFLEX-AP" xfId="1067"/>
    <cellStyle name="_revised_PMI_July  Aug   DAILY PLAN_REV17 (3) key 16_Tri-Color dec " xfId="1068"/>
    <cellStyle name="_revised_PMI_July  Aug   DAILY PLAN_REV17 (3) key 16_TS-Manufacturing Key 13 Apr 08 Update" xfId="1069"/>
    <cellStyle name="_revised_PMI_July  Aug   DAILY PLAN_REV17 (3) key 16_TS-Manufacturing Key 13 Apr 08 Update_YFlex Key 14 August '08 Update" xfId="1070"/>
    <cellStyle name="_revised_PMI_July  Aug   DAILY PLAN_REV17 (3) key 16_TS-Manufacturing Key 13 Dec 08 Update" xfId="1071"/>
    <cellStyle name="_revised_PMI_July  Aug   DAILY PLAN_REV17 (3) key 16_TS-Manufacturing Key 13 Dec 08 Update_YFlex Key 14 August '08 Update" xfId="1072"/>
    <cellStyle name="_revised_PMI_July  Aug   DAILY PLAN_REV17 (3) key 16_TS-Manufacturing Key 13 Mar '09 data" xfId="1073"/>
    <cellStyle name="_revised_PMI_July  Aug   DAILY PLAN_REV17 (3) key 16_TS-Mfg  Key15 April 2010 Update" xfId="1074"/>
    <cellStyle name="_revised_PMI_July  Aug   DAILY PLAN_REV17 (3) key 16_YFLEX  Summary key 11-20" xfId="1075"/>
    <cellStyle name="_revised_PMI_July  Aug   DAILY PLAN_REV17 (3) key 16_YFLEX Innovation-FY 10" xfId="1076"/>
    <cellStyle name="_revised_PMI_July  Aug   DAILY PLAN_REV17 (3) key 16_YFLEX Key 1 '08 Update" xfId="1077"/>
    <cellStyle name="_revised_PMI_July  Aug   DAILY PLAN_REV17 (3) key 16_YFLEX Key 1 October  '08 Update" xfId="1078"/>
    <cellStyle name="_revised_PMI_July  Aug   DAILY PLAN_REV17 (3) key 16_YFLEX Key 1 September '08 Update" xfId="1079"/>
    <cellStyle name="_revised_PMI_July  Aug   DAILY PLAN_REV17 (3) key 16_YFLEX Key 14 - Apr '09 Update" xfId="1080"/>
    <cellStyle name="_revised_PMI_July  Aug   DAILY PLAN_REV17 (3) key 16_YFlex Key 14 '08" xfId="1081"/>
    <cellStyle name="_revised_PMI_July  Aug   DAILY PLAN_REV17 (3) key 16_YFlex Key 14 August '08 Update" xfId="1082"/>
    <cellStyle name="_revised_PMI_July  Aug   DAILY PLAN_REV17 (3) key 16_YFlex Key 14 July '08 Update" xfId="1083"/>
    <cellStyle name="_revised_PMI_July  Aug   DAILY PLAN_REV17 (3) key 16_YFlex Key 14 May '08 Update" xfId="1084"/>
    <cellStyle name="_revised_PMI_July  Aug   DAILY PLAN_REV17 (3) key 16_YFlex Key 14 October '08 Update" xfId="1085"/>
    <cellStyle name="_revised_PMI_July  Aug   DAILY PLAN_REV17 (3) key 16_YFlex Key 14 September '08 Update" xfId="1086"/>
    <cellStyle name="_revised_PMI_July  Aug   DAILY PLAN_REV17 (3) key 16_YFLEX Key 20 AP -FY2008" xfId="1087"/>
    <cellStyle name="_revised_PMI_July  Aug   DAILY PLAN_REV17 (3) key 16_YFLEX Key 20 AP -FY2008 (2)" xfId="1088"/>
    <cellStyle name="_revised_PMI_July  Aug   DAILY PLAN_REV17 (3) key 16_YFLEX Key 3" xfId="1089"/>
    <cellStyle name="_revised_PMI_July  Aug   DAILY PLAN_REV17 (3) key 16_YFLEX Key 9 April '09 Progress Report" xfId="1090"/>
    <cellStyle name="_revised_PMI_July  Aug   DAILY PLAN_REV17 (3) key 16_YFLEX Summary key 1-20" xfId="1091"/>
    <cellStyle name="_revised_PMI_July  Aug   DAILY PLAN_REV17 (3) key 16_YFLEX-AP Report Key 1~12" xfId="1092"/>
    <cellStyle name="_revised_PMI_July  Aug   DAILY PLAN_REV17 (3) key 16_YFLEX-AP Report Key 1~12 (version 1)" xfId="1093"/>
    <cellStyle name="_revised_PMI_July  Aug   DAILY PLAN_REV17 (3) key 16_YFLEX-AP Report Key 1~12-01" xfId="1094"/>
    <cellStyle name="_revised_PMI_July  Aug   DAILY PLAN_REV17 (3) key 16_YFLEX-AP Report Key 9~10" xfId="1095"/>
    <cellStyle name="_revised_PMI_July  Aug   DAILY PLAN_REV17 (3) key 16_YFLEX-AP Report Key1~17" xfId="1096"/>
    <cellStyle name="_revised_PMI_July  Aug   DAILY PLAN_REV17 (3) key 16_YFLEX-AP Report Key10~12" xfId="1097"/>
    <cellStyle name="_revised_PMI_July  Aug   DAILY PLAN_REV17 (3) key 16_YFLEX-AP Report Key11~20" xfId="1098"/>
    <cellStyle name="_revised_PMI_July  Aug   DAILY PLAN_REV17 (3) key 16_YFLEX-AP Report Key15~17" xfId="1099"/>
    <cellStyle name="_revised_PMI_July  Aug   DAILY PLAN_REV17 (3) key 16_YFLEX-AP Report Key16" xfId="1100"/>
    <cellStyle name="_revised_PMI_July  Aug   DAILY PLAN_REV17 (3) key 16_YFLEX-AP Report Key18~20" xfId="1101"/>
    <cellStyle name="_revised_PMI_July  Aug   DAILY PLAN_REV17 (3) key 16_YFLEX-AP Report Key2" xfId="1102"/>
    <cellStyle name="_revised_PMI_July  Aug   DAILY PLAN_REV17 (3) key 16_YFLEX-AP Report Key3~4" xfId="1103"/>
    <cellStyle name="_revised_PMI_July  Aug   DAILY PLAN_REV17 (3) key 16_YFLEX-AP Report Key4~6" xfId="1104"/>
    <cellStyle name="_revised_PMI_July  Aug   DAILY PLAN_REV17 (3) key 16_YFLEX-AP Report Key5~6" xfId="1105"/>
    <cellStyle name="_revised_PMI_July  Aug   DAILY PLAN_REV17 (3) key 16_YFLEX-AP Report Key7~9" xfId="1106"/>
    <cellStyle name="_SMT Monitoring_as of 09-19-06" xfId="1107"/>
    <cellStyle name="_SMT Monitoring_as of 09-19-06_2008 09_Key16 Report_Sept 2008" xfId="1108"/>
    <cellStyle name="_SMT Monitoring_as of 09-19-06_2008 09_Key16 Report_Sept 2008_Book2 (6)" xfId="1109"/>
    <cellStyle name="_SMT Monitoring_as of 09-19-06_2008 09_Key16 Report_Sept 2008_Key 11~ 20 AP Report-Ap'10" xfId="1110"/>
    <cellStyle name="_SMT Monitoring_as of 09-19-06_2008 09_Key16 Report_Sept 2008_YFLEX Innovation-FY 10" xfId="1111"/>
    <cellStyle name="_SMT Monitoring_as of 09-19-06_2008.09_Shipment performance monitoring Sept 2008" xfId="1112"/>
    <cellStyle name="_SMT Monitoring_as of 09-19-06_2008.09_Shipment performance monitoring Sept 2008_Book2 (6)" xfId="1113"/>
    <cellStyle name="_SMT Monitoring_as of 09-19-06_2008.09_Shipment performance monitoring Sept 2008_Key 11~ 20 AP Report-Ap'10" xfId="1114"/>
    <cellStyle name="_SMT Monitoring_as of 09-19-06_2008.09_Shipment performance monitoring Sept 2008_YFLEX Innovation-FY 10" xfId="1115"/>
    <cellStyle name="_SMT Monitoring_as of 09-19-06_2008.10_Key16 Report_Oct 2008" xfId="1116"/>
    <cellStyle name="_SMT Monitoring_as of 09-19-06_2008.10_Key16 Report_Oct 2008_Book2 (6)" xfId="1117"/>
    <cellStyle name="_SMT Monitoring_as of 09-19-06_2008.10_Key16 Report_Oct 2008_Key 11~ 20 AP Report-Ap'10" xfId="1118"/>
    <cellStyle name="_SMT Monitoring_as of 09-19-06_2008.10_Key16 Report_Oct 2008_YFLEX Innovation-FY 10" xfId="1119"/>
    <cellStyle name="_SMT Monitoring_as of 09-19-06_2008.10_Shipment performance monitoring Oct 2008" xfId="1120"/>
    <cellStyle name="_SMT Monitoring_as of 09-19-06_2008.10_Shipment performance monitoring Oct 2008_Book2 (6)" xfId="1121"/>
    <cellStyle name="_SMT Monitoring_as of 09-19-06_2008.10_Shipment performance monitoring Oct 2008_Key 11~ 20 AP Report-Ap'10" xfId="1122"/>
    <cellStyle name="_SMT Monitoring_as of 09-19-06_2008.10_Shipment performance monitoring Oct 2008_YFLEX Innovation-FY 10" xfId="1123"/>
    <cellStyle name="_SMT Monitoring_as of 09-19-06_2008.11_Shipment performance monitoring Nov 2008" xfId="1124"/>
    <cellStyle name="_SMT Monitoring_as of 09-19-06_2008.11_Shipment performance monitoring Nov 2008_Book2 (6)" xfId="1125"/>
    <cellStyle name="_SMT Monitoring_as of 09-19-06_2008.11_Shipment performance monitoring Nov 2008_Key 11~ 20 AP Report-Ap'10" xfId="1126"/>
    <cellStyle name="_SMT Monitoring_as of 09-19-06_2008.11_Shipment performance monitoring Nov 2008_YFLEX Innovation-FY 10" xfId="1127"/>
    <cellStyle name="_SMT Monitoring_as of 09-19-06_2008.12_Shipment performance monitoring Dec 2008" xfId="1128"/>
    <cellStyle name="_SMT Monitoring_as of 09-19-06_2008.12_Shipment performance monitoring Dec 2008_Book2 (6)" xfId="1129"/>
    <cellStyle name="_SMT Monitoring_as of 09-19-06_2008.12_Shipment performance monitoring Dec 2008_Key 11~ 20 AP Report-Ap'10" xfId="1130"/>
    <cellStyle name="_SMT Monitoring_as of 09-19-06_2008.12_Shipment performance monitoring Dec 2008_YFLEX Innovation-FY 10" xfId="1131"/>
    <cellStyle name="_SMT Monitoring_as of 09-19-06_2009.01_Shipment performance monitoring Jan 2009" xfId="1132"/>
    <cellStyle name="_SMT Monitoring_as of 09-19-06_2009.01_Shipment performance monitoring Jan 2009_Book2 (6)" xfId="1133"/>
    <cellStyle name="_SMT Monitoring_as of 09-19-06_2009.01_Shipment performance monitoring Jan 2009_Key 11~ 20 AP Report-Ap'10" xfId="1134"/>
    <cellStyle name="_SMT Monitoring_as of 09-19-06_2009.01_Shipment performance monitoring Jan 2009_YFLEX Innovation-FY 10" xfId="1135"/>
    <cellStyle name="_SMT Monitoring_as of 09-19-06_2009.02_Shipment performance monitoring Feb 2009" xfId="1136"/>
    <cellStyle name="_SMT Monitoring_as of 09-19-06_2009.02_Shipment performance monitoring Feb 2009 2" xfId="1137"/>
    <cellStyle name="_SMT Monitoring_as of 09-19-06_2009.02_Shipment performance monitoring Feb 2009_Book2 (6)" xfId="1138"/>
    <cellStyle name="_SMT Monitoring_as of 09-19-06_2009.02_Shipment performance monitoring Feb 2009_Key 11~ 20 AP Report-Ap'10" xfId="1139"/>
    <cellStyle name="_SMT Monitoring_as of 09-19-06_2009.03_Shipment performance monitoring Mar 2009" xfId="1140"/>
    <cellStyle name="_SMT Monitoring_as of 09-19-06_2009.03_Shipment performance monitoring Mar 2009 2" xfId="1141"/>
    <cellStyle name="_SMT Monitoring_as of 09-19-06_2009.03_Shipment performance monitoring Mar 2009_Book2 (6)" xfId="1142"/>
    <cellStyle name="_SMT Monitoring_as of 09-19-06_2009.03_Shipment performance monitoring Mar 2009_Key 11~ 20 AP Report-Ap'10" xfId="1143"/>
    <cellStyle name="_SMT Monitoring_as of 09-19-06_2009.04_Shipment performance monitoring Apr 2009" xfId="1144"/>
    <cellStyle name="_SMT Monitoring_as of 09-19-06_2009.04_Shipment performance monitoring Apr 2009 2" xfId="1145"/>
    <cellStyle name="_SMT Monitoring_as of 09-19-06_2009.04_Shipment performance monitoring Apr 2009_Book2 (6)" xfId="1146"/>
    <cellStyle name="_SMT Monitoring_as of 09-19-06_2009.04_Shipment performance monitoring Apr 2009_Key 11~ 20 AP Report-Ap'10" xfId="1147"/>
    <cellStyle name="_SMT Monitoring_as of 09-19-06_2009.08_Shipment performance monitoring Aug 2009" xfId="1148"/>
    <cellStyle name="_SMT Monitoring_as of 09-19-06_2009.08_Shipment performance monitoring Aug 2009 2" xfId="1149"/>
    <cellStyle name="_SMT Monitoring_as of 09-19-06_2009.08_Shipment performance monitoring Aug 2009_Book2 (6)" xfId="1150"/>
    <cellStyle name="_SMT Monitoring_as of 09-19-06_2009.08_Shipment performance monitoring Aug 2009_Key 11~ 20 AP Report-Ap'10" xfId="1151"/>
    <cellStyle name="_SMT Monitoring_as of 09-19-06_2009.10_Shipment performance monitoring Oct 2009" xfId="1152"/>
    <cellStyle name="_SMT Monitoring_as of 09-19-06_2009.10_Shipment performance monitoring Oct 2009 2" xfId="1153"/>
    <cellStyle name="_SMT Monitoring_as of 09-19-06_2009.10_Shipment performance monitoring Oct 2009_Book2 (6)" xfId="1154"/>
    <cellStyle name="_SMT Monitoring_as of 09-19-06_2009.11_Shipment performance monitoring Nov 2009" xfId="1155"/>
    <cellStyle name="_SMT Monitoring_as of 09-19-06_2009.11_Shipment performance monitoring Nov 2009 2" xfId="1156"/>
    <cellStyle name="_SMT Monitoring_as of 09-19-06_2009.11_Shipment performance monitoring Nov 2009_Book2 (6)" xfId="1157"/>
    <cellStyle name="_SMT Monitoring_as of 09-19-06_2009.12_Key16 Report_Dec 2009" xfId="1158"/>
    <cellStyle name="_SMT Monitoring_as of 09-19-06_2009.12_Key16 Report_Dec 2009 2" xfId="1159"/>
    <cellStyle name="_SMT Monitoring_as of 09-19-06_2009.12_Key16 Report_Dec 2009_Book2 (6)" xfId="1160"/>
    <cellStyle name="_SMT Monitoring_as of 09-19-06_2010.04_Key16 Report_Apr 2010" xfId="1161"/>
    <cellStyle name="_SMT Monitoring_as of 09-19-06_2010.04_Key16 Report_Apr 2010 2" xfId="1162"/>
    <cellStyle name="_SMT Monitoring_as of 09-19-06_2EMS key 11-20 AP Aug08" xfId="1163"/>
    <cellStyle name="_SMT Monitoring_as of 09-19-06_2EMS key 11-20 AP Aug08 2" xfId="1164"/>
    <cellStyle name="_SMT Monitoring_as of 09-19-06_2EMS key 11-20 AP Aug08_Key 11~ 20 AP Report-Ap'10" xfId="1165"/>
    <cellStyle name="_SMT Monitoring_as of 09-19-06_Company Wide Key 12 Action plan April 2010 for FY2010 refined" xfId="1166"/>
    <cellStyle name="_SMT Monitoring_as of 09-19-06_EMS 3 Item Kit FY09 for presentation 1" xfId="1167"/>
    <cellStyle name="_SMT Monitoring_as of 09-19-06_EMS 3 Item Kit FY2010" xfId="1168"/>
    <cellStyle name="_SMT Monitoring_as of 09-19-06_EMS 3 Item Kit FY2010 2" xfId="1169"/>
    <cellStyle name="_SMT Monitoring_as of 09-19-06_EMS Key 16 AP -Oct08" xfId="1170"/>
    <cellStyle name="_SMT Monitoring_as of 09-19-06_EMS Key 16 AP -Oct08_Book2 (6)" xfId="1171"/>
    <cellStyle name="_SMT Monitoring_as of 09-19-06_EMS Key 16 AP -Oct08_Key 11~ 20 AP Report-Ap'10" xfId="1172"/>
    <cellStyle name="_SMT Monitoring_as of 09-19-06_EMS Key 16 AP -Oct08_YFLEX Innovation-FY 10" xfId="1173"/>
    <cellStyle name="_SMT Monitoring_as of 09-19-06_EMS Key 20 AP -Apr09 oks" xfId="1174"/>
    <cellStyle name="_SMT Monitoring_as of 09-19-06_EMS Key 20 AP Apr10 oks" xfId="1175"/>
    <cellStyle name="_SMT Monitoring_as of 09-19-06_EMS Key 20 AP -Aug09 oks" xfId="1176"/>
    <cellStyle name="_SMT Monitoring_as of 09-19-06_EMS Key 20 AP Feb10 oks" xfId="1177"/>
    <cellStyle name="_SMT Monitoring_as of 09-19-06_EMS Key 20 AP Jan10 oks" xfId="1178"/>
    <cellStyle name="_SMT Monitoring_as of 09-19-06_EMS Key 20 AP -Jul09 oks" xfId="1179"/>
    <cellStyle name="_SMT Monitoring_as of 09-19-06_EMS Key 20 AP Nov09" xfId="1180"/>
    <cellStyle name="_SMT Monitoring_as of 09-19-06_EMS Key 20 AP Oct09 oks" xfId="1181"/>
    <cellStyle name="_SMT Monitoring_as of 09-19-06_EMS Key 20 AP -Sep09 oks" xfId="1182"/>
    <cellStyle name="_SMT Monitoring_as of 09-19-06_EMS-TOTAL (PWA-APP) COST ANALYSIS (FY2008)" xfId="1183"/>
    <cellStyle name="_SMT Monitoring_as of 09-19-06_Key 16" xfId="1184"/>
    <cellStyle name="_SMT Monitoring_as of 09-19-06_Key 16 2" xfId="1185"/>
    <cellStyle name="_SMT Monitoring_as of 09-19-06_key 16 action plan per division_2008 Aug 08 performance" xfId="1186"/>
    <cellStyle name="_SMT Monitoring_as of 09-19-06_key 16 action plan per division_2008 Aug 08 performance_Book2 (6)" xfId="1187"/>
    <cellStyle name="_SMT Monitoring_as of 09-19-06_key 16 action plan per division_2008 Aug 08 performance_Key 11~ 20 AP Report-Ap'10" xfId="1188"/>
    <cellStyle name="_SMT Monitoring_as of 09-19-06_key 16 action plan per division_2008 Aug 08 performance_YFLEX Innovation-FY 10" xfId="1189"/>
    <cellStyle name="_SMT Monitoring_as of 09-19-06_key 16 action plan per division_2008 Dec 08 performance" xfId="1190"/>
    <cellStyle name="_SMT Monitoring_as of 09-19-06_key 16 action plan per division_2009 12 December performance" xfId="1191"/>
    <cellStyle name="_SMT Monitoring_as of 09-19-06_key 16 action plan per division_2010 01 January performance" xfId="1192"/>
    <cellStyle name="_SMT Monitoring_as of 09-19-06_key 16 action plan per division_2010 04 06 Mar performance" xfId="1193"/>
    <cellStyle name="_SMT Monitoring_as of 09-19-06_key 16 action plan_2010.05.01 Apr performance NPS" xfId="1194"/>
    <cellStyle name="_SMT Monitoring_as of 09-19-06_Key 18" xfId="1195"/>
    <cellStyle name="_SMT Monitoring_as of 09-19-06_Key 18 2" xfId="1196"/>
    <cellStyle name="_SMT Monitoring_as of 09-19-06_Key 20" xfId="1197"/>
    <cellStyle name="_SMT Monitoring_as of 09-19-06_Key11 -  20 " xfId="1198"/>
    <cellStyle name="_SMT Monitoring_as of 09-19-06_Molding" xfId="1199"/>
    <cellStyle name="_SQCO  PASSED  HISTORY" xfId="1200"/>
    <cellStyle name="_SQCO  PASSED  HISTORY 2" xfId="1201"/>
    <cellStyle name="_SQCO  PASSED  HISTORY 3" xfId="1202"/>
    <cellStyle name="_TS-MD Shipment Performance for Aug  2009" xfId="1203"/>
    <cellStyle name="_TS-MD Shipment Performance for Aug  2009_Company Wide Key 12 Action plan October 2009" xfId="1204"/>
    <cellStyle name="_TS-MD Shipment Performance for Aug  2009_Company Wide Key 12 Action plan October 2009 with adjustment and simulation" xfId="1205"/>
    <cellStyle name="_TS-MD Shipment Performance for Aug  2009_Company Wide Key 12 Action plan October 2009_Company Wide Key 12 Action plan revised tricolor final-2009" xfId="1206"/>
    <cellStyle name="_TS-MD Shipment Performance for Aug  2009_Company Wide Key 12 Action plan October 2009_Company Wide Key 12 Action plan revised tricolor final-2009 (2)" xfId="1207"/>
    <cellStyle name="_TS-MD Shipment Performance for Aug  2009_Company Wide Key 12 Action plan October 2009_Company Wide Key 12 Action plan revised tricolor final-2009-2010" xfId="1208"/>
    <cellStyle name="_TS-MD Shipment Performance for Aug  2009_Company Wide Key 12 Action plan October 2009_EMSD Key12 Action Plan (April 2010)" xfId="1209"/>
    <cellStyle name="_TS-MD Shipment Performance for Aug  2009_Company Wide Key 12 Action plan October 2009_TS-Manufacturing Key12 Action Plan (April 2010)" xfId="1210"/>
    <cellStyle name="_TS-MD Shipment Performance for Aug  2009_Company Wide Key 12 Action plan revised tricolor final-2009" xfId="1211"/>
    <cellStyle name="_TS-MD Shipment Performance for Aug  2009_Company Wide Key 12 Action plan revised tricolor final-2009 (2)" xfId="1212"/>
    <cellStyle name="_TS-MD Shipment Performance for Aug  2009_Company Wide Key 12 Action plan revised tricolor final-2009-2010" xfId="1213"/>
    <cellStyle name="_TS-MD Shipment Performance for Aug  2009_EMSD Key12 Action Plan (April 2010)" xfId="1214"/>
    <cellStyle name="_TS-MD Shipment Performance for Aug  2009_TS-Manufacturing Key12 Action Plan (April 2010)" xfId="1215"/>
    <cellStyle name="_TS-MD Shipment Performance for Dec  2009-1" xfId="1216"/>
    <cellStyle name="_TS-MD Shipment Performance for FEB  2010-1" xfId="1217"/>
    <cellStyle name="_TS-MD Shipment Performance for JAN  2010-1" xfId="1218"/>
    <cellStyle name="_TS-MD Shipment Performance for July 2009-2 (3)" xfId="1219"/>
    <cellStyle name="_TS-MD Shipment Performance for July 2009-2 (3)_Company Wide Key 12 Action plan October 2009" xfId="1220"/>
    <cellStyle name="_TS-MD Shipment Performance for July 2009-2 (3)_Company Wide Key 12 Action plan October 2009 with adjustment and simulation" xfId="1221"/>
    <cellStyle name="_TS-MD Shipment Performance for July 2009-2 (3)_Company Wide Key 12 Action plan October 2009_Company Wide Key 12 Action plan revised tricolor final-2009" xfId="1222"/>
    <cellStyle name="_TS-MD Shipment Performance for July 2009-2 (3)_Company Wide Key 12 Action plan October 2009_Company Wide Key 12 Action plan revised tricolor final-2009 (2)" xfId="1223"/>
    <cellStyle name="_TS-MD Shipment Performance for July 2009-2 (3)_Company Wide Key 12 Action plan October 2009_Company Wide Key 12 Action plan revised tricolor final-2009-2010" xfId="1224"/>
    <cellStyle name="_TS-MD Shipment Performance for July 2009-2 (3)_Company Wide Key 12 Action plan October 2009_EMSD Key12 Action Plan (April 2010)" xfId="1225"/>
    <cellStyle name="_TS-MD Shipment Performance for July 2009-2 (3)_Company Wide Key 12 Action plan October 2009_TS-Manufacturing Key12 Action Plan (April 2010)" xfId="1226"/>
    <cellStyle name="_TS-MD Shipment Performance for July 2009-2 (3)_Company Wide Key 12 Action plan revised tricolor final-2009" xfId="1227"/>
    <cellStyle name="_TS-MD Shipment Performance for July 2009-2 (3)_Company Wide Key 12 Action plan revised tricolor final-2009 (2)" xfId="1228"/>
    <cellStyle name="_TS-MD Shipment Performance for July 2009-2 (3)_Company Wide Key 12 Action plan revised tricolor final-2009-2010" xfId="1229"/>
    <cellStyle name="_TS-MD Shipment Performance for July 2009-2 (3)_EMSD Key12 Action Plan (April 2010)" xfId="1230"/>
    <cellStyle name="_TS-MD Shipment Performance for July 2009-2 (3)_TS-Manufacturing Key12 Action Plan (April 2010)" xfId="1231"/>
    <cellStyle name="_TS-MD Shipment Performance for March 2010-1" xfId="1232"/>
    <cellStyle name="_TS-MD Shipment Performance for Oct  2009" xfId="1233"/>
    <cellStyle name="_TS-MD Shipment Performance for Oct  2009_EMSD Key12 Action Plan (April 2010)" xfId="1234"/>
    <cellStyle name="_TS-MD Shipment Performance for Oct  2009_TS-Manufacturing Key12 Action Plan (April 2010)" xfId="1235"/>
    <cellStyle name="_WI 10 D1 02 086C" xfId="1236"/>
    <cellStyle name="_WI 10 D1 02 086C 2" xfId="1237"/>
    <cellStyle name="¤@¯ë_laroux" xfId="1238"/>
    <cellStyle name="¤d¤À¦ì[0]_laroux" xfId="1239"/>
    <cellStyle name="¤d¤À¦ì_laroux" xfId="1240"/>
    <cellStyle name="ÊÝ [0.00]_3Q7009" xfId="1241"/>
    <cellStyle name="ÊÝ_3Q7009" xfId="1242"/>
    <cellStyle name="W_3o-QMii¿VXej" xfId="1243"/>
    <cellStyle name="20% - Accent1 2" xfId="1244"/>
    <cellStyle name="20% - Accent1 2 2" xfId="1245"/>
    <cellStyle name="20% - Accent1 2 2 2" xfId="1246"/>
    <cellStyle name="20% - Accent1 2 2 3" xfId="1247"/>
    <cellStyle name="20% - Accent1 2 2 4" xfId="1248"/>
    <cellStyle name="20% - Accent1 2 3" xfId="1249"/>
    <cellStyle name="20% - Accent1 2 3 2" xfId="1250"/>
    <cellStyle name="20% - Accent1 2 3 3" xfId="1251"/>
    <cellStyle name="20% - Accent1 2 3 4" xfId="1252"/>
    <cellStyle name="20% - Accent1 2 4" xfId="1253"/>
    <cellStyle name="20% - Accent1 2 5" xfId="1254"/>
    <cellStyle name="20% - Accent1 2 6" xfId="1255"/>
    <cellStyle name="20% - Accent1 2 7" xfId="1256"/>
    <cellStyle name="20% - Accent1 3" xfId="1257"/>
    <cellStyle name="20% - Accent1 3 2" xfId="1258"/>
    <cellStyle name="20% - Accent1 3 2 2" xfId="1259"/>
    <cellStyle name="20% - Accent1 3 2 3" xfId="1260"/>
    <cellStyle name="20% - Accent1 3 2 4" xfId="1261"/>
    <cellStyle name="20% - Accent1 3 3" xfId="1262"/>
    <cellStyle name="20% - Accent1 3 3 2" xfId="1263"/>
    <cellStyle name="20% - Accent1 3 3 3" xfId="1264"/>
    <cellStyle name="20% - Accent1 3 3 4" xfId="1265"/>
    <cellStyle name="20% - Accent1 3 4" xfId="1266"/>
    <cellStyle name="20% - Accent1 3 4 2" xfId="1267"/>
    <cellStyle name="20% - Accent1 3 4 3" xfId="1268"/>
    <cellStyle name="20% - Accent1 3 5" xfId="1269"/>
    <cellStyle name="20% - Accent1 3 6" xfId="1270"/>
    <cellStyle name="20% - Accent1 4" xfId="1271"/>
    <cellStyle name="20% - Accent1 4 2" xfId="1272"/>
    <cellStyle name="20% - Accent1 4 2 2" xfId="1273"/>
    <cellStyle name="20% - Accent1 4 2 3" xfId="1274"/>
    <cellStyle name="20% - Accent1 4 2 4" xfId="1275"/>
    <cellStyle name="20% - Accent1 4 3" xfId="1276"/>
    <cellStyle name="20% - Accent1 4 3 2" xfId="1277"/>
    <cellStyle name="20% - Accent1 4 3 3" xfId="1278"/>
    <cellStyle name="20% - Accent1 4 3 4" xfId="1279"/>
    <cellStyle name="20% - Accent2 2" xfId="1280"/>
    <cellStyle name="20% - Accent2 2 2" xfId="1281"/>
    <cellStyle name="20% - Accent2 2 2 2" xfId="1282"/>
    <cellStyle name="20% - Accent2 2 2 3" xfId="1283"/>
    <cellStyle name="20% - Accent2 2 2 4" xfId="1284"/>
    <cellStyle name="20% - Accent2 2 3" xfId="1285"/>
    <cellStyle name="20% - Accent2 2 3 2" xfId="1286"/>
    <cellStyle name="20% - Accent2 2 3 3" xfId="1287"/>
    <cellStyle name="20% - Accent2 2 3 4" xfId="1288"/>
    <cellStyle name="20% - Accent2 2 4" xfId="1289"/>
    <cellStyle name="20% - Accent2 2 5" xfId="1290"/>
    <cellStyle name="20% - Accent2 2 6" xfId="1291"/>
    <cellStyle name="20% - Accent2 2 7" xfId="1292"/>
    <cellStyle name="20% - Accent2 3" xfId="1293"/>
    <cellStyle name="20% - Accent2 3 2" xfId="1294"/>
    <cellStyle name="20% - Accent2 3 2 2" xfId="1295"/>
    <cellStyle name="20% - Accent2 3 2 3" xfId="1296"/>
    <cellStyle name="20% - Accent2 3 2 4" xfId="1297"/>
    <cellStyle name="20% - Accent2 3 3" xfId="1298"/>
    <cellStyle name="20% - Accent2 3 3 2" xfId="1299"/>
    <cellStyle name="20% - Accent2 3 3 3" xfId="1300"/>
    <cellStyle name="20% - Accent2 3 3 4" xfId="1301"/>
    <cellStyle name="20% - Accent2 3 4" xfId="1302"/>
    <cellStyle name="20% - Accent2 3 4 2" xfId="1303"/>
    <cellStyle name="20% - Accent2 3 4 3" xfId="1304"/>
    <cellStyle name="20% - Accent2 3 5" xfId="1305"/>
    <cellStyle name="20% - Accent2 3 6" xfId="1306"/>
    <cellStyle name="20% - Accent2 4" xfId="1307"/>
    <cellStyle name="20% - Accent2 4 2" xfId="1308"/>
    <cellStyle name="20% - Accent2 4 2 2" xfId="1309"/>
    <cellStyle name="20% - Accent2 4 2 3" xfId="1310"/>
    <cellStyle name="20% - Accent2 4 2 4" xfId="1311"/>
    <cellStyle name="20% - Accent2 4 3" xfId="1312"/>
    <cellStyle name="20% - Accent2 4 3 2" xfId="1313"/>
    <cellStyle name="20% - Accent2 4 3 3" xfId="1314"/>
    <cellStyle name="20% - Accent2 4 3 4" xfId="1315"/>
    <cellStyle name="20% - Accent3 2" xfId="1316"/>
    <cellStyle name="20% - Accent3 2 2" xfId="1317"/>
    <cellStyle name="20% - Accent3 2 2 2" xfId="1318"/>
    <cellStyle name="20% - Accent3 2 2 3" xfId="1319"/>
    <cellStyle name="20% - Accent3 2 2 4" xfId="1320"/>
    <cellStyle name="20% - Accent3 2 3" xfId="1321"/>
    <cellStyle name="20% - Accent3 2 3 2" xfId="1322"/>
    <cellStyle name="20% - Accent3 2 3 3" xfId="1323"/>
    <cellStyle name="20% - Accent3 2 3 4" xfId="1324"/>
    <cellStyle name="20% - Accent3 2 4" xfId="1325"/>
    <cellStyle name="20% - Accent3 2 5" xfId="1326"/>
    <cellStyle name="20% - Accent3 2 6" xfId="1327"/>
    <cellStyle name="20% - Accent3 2 7" xfId="1328"/>
    <cellStyle name="20% - Accent3 3" xfId="1329"/>
    <cellStyle name="20% - Accent3 3 2" xfId="1330"/>
    <cellStyle name="20% - Accent3 3 2 2" xfId="1331"/>
    <cellStyle name="20% - Accent3 3 2 3" xfId="1332"/>
    <cellStyle name="20% - Accent3 3 2 4" xfId="1333"/>
    <cellStyle name="20% - Accent3 3 3" xfId="1334"/>
    <cellStyle name="20% - Accent3 3 3 2" xfId="1335"/>
    <cellStyle name="20% - Accent3 3 3 3" xfId="1336"/>
    <cellStyle name="20% - Accent3 3 3 4" xfId="1337"/>
    <cellStyle name="20% - Accent3 3 4" xfId="1338"/>
    <cellStyle name="20% - Accent3 3 4 2" xfId="1339"/>
    <cellStyle name="20% - Accent3 3 4 3" xfId="1340"/>
    <cellStyle name="20% - Accent3 3 5" xfId="1341"/>
    <cellStyle name="20% - Accent3 3 6" xfId="1342"/>
    <cellStyle name="20% - Accent3 4" xfId="1343"/>
    <cellStyle name="20% - Accent3 4 2" xfId="1344"/>
    <cellStyle name="20% - Accent3 4 2 2" xfId="1345"/>
    <cellStyle name="20% - Accent3 4 2 3" xfId="1346"/>
    <cellStyle name="20% - Accent3 4 2 4" xfId="1347"/>
    <cellStyle name="20% - Accent3 4 3" xfId="1348"/>
    <cellStyle name="20% - Accent3 4 3 2" xfId="1349"/>
    <cellStyle name="20% - Accent3 4 3 3" xfId="1350"/>
    <cellStyle name="20% - Accent3 4 3 4" xfId="1351"/>
    <cellStyle name="20% - Accent4 2" xfId="1352"/>
    <cellStyle name="20% - Accent4 2 2" xfId="1353"/>
    <cellStyle name="20% - Accent4 2 2 2" xfId="1354"/>
    <cellStyle name="20% - Accent4 2 2 3" xfId="1355"/>
    <cellStyle name="20% - Accent4 2 2 4" xfId="1356"/>
    <cellStyle name="20% - Accent4 2 3" xfId="1357"/>
    <cellStyle name="20% - Accent4 2 3 2" xfId="1358"/>
    <cellStyle name="20% - Accent4 2 3 3" xfId="1359"/>
    <cellStyle name="20% - Accent4 2 3 4" xfId="1360"/>
    <cellStyle name="20% - Accent4 2 4" xfId="1361"/>
    <cellStyle name="20% - Accent4 2 5" xfId="1362"/>
    <cellStyle name="20% - Accent4 2 6" xfId="1363"/>
    <cellStyle name="20% - Accent4 2 7" xfId="1364"/>
    <cellStyle name="20% - Accent4 3" xfId="1365"/>
    <cellStyle name="20% - Accent4 3 2" xfId="1366"/>
    <cellStyle name="20% - Accent4 3 2 2" xfId="1367"/>
    <cellStyle name="20% - Accent4 3 2 3" xfId="1368"/>
    <cellStyle name="20% - Accent4 3 2 4" xfId="1369"/>
    <cellStyle name="20% - Accent4 3 3" xfId="1370"/>
    <cellStyle name="20% - Accent4 3 3 2" xfId="1371"/>
    <cellStyle name="20% - Accent4 3 3 3" xfId="1372"/>
    <cellStyle name="20% - Accent4 3 3 4" xfId="1373"/>
    <cellStyle name="20% - Accent4 3 4" xfId="1374"/>
    <cellStyle name="20% - Accent4 3 4 2" xfId="1375"/>
    <cellStyle name="20% - Accent4 3 4 3" xfId="1376"/>
    <cellStyle name="20% - Accent4 3 5" xfId="1377"/>
    <cellStyle name="20% - Accent4 3 6" xfId="1378"/>
    <cellStyle name="20% - Accent4 4" xfId="1379"/>
    <cellStyle name="20% - Accent4 4 2" xfId="1380"/>
    <cellStyle name="20% - Accent4 4 2 2" xfId="1381"/>
    <cellStyle name="20% - Accent4 4 2 3" xfId="1382"/>
    <cellStyle name="20% - Accent4 4 2 4" xfId="1383"/>
    <cellStyle name="20% - Accent4 4 3" xfId="1384"/>
    <cellStyle name="20% - Accent4 4 3 2" xfId="1385"/>
    <cellStyle name="20% - Accent4 4 3 3" xfId="1386"/>
    <cellStyle name="20% - Accent4 4 3 4" xfId="1387"/>
    <cellStyle name="20% - Accent5 2" xfId="1388"/>
    <cellStyle name="20% - Accent5 2 2" xfId="1389"/>
    <cellStyle name="20% - Accent5 2 2 2" xfId="1390"/>
    <cellStyle name="20% - Accent5 2 2 3" xfId="1391"/>
    <cellStyle name="20% - Accent5 2 2 4" xfId="1392"/>
    <cellStyle name="20% - Accent5 2 3" xfId="1393"/>
    <cellStyle name="20% - Accent5 2 3 2" xfId="1394"/>
    <cellStyle name="20% - Accent5 2 3 3" xfId="1395"/>
    <cellStyle name="20% - Accent5 2 3 4" xfId="1396"/>
    <cellStyle name="20% - Accent5 2 4" xfId="1397"/>
    <cellStyle name="20% - Accent5 2 5" xfId="1398"/>
    <cellStyle name="20% - Accent5 2 6" xfId="1399"/>
    <cellStyle name="20% - Accent5 2 7" xfId="1400"/>
    <cellStyle name="20% - Accent5 3" xfId="1401"/>
    <cellStyle name="20% - Accent5 3 2" xfId="1402"/>
    <cellStyle name="20% - Accent5 3 2 2" xfId="1403"/>
    <cellStyle name="20% - Accent5 3 2 3" xfId="1404"/>
    <cellStyle name="20% - Accent5 3 2 4" xfId="1405"/>
    <cellStyle name="20% - Accent5 3 3" xfId="1406"/>
    <cellStyle name="20% - Accent5 3 3 2" xfId="1407"/>
    <cellStyle name="20% - Accent5 3 3 3" xfId="1408"/>
    <cellStyle name="20% - Accent5 3 3 4" xfId="1409"/>
    <cellStyle name="20% - Accent5 3 4" xfId="1410"/>
    <cellStyle name="20% - Accent5 3 4 2" xfId="1411"/>
    <cellStyle name="20% - Accent5 3 4 3" xfId="1412"/>
    <cellStyle name="20% - Accent5 3 5" xfId="1413"/>
    <cellStyle name="20% - Accent5 3 6" xfId="1414"/>
    <cellStyle name="20% - Accent5 4" xfId="1415"/>
    <cellStyle name="20% - Accent5 4 2" xfId="1416"/>
    <cellStyle name="20% - Accent5 4 2 2" xfId="1417"/>
    <cellStyle name="20% - Accent5 4 2 3" xfId="1418"/>
    <cellStyle name="20% - Accent5 4 2 4" xfId="1419"/>
    <cellStyle name="20% - Accent5 4 3" xfId="1420"/>
    <cellStyle name="20% - Accent5 4 3 2" xfId="1421"/>
    <cellStyle name="20% - Accent5 4 3 3" xfId="1422"/>
    <cellStyle name="20% - Accent5 4 3 4" xfId="1423"/>
    <cellStyle name="20% - Accent6 2" xfId="1424"/>
    <cellStyle name="20% - Accent6 2 2" xfId="1425"/>
    <cellStyle name="20% - Accent6 2 2 2" xfId="1426"/>
    <cellStyle name="20% - Accent6 2 2 3" xfId="1427"/>
    <cellStyle name="20% - Accent6 2 2 4" xfId="1428"/>
    <cellStyle name="20% - Accent6 2 3" xfId="1429"/>
    <cellStyle name="20% - Accent6 2 3 2" xfId="1430"/>
    <cellStyle name="20% - Accent6 2 3 3" xfId="1431"/>
    <cellStyle name="20% - Accent6 2 3 4" xfId="1432"/>
    <cellStyle name="20% - Accent6 2 4" xfId="1433"/>
    <cellStyle name="20% - Accent6 2 5" xfId="1434"/>
    <cellStyle name="20% - Accent6 2 6" xfId="1435"/>
    <cellStyle name="20% - Accent6 2 7" xfId="1436"/>
    <cellStyle name="20% - Accent6 3" xfId="1437"/>
    <cellStyle name="20% - Accent6 3 2" xfId="1438"/>
    <cellStyle name="20% - Accent6 3 2 2" xfId="1439"/>
    <cellStyle name="20% - Accent6 3 2 3" xfId="1440"/>
    <cellStyle name="20% - Accent6 3 2 4" xfId="1441"/>
    <cellStyle name="20% - Accent6 3 3" xfId="1442"/>
    <cellStyle name="20% - Accent6 3 3 2" xfId="1443"/>
    <cellStyle name="20% - Accent6 3 3 3" xfId="1444"/>
    <cellStyle name="20% - Accent6 3 3 4" xfId="1445"/>
    <cellStyle name="20% - Accent6 3 4" xfId="1446"/>
    <cellStyle name="20% - Accent6 3 4 2" xfId="1447"/>
    <cellStyle name="20% - Accent6 3 4 3" xfId="1448"/>
    <cellStyle name="20% - Accent6 3 5" xfId="1449"/>
    <cellStyle name="20% - Accent6 3 6" xfId="1450"/>
    <cellStyle name="20% - Accent6 4" xfId="1451"/>
    <cellStyle name="20% - Accent6 4 2" xfId="1452"/>
    <cellStyle name="20% - Accent6 4 2 2" xfId="1453"/>
    <cellStyle name="20% - Accent6 4 2 3" xfId="1454"/>
    <cellStyle name="20% - Accent6 4 2 4" xfId="1455"/>
    <cellStyle name="20% - Accent6 4 3" xfId="1456"/>
    <cellStyle name="20% - Accent6 4 3 2" xfId="1457"/>
    <cellStyle name="20% - Accent6 4 3 3" xfId="1458"/>
    <cellStyle name="20% - Accent6 4 3 4" xfId="1459"/>
    <cellStyle name="20% - アクセント 1" xfId="1460"/>
    <cellStyle name="20% - アクセント 2" xfId="1461"/>
    <cellStyle name="20% - アクセント 3" xfId="1462"/>
    <cellStyle name="20% - アクセント 4" xfId="1463"/>
    <cellStyle name="20% - アクセント 5" xfId="1464"/>
    <cellStyle name="20% - アクセント 6" xfId="1465"/>
    <cellStyle name="³f¹ô [0]_RESULTS" xfId="1466"/>
    <cellStyle name="³f¹ô[0]_laroux" xfId="1467"/>
    <cellStyle name="³f¹ô_laroux" xfId="1468"/>
    <cellStyle name="40% - Accent1 2" xfId="1469"/>
    <cellStyle name="40% - Accent1 2 2" xfId="1470"/>
    <cellStyle name="40% - Accent1 2 2 2" xfId="1471"/>
    <cellStyle name="40% - Accent1 2 2 3" xfId="1472"/>
    <cellStyle name="40% - Accent1 2 2 4" xfId="1473"/>
    <cellStyle name="40% - Accent1 2 3" xfId="1474"/>
    <cellStyle name="40% - Accent1 2 3 2" xfId="1475"/>
    <cellStyle name="40% - Accent1 2 3 3" xfId="1476"/>
    <cellStyle name="40% - Accent1 2 3 4" xfId="1477"/>
    <cellStyle name="40% - Accent1 2 4" xfId="1478"/>
    <cellStyle name="40% - Accent1 2 5" xfId="1479"/>
    <cellStyle name="40% - Accent1 2 6" xfId="1480"/>
    <cellStyle name="40% - Accent1 3" xfId="1481"/>
    <cellStyle name="40% - Accent1 3 2" xfId="1482"/>
    <cellStyle name="40% - Accent1 3 2 2" xfId="1483"/>
    <cellStyle name="40% - Accent1 3 2 3" xfId="1484"/>
    <cellStyle name="40% - Accent1 3 2 4" xfId="1485"/>
    <cellStyle name="40% - Accent1 3 3" xfId="1486"/>
    <cellStyle name="40% - Accent1 3 3 2" xfId="1487"/>
    <cellStyle name="40% - Accent1 3 3 3" xfId="1488"/>
    <cellStyle name="40% - Accent1 3 3 4" xfId="1489"/>
    <cellStyle name="40% - Accent1 3 4" xfId="1490"/>
    <cellStyle name="40% - Accent1 3 4 2" xfId="1491"/>
    <cellStyle name="40% - Accent1 3 4 3" xfId="1492"/>
    <cellStyle name="40% - Accent1 3 5" xfId="1493"/>
    <cellStyle name="40% - Accent1 3 6" xfId="1494"/>
    <cellStyle name="40% - Accent1 4" xfId="1495"/>
    <cellStyle name="40% - Accent1 4 2" xfId="1496"/>
    <cellStyle name="40% - Accent1 4 2 2" xfId="1497"/>
    <cellStyle name="40% - Accent1 4 2 3" xfId="1498"/>
    <cellStyle name="40% - Accent1 4 2 4" xfId="1499"/>
    <cellStyle name="40% - Accent1 4 3" xfId="1500"/>
    <cellStyle name="40% - Accent1 4 3 2" xfId="1501"/>
    <cellStyle name="40% - Accent1 4 3 3" xfId="1502"/>
    <cellStyle name="40% - Accent1 4 3 4" xfId="1503"/>
    <cellStyle name="40% - Accent2 2" xfId="1504"/>
    <cellStyle name="40% - Accent2 2 2" xfId="1505"/>
    <cellStyle name="40% - Accent2 2 2 2" xfId="1506"/>
    <cellStyle name="40% - Accent2 2 2 3" xfId="1507"/>
    <cellStyle name="40% - Accent2 2 2 4" xfId="1508"/>
    <cellStyle name="40% - Accent2 2 3" xfId="1509"/>
    <cellStyle name="40% - Accent2 2 3 2" xfId="1510"/>
    <cellStyle name="40% - Accent2 2 3 3" xfId="1511"/>
    <cellStyle name="40% - Accent2 2 3 4" xfId="1512"/>
    <cellStyle name="40% - Accent2 2 4" xfId="1513"/>
    <cellStyle name="40% - Accent2 2 5" xfId="1514"/>
    <cellStyle name="40% - Accent2 2 6" xfId="1515"/>
    <cellStyle name="40% - Accent2 2 7" xfId="1516"/>
    <cellStyle name="40% - Accent2 3" xfId="1517"/>
    <cellStyle name="40% - Accent2 3 2" xfId="1518"/>
    <cellStyle name="40% - Accent2 3 2 2" xfId="1519"/>
    <cellStyle name="40% - Accent2 3 2 3" xfId="1520"/>
    <cellStyle name="40% - Accent2 3 2 4" xfId="1521"/>
    <cellStyle name="40% - Accent2 3 3" xfId="1522"/>
    <cellStyle name="40% - Accent2 3 3 2" xfId="1523"/>
    <cellStyle name="40% - Accent2 3 3 3" xfId="1524"/>
    <cellStyle name="40% - Accent2 3 3 4" xfId="1525"/>
    <cellStyle name="40% - Accent2 3 4" xfId="1526"/>
    <cellStyle name="40% - Accent2 3 4 2" xfId="1527"/>
    <cellStyle name="40% - Accent2 3 4 3" xfId="1528"/>
    <cellStyle name="40% - Accent2 3 5" xfId="1529"/>
    <cellStyle name="40% - Accent2 3 6" xfId="1530"/>
    <cellStyle name="40% - Accent2 4" xfId="1531"/>
    <cellStyle name="40% - Accent2 4 2" xfId="1532"/>
    <cellStyle name="40% - Accent2 4 2 2" xfId="1533"/>
    <cellStyle name="40% - Accent2 4 2 3" xfId="1534"/>
    <cellStyle name="40% - Accent2 4 2 4" xfId="1535"/>
    <cellStyle name="40% - Accent2 4 3" xfId="1536"/>
    <cellStyle name="40% - Accent2 4 3 2" xfId="1537"/>
    <cellStyle name="40% - Accent2 4 3 3" xfId="1538"/>
    <cellStyle name="40% - Accent2 4 3 4" xfId="1539"/>
    <cellStyle name="40% - Accent3 2" xfId="1540"/>
    <cellStyle name="40% - Accent3 2 2" xfId="1541"/>
    <cellStyle name="40% - Accent3 2 2 2" xfId="1542"/>
    <cellStyle name="40% - Accent3 2 2 3" xfId="1543"/>
    <cellStyle name="40% - Accent3 2 2 4" xfId="1544"/>
    <cellStyle name="40% - Accent3 2 3" xfId="1545"/>
    <cellStyle name="40% - Accent3 2 3 2" xfId="1546"/>
    <cellStyle name="40% - Accent3 2 3 3" xfId="1547"/>
    <cellStyle name="40% - Accent3 2 3 4" xfId="1548"/>
    <cellStyle name="40% - Accent3 2 4" xfId="1549"/>
    <cellStyle name="40% - Accent3 2 5" xfId="1550"/>
    <cellStyle name="40% - Accent3 2 6" xfId="1551"/>
    <cellStyle name="40% - Accent3 2 7" xfId="1552"/>
    <cellStyle name="40% - Accent3 3" xfId="1553"/>
    <cellStyle name="40% - Accent3 3 2" xfId="1554"/>
    <cellStyle name="40% - Accent3 3 2 2" xfId="1555"/>
    <cellStyle name="40% - Accent3 3 2 3" xfId="1556"/>
    <cellStyle name="40% - Accent3 3 2 4" xfId="1557"/>
    <cellStyle name="40% - Accent3 3 3" xfId="1558"/>
    <cellStyle name="40% - Accent3 3 3 2" xfId="1559"/>
    <cellStyle name="40% - Accent3 3 3 3" xfId="1560"/>
    <cellStyle name="40% - Accent3 3 3 4" xfId="1561"/>
    <cellStyle name="40% - Accent3 3 4" xfId="1562"/>
    <cellStyle name="40% - Accent3 3 4 2" xfId="1563"/>
    <cellStyle name="40% - Accent3 3 4 3" xfId="1564"/>
    <cellStyle name="40% - Accent3 3 5" xfId="1565"/>
    <cellStyle name="40% - Accent3 3 6" xfId="1566"/>
    <cellStyle name="40% - Accent3 4" xfId="1567"/>
    <cellStyle name="40% - Accent3 4 2" xfId="1568"/>
    <cellStyle name="40% - Accent3 4 2 2" xfId="1569"/>
    <cellStyle name="40% - Accent3 4 2 3" xfId="1570"/>
    <cellStyle name="40% - Accent3 4 2 4" xfId="1571"/>
    <cellStyle name="40% - Accent3 4 3" xfId="1572"/>
    <cellStyle name="40% - Accent3 4 3 2" xfId="1573"/>
    <cellStyle name="40% - Accent3 4 3 3" xfId="1574"/>
    <cellStyle name="40% - Accent3 4 3 4" xfId="1575"/>
    <cellStyle name="40% - Accent4 2" xfId="1576"/>
    <cellStyle name="40% - Accent4 2 2" xfId="1577"/>
    <cellStyle name="40% - Accent4 2 2 2" xfId="1578"/>
    <cellStyle name="40% - Accent4 2 2 3" xfId="1579"/>
    <cellStyle name="40% - Accent4 2 2 4" xfId="1580"/>
    <cellStyle name="40% - Accent4 2 3" xfId="1581"/>
    <cellStyle name="40% - Accent4 2 3 2" xfId="1582"/>
    <cellStyle name="40% - Accent4 2 3 3" xfId="1583"/>
    <cellStyle name="40% - Accent4 2 3 4" xfId="1584"/>
    <cellStyle name="40% - Accent4 2 4" xfId="1585"/>
    <cellStyle name="40% - Accent4 2 5" xfId="1586"/>
    <cellStyle name="40% - Accent4 2 6" xfId="1587"/>
    <cellStyle name="40% - Accent4 2 7" xfId="1588"/>
    <cellStyle name="40% - Accent4 3" xfId="1589"/>
    <cellStyle name="40% - Accent4 3 2" xfId="1590"/>
    <cellStyle name="40% - Accent4 3 2 2" xfId="1591"/>
    <cellStyle name="40% - Accent4 3 2 3" xfId="1592"/>
    <cellStyle name="40% - Accent4 3 2 4" xfId="1593"/>
    <cellStyle name="40% - Accent4 3 3" xfId="1594"/>
    <cellStyle name="40% - Accent4 3 3 2" xfId="1595"/>
    <cellStyle name="40% - Accent4 3 3 3" xfId="1596"/>
    <cellStyle name="40% - Accent4 3 3 4" xfId="1597"/>
    <cellStyle name="40% - Accent4 3 4" xfId="1598"/>
    <cellStyle name="40% - Accent4 3 4 2" xfId="1599"/>
    <cellStyle name="40% - Accent4 3 4 3" xfId="1600"/>
    <cellStyle name="40% - Accent4 3 5" xfId="1601"/>
    <cellStyle name="40% - Accent4 3 6" xfId="1602"/>
    <cellStyle name="40% - Accent4 4" xfId="1603"/>
    <cellStyle name="40% - Accent4 4 2" xfId="1604"/>
    <cellStyle name="40% - Accent4 4 2 2" xfId="1605"/>
    <cellStyle name="40% - Accent4 4 2 3" xfId="1606"/>
    <cellStyle name="40% - Accent4 4 2 4" xfId="1607"/>
    <cellStyle name="40% - Accent4 4 3" xfId="1608"/>
    <cellStyle name="40% - Accent4 4 3 2" xfId="1609"/>
    <cellStyle name="40% - Accent4 4 3 3" xfId="1610"/>
    <cellStyle name="40% - Accent4 4 3 4" xfId="1611"/>
    <cellStyle name="40% - Accent5 2" xfId="1612"/>
    <cellStyle name="40% - Accent5 2 2" xfId="1613"/>
    <cellStyle name="40% - Accent5 2 2 2" xfId="1614"/>
    <cellStyle name="40% - Accent5 2 2 3" xfId="1615"/>
    <cellStyle name="40% - Accent5 2 2 4" xfId="1616"/>
    <cellStyle name="40% - Accent5 2 3" xfId="1617"/>
    <cellStyle name="40% - Accent5 2 3 2" xfId="1618"/>
    <cellStyle name="40% - Accent5 2 3 3" xfId="1619"/>
    <cellStyle name="40% - Accent5 2 3 4" xfId="1620"/>
    <cellStyle name="40% - Accent5 2 4" xfId="1621"/>
    <cellStyle name="40% - Accent5 2 5" xfId="1622"/>
    <cellStyle name="40% - Accent5 2 6" xfId="1623"/>
    <cellStyle name="40% - Accent5 3" xfId="1624"/>
    <cellStyle name="40% - Accent5 3 2" xfId="1625"/>
    <cellStyle name="40% - Accent5 3 2 2" xfId="1626"/>
    <cellStyle name="40% - Accent5 3 2 3" xfId="1627"/>
    <cellStyle name="40% - Accent5 3 2 4" xfId="1628"/>
    <cellStyle name="40% - Accent5 3 3" xfId="1629"/>
    <cellStyle name="40% - Accent5 3 3 2" xfId="1630"/>
    <cellStyle name="40% - Accent5 3 3 3" xfId="1631"/>
    <cellStyle name="40% - Accent5 3 3 4" xfId="1632"/>
    <cellStyle name="40% - Accent5 3 4" xfId="1633"/>
    <cellStyle name="40% - Accent5 3 4 2" xfId="1634"/>
    <cellStyle name="40% - Accent5 3 4 3" xfId="1635"/>
    <cellStyle name="40% - Accent5 3 5" xfId="1636"/>
    <cellStyle name="40% - Accent5 3 6" xfId="1637"/>
    <cellStyle name="40% - Accent5 4" xfId="1638"/>
    <cellStyle name="40% - Accent5 4 2" xfId="1639"/>
    <cellStyle name="40% - Accent5 4 2 2" xfId="1640"/>
    <cellStyle name="40% - Accent5 4 2 3" xfId="1641"/>
    <cellStyle name="40% - Accent5 4 2 4" xfId="1642"/>
    <cellStyle name="40% - Accent5 4 3" xfId="1643"/>
    <cellStyle name="40% - Accent5 4 3 2" xfId="1644"/>
    <cellStyle name="40% - Accent5 4 3 3" xfId="1645"/>
    <cellStyle name="40% - Accent5 4 3 4" xfId="1646"/>
    <cellStyle name="40% - Accent6 2" xfId="1647"/>
    <cellStyle name="40% - Accent6 2 2" xfId="1648"/>
    <cellStyle name="40% - Accent6 2 2 2" xfId="1649"/>
    <cellStyle name="40% - Accent6 2 2 3" xfId="1650"/>
    <cellStyle name="40% - Accent6 2 2 4" xfId="1651"/>
    <cellStyle name="40% - Accent6 2 3" xfId="1652"/>
    <cellStyle name="40% - Accent6 2 3 2" xfId="1653"/>
    <cellStyle name="40% - Accent6 2 3 3" xfId="1654"/>
    <cellStyle name="40% - Accent6 2 3 4" xfId="1655"/>
    <cellStyle name="40% - Accent6 2 4" xfId="1656"/>
    <cellStyle name="40% - Accent6 2 5" xfId="1657"/>
    <cellStyle name="40% - Accent6 2 6" xfId="1658"/>
    <cellStyle name="40% - Accent6 2 7" xfId="1659"/>
    <cellStyle name="40% - Accent6 3" xfId="1660"/>
    <cellStyle name="40% - Accent6 3 2" xfId="1661"/>
    <cellStyle name="40% - Accent6 3 2 2" xfId="1662"/>
    <cellStyle name="40% - Accent6 3 2 3" xfId="1663"/>
    <cellStyle name="40% - Accent6 3 2 4" xfId="1664"/>
    <cellStyle name="40% - Accent6 3 3" xfId="1665"/>
    <cellStyle name="40% - Accent6 3 3 2" xfId="1666"/>
    <cellStyle name="40% - Accent6 3 3 3" xfId="1667"/>
    <cellStyle name="40% - Accent6 3 3 4" xfId="1668"/>
    <cellStyle name="40% - Accent6 3 4" xfId="1669"/>
    <cellStyle name="40% - Accent6 3 4 2" xfId="1670"/>
    <cellStyle name="40% - Accent6 3 4 3" xfId="1671"/>
    <cellStyle name="40% - Accent6 3 5" xfId="1672"/>
    <cellStyle name="40% - Accent6 3 6" xfId="1673"/>
    <cellStyle name="40% - Accent6 4" xfId="1674"/>
    <cellStyle name="40% - Accent6 4 2" xfId="1675"/>
    <cellStyle name="40% - Accent6 4 2 2" xfId="1676"/>
    <cellStyle name="40% - Accent6 4 2 3" xfId="1677"/>
    <cellStyle name="40% - Accent6 4 2 4" xfId="1678"/>
    <cellStyle name="40% - Accent6 4 3" xfId="1679"/>
    <cellStyle name="40% - Accent6 4 3 2" xfId="1680"/>
    <cellStyle name="40% - Accent6 4 3 3" xfId="1681"/>
    <cellStyle name="40% - Accent6 4 3 4" xfId="1682"/>
    <cellStyle name="40% - アクセント 1" xfId="1683"/>
    <cellStyle name="40% - アクセント 2" xfId="1684"/>
    <cellStyle name="40% - アクセント 3" xfId="1685"/>
    <cellStyle name="40% - アクセント 4" xfId="1686"/>
    <cellStyle name="40% - アクセント 5" xfId="1687"/>
    <cellStyle name="40% - アクセント 6" xfId="1688"/>
    <cellStyle name="60% - Accent1 2" xfId="1689"/>
    <cellStyle name="60% - Accent1 2 2" xfId="1690"/>
    <cellStyle name="60% - Accent1 2 3" xfId="1691"/>
    <cellStyle name="60% - Accent1 2 4" xfId="1692"/>
    <cellStyle name="60% - Accent1 3" xfId="1693"/>
    <cellStyle name="60% - Accent1 3 2" xfId="1694"/>
    <cellStyle name="60% - Accent1 3 3" xfId="1695"/>
    <cellStyle name="60% - Accent1 4 2" xfId="1696"/>
    <cellStyle name="60% - Accent1 4 3" xfId="1697"/>
    <cellStyle name="60% - Accent2 2" xfId="1698"/>
    <cellStyle name="60% - Accent2 2 2" xfId="1699"/>
    <cellStyle name="60% - Accent2 2 3" xfId="1700"/>
    <cellStyle name="60% - Accent2 2 4" xfId="1701"/>
    <cellStyle name="60% - Accent2 3" xfId="1702"/>
    <cellStyle name="60% - Accent2 3 2" xfId="1703"/>
    <cellStyle name="60% - Accent2 3 3" xfId="1704"/>
    <cellStyle name="60% - Accent2 4 2" xfId="1705"/>
    <cellStyle name="60% - Accent2 4 3" xfId="1706"/>
    <cellStyle name="60% - Accent3 2" xfId="1707"/>
    <cellStyle name="60% - Accent3 2 2" xfId="1708"/>
    <cellStyle name="60% - Accent3 2 3" xfId="1709"/>
    <cellStyle name="60% - Accent3 2 4" xfId="1710"/>
    <cellStyle name="60% - Accent3 3" xfId="1711"/>
    <cellStyle name="60% - Accent3 3 2" xfId="1712"/>
    <cellStyle name="60% - Accent3 3 3" xfId="1713"/>
    <cellStyle name="60% - Accent3 4 2" xfId="1714"/>
    <cellStyle name="60% - Accent3 4 3" xfId="1715"/>
    <cellStyle name="60% - Accent4 2" xfId="1716"/>
    <cellStyle name="60% - Accent4 2 2" xfId="1717"/>
    <cellStyle name="60% - Accent4 2 3" xfId="1718"/>
    <cellStyle name="60% - Accent4 3" xfId="1719"/>
    <cellStyle name="60% - Accent4 3 2" xfId="1720"/>
    <cellStyle name="60% - Accent4 3 3" xfId="1721"/>
    <cellStyle name="60% - Accent4 3 4" xfId="1722"/>
    <cellStyle name="60% - Accent4 4 2" xfId="1723"/>
    <cellStyle name="60% - Accent4 4 3" xfId="1724"/>
    <cellStyle name="60% - Accent5 2" xfId="1725"/>
    <cellStyle name="60% - Accent5 2 2" xfId="1726"/>
    <cellStyle name="60% - Accent5 2 3" xfId="1727"/>
    <cellStyle name="60% - Accent5 3" xfId="1728"/>
    <cellStyle name="60% - Accent5 3 2" xfId="1729"/>
    <cellStyle name="60% - Accent5 3 3" xfId="1730"/>
    <cellStyle name="60% - Accent5 4 2" xfId="1731"/>
    <cellStyle name="60% - Accent5 4 3" xfId="1732"/>
    <cellStyle name="60% - Accent6 2" xfId="1733"/>
    <cellStyle name="60% - Accent6 2 2" xfId="1734"/>
    <cellStyle name="60% - Accent6 2 3" xfId="1735"/>
    <cellStyle name="60% - Accent6 2 4" xfId="1736"/>
    <cellStyle name="60% - Accent6 3" xfId="1737"/>
    <cellStyle name="60% - Accent6 3 2" xfId="1738"/>
    <cellStyle name="60% - Accent6 3 3" xfId="1739"/>
    <cellStyle name="60% - Accent6 4 2" xfId="1740"/>
    <cellStyle name="60% - Accent6 4 3" xfId="1741"/>
    <cellStyle name="60% - アクセント 1" xfId="1742"/>
    <cellStyle name="60% - アクセント 2" xfId="1743"/>
    <cellStyle name="60% - アクセント 3" xfId="1744"/>
    <cellStyle name="60% - アクセント 4" xfId="1745"/>
    <cellStyle name="60% - アクセント 5" xfId="1746"/>
    <cellStyle name="60% - アクセント 6" xfId="1747"/>
    <cellStyle name="Accent1 2" xfId="1748"/>
    <cellStyle name="Accent1 2 2" xfId="1749"/>
    <cellStyle name="Accent1 2 3" xfId="1750"/>
    <cellStyle name="Accent1 2 4" xfId="1751"/>
    <cellStyle name="Accent1 3" xfId="1752"/>
    <cellStyle name="Accent1 3 2" xfId="1753"/>
    <cellStyle name="Accent1 3 3" xfId="1754"/>
    <cellStyle name="Accent1 4 2" xfId="1755"/>
    <cellStyle name="Accent1 4 3" xfId="1756"/>
    <cellStyle name="Accent2 2" xfId="1757"/>
    <cellStyle name="Accent2 2 2" xfId="1758"/>
    <cellStyle name="Accent2 2 3" xfId="1759"/>
    <cellStyle name="Accent2 2 4" xfId="1760"/>
    <cellStyle name="Accent2 3" xfId="1761"/>
    <cellStyle name="Accent2 3 2" xfId="1762"/>
    <cellStyle name="Accent2 3 3" xfId="1763"/>
    <cellStyle name="Accent2 4 2" xfId="1764"/>
    <cellStyle name="Accent2 4 3" xfId="1765"/>
    <cellStyle name="Accent3 2" xfId="1766"/>
    <cellStyle name="Accent3 2 2" xfId="1767"/>
    <cellStyle name="Accent3 2 3" xfId="1768"/>
    <cellStyle name="Accent3 2 4" xfId="1769"/>
    <cellStyle name="Accent3 3" xfId="1770"/>
    <cellStyle name="Accent3 3 2" xfId="1771"/>
    <cellStyle name="Accent3 3 3" xfId="1772"/>
    <cellStyle name="Accent3 4 2" xfId="1773"/>
    <cellStyle name="Accent3 4 3" xfId="1774"/>
    <cellStyle name="Accent4 2" xfId="1775"/>
    <cellStyle name="Accent4 2 2" xfId="1776"/>
    <cellStyle name="Accent4 2 3" xfId="1777"/>
    <cellStyle name="Accent4 3" xfId="1778"/>
    <cellStyle name="Accent4 3 2" xfId="1779"/>
    <cellStyle name="Accent4 3 3" xfId="1780"/>
    <cellStyle name="Accent4 3 4" xfId="1781"/>
    <cellStyle name="Accent4 4 2" xfId="1782"/>
    <cellStyle name="Accent4 4 3" xfId="1783"/>
    <cellStyle name="Accent5 2" xfId="1784"/>
    <cellStyle name="Accent5 2 2" xfId="1785"/>
    <cellStyle name="Accent5 2 3" xfId="1786"/>
    <cellStyle name="Accent5 2 4" xfId="1787"/>
    <cellStyle name="Accent5 3" xfId="1788"/>
    <cellStyle name="Accent5 3 2" xfId="1789"/>
    <cellStyle name="Accent5 3 3" xfId="1790"/>
    <cellStyle name="Accent5 4 2" xfId="1791"/>
    <cellStyle name="Accent5 4 3" xfId="1792"/>
    <cellStyle name="Accent6 2" xfId="1793"/>
    <cellStyle name="Accent6 2 2" xfId="1794"/>
    <cellStyle name="Accent6 2 3" xfId="1795"/>
    <cellStyle name="Accent6 2 4" xfId="1796"/>
    <cellStyle name="Accent6 3" xfId="1797"/>
    <cellStyle name="Accent6 3 2" xfId="1798"/>
    <cellStyle name="Accent6 3 3" xfId="1799"/>
    <cellStyle name="Accent6 4 2" xfId="1800"/>
    <cellStyle name="Accent6 4 3" xfId="1801"/>
    <cellStyle name="Bad 2" xfId="1802"/>
    <cellStyle name="Bad 2 2" xfId="1803"/>
    <cellStyle name="Bad 2 3" xfId="1804"/>
    <cellStyle name="Bad 3" xfId="1805"/>
    <cellStyle name="Bad 3 2" xfId="1806"/>
    <cellStyle name="Bad 3 3" xfId="1807"/>
    <cellStyle name="Bad 4 2" xfId="1808"/>
    <cellStyle name="Bad 4 3" xfId="1809"/>
    <cellStyle name="Border" xfId="1810"/>
    <cellStyle name="Border 2" xfId="1811"/>
    <cellStyle name="Border 2 2" xfId="1812"/>
    <cellStyle name="Border 2 2 2" xfId="1813"/>
    <cellStyle name="Border 2 2 2 2" xfId="1814"/>
    <cellStyle name="Border 2 2 3" xfId="1815"/>
    <cellStyle name="Border 2 3" xfId="1816"/>
    <cellStyle name="Border 2 3 2" xfId="1817"/>
    <cellStyle name="Border 3" xfId="1818"/>
    <cellStyle name="Border 3 2" xfId="1819"/>
    <cellStyle name="Calc Currency (0)" xfId="1820"/>
    <cellStyle name="Calc Currency (0) 2" xfId="1821"/>
    <cellStyle name="Calc Currency (0) 3" xfId="1822"/>
    <cellStyle name="Calc Currency (2)" xfId="1823"/>
    <cellStyle name="Calc Currency (2) 2" xfId="1824"/>
    <cellStyle name="Calc Currency (2) 2 2" xfId="1825"/>
    <cellStyle name="Calc Currency (2) 3" xfId="1826"/>
    <cellStyle name="Calc Currency (2) 3 2" xfId="1827"/>
    <cellStyle name="Calc Percent (0)" xfId="1828"/>
    <cellStyle name="Calc Percent (0) 2" xfId="1829"/>
    <cellStyle name="Calc Percent (0) 2 2" xfId="1830"/>
    <cellStyle name="Calc Percent (0) 3" xfId="1831"/>
    <cellStyle name="Calc Percent (0) 3 2" xfId="1832"/>
    <cellStyle name="Calc Percent (1)" xfId="1833"/>
    <cellStyle name="Calc Percent (1) 2" xfId="1834"/>
    <cellStyle name="Calc Percent (1) 2 2" xfId="1835"/>
    <cellStyle name="Calc Percent (1) 3" xfId="1836"/>
    <cellStyle name="Calc Percent (2)" xfId="1837"/>
    <cellStyle name="Calc Percent (2) 2" xfId="1838"/>
    <cellStyle name="Calc Percent (2) 2 2" xfId="1839"/>
    <cellStyle name="Calc Percent (2) 3" xfId="1840"/>
    <cellStyle name="Calc Percent (2) 3 2" xfId="1841"/>
    <cellStyle name="Calc Units (0)" xfId="1842"/>
    <cellStyle name="Calc Units (0) 2" xfId="1843"/>
    <cellStyle name="Calc Units (0) 2 2" xfId="1844"/>
    <cellStyle name="Calc Units (0) 3" xfId="1845"/>
    <cellStyle name="Calc Units (0) 3 2" xfId="1846"/>
    <cellStyle name="Calc Units (1)" xfId="1847"/>
    <cellStyle name="Calc Units (1) 2" xfId="1848"/>
    <cellStyle name="Calc Units (1) 2 2" xfId="1849"/>
    <cellStyle name="Calc Units (1) 3" xfId="1850"/>
    <cellStyle name="Calc Units (1) 3 2" xfId="1851"/>
    <cellStyle name="Calc Units (2)" xfId="1852"/>
    <cellStyle name="Calc Units (2) 2" xfId="1853"/>
    <cellStyle name="Calc Units (2) 2 2" xfId="1854"/>
    <cellStyle name="Calc Units (2) 3" xfId="1855"/>
    <cellStyle name="Calc Units (2) 3 2" xfId="1856"/>
    <cellStyle name="Calculation 2" xfId="1857"/>
    <cellStyle name="Calculation 2 2" xfId="1858"/>
    <cellStyle name="Calculation 2 3" xfId="1859"/>
    <cellStyle name="Calculation 3" xfId="1860"/>
    <cellStyle name="Calculation 3 2" xfId="1861"/>
    <cellStyle name="Calculation 3 3" xfId="1862"/>
    <cellStyle name="Calculation 4 2" xfId="1863"/>
    <cellStyle name="Calculation 4 3" xfId="1864"/>
    <cellStyle name="Check Cell 2" xfId="1865"/>
    <cellStyle name="Check Cell 2 2" xfId="1866"/>
    <cellStyle name="Check Cell 2 3" xfId="1867"/>
    <cellStyle name="Check Cell 3" xfId="1868"/>
    <cellStyle name="Check Cell 3 2" xfId="1869"/>
    <cellStyle name="Check Cell 3 3" xfId="1870"/>
    <cellStyle name="Check Cell 4 2" xfId="1871"/>
    <cellStyle name="Check Cell 4 3" xfId="1872"/>
    <cellStyle name="Comma" xfId="1873" builtinId="3"/>
    <cellStyle name="Comma [0] 2" xfId="1874"/>
    <cellStyle name="Comma [0] 2 2" xfId="2805"/>
    <cellStyle name="Comma [0] 2 2 2" xfId="2939"/>
    <cellStyle name="Comma [0] 2 2 3" xfId="3062"/>
    <cellStyle name="Comma [00]" xfId="1875"/>
    <cellStyle name="Comma [00] 2" xfId="1876"/>
    <cellStyle name="Comma [00] 2 2" xfId="1877"/>
    <cellStyle name="Comma [00] 2 3" xfId="1878"/>
    <cellStyle name="Comma [00] 3" xfId="1879"/>
    <cellStyle name="Comma [00] 3 2" xfId="1880"/>
    <cellStyle name="Comma [00] 4" xfId="1881"/>
    <cellStyle name="Comma 10" xfId="1882"/>
    <cellStyle name="Comma 10 2" xfId="1883"/>
    <cellStyle name="Comma 10 2 2" xfId="2807"/>
    <cellStyle name="Comma 10 2 2 2" xfId="2941"/>
    <cellStyle name="Comma 10 2 2 3" xfId="3063"/>
    <cellStyle name="Comma 10 3" xfId="2806"/>
    <cellStyle name="Comma 10 3 2" xfId="2940"/>
    <cellStyle name="Comma 10 3 3" xfId="3064"/>
    <cellStyle name="Comma 100" xfId="3059"/>
    <cellStyle name="Comma 101" xfId="3060"/>
    <cellStyle name="Comma 11" xfId="1884"/>
    <cellStyle name="Comma 11 2" xfId="2808"/>
    <cellStyle name="Comma 11 2 2" xfId="2942"/>
    <cellStyle name="Comma 11 2 3" xfId="3065"/>
    <cellStyle name="Comma 12" xfId="1885"/>
    <cellStyle name="Comma 12 2" xfId="2809"/>
    <cellStyle name="Comma 12 2 2" xfId="2943"/>
    <cellStyle name="Comma 12 2 3" xfId="3066"/>
    <cellStyle name="Comma 13" xfId="1886"/>
    <cellStyle name="Comma 13 2" xfId="2810"/>
    <cellStyle name="Comma 13 2 2" xfId="2944"/>
    <cellStyle name="Comma 13 2 3" xfId="3067"/>
    <cellStyle name="Comma 14" xfId="1887"/>
    <cellStyle name="Comma 14 2" xfId="2811"/>
    <cellStyle name="Comma 14 2 2" xfId="2945"/>
    <cellStyle name="Comma 14 2 3" xfId="3068"/>
    <cellStyle name="Comma 15" xfId="1888"/>
    <cellStyle name="Comma 15 2" xfId="2812"/>
    <cellStyle name="Comma 15 2 2" xfId="2946"/>
    <cellStyle name="Comma 15 2 3" xfId="3069"/>
    <cellStyle name="Comma 16" xfId="1889"/>
    <cellStyle name="Comma 16 2" xfId="2813"/>
    <cellStyle name="Comma 16 2 2" xfId="2947"/>
    <cellStyle name="Comma 16 2 3" xfId="3070"/>
    <cellStyle name="Comma 17" xfId="1890"/>
    <cellStyle name="Comma 17 2" xfId="2814"/>
    <cellStyle name="Comma 17 2 2" xfId="2948"/>
    <cellStyle name="Comma 17 2 3" xfId="3071"/>
    <cellStyle name="Comma 18" xfId="1891"/>
    <cellStyle name="Comma 18 2" xfId="1892"/>
    <cellStyle name="Comma 18 2 2" xfId="2816"/>
    <cellStyle name="Comma 18 2 2 2" xfId="2950"/>
    <cellStyle name="Comma 18 2 2 3" xfId="3072"/>
    <cellStyle name="Comma 18 3" xfId="2815"/>
    <cellStyle name="Comma 18 3 2" xfId="2949"/>
    <cellStyle name="Comma 18 3 3" xfId="3073"/>
    <cellStyle name="Comma 19" xfId="1893"/>
    <cellStyle name="Comma 19 2" xfId="2817"/>
    <cellStyle name="Comma 19 2 2" xfId="2951"/>
    <cellStyle name="Comma 19 2 3" xfId="3074"/>
    <cellStyle name="Comma 2" xfId="1894"/>
    <cellStyle name="Comma 2 2" xfId="1895"/>
    <cellStyle name="Comma 2 2 2" xfId="1896"/>
    <cellStyle name="Comma 2 2 2 2" xfId="2820"/>
    <cellStyle name="Comma 2 2 2 2 2" xfId="2954"/>
    <cellStyle name="Comma 2 2 2 2 3" xfId="3075"/>
    <cellStyle name="Comma 2 2 3" xfId="1897"/>
    <cellStyle name="Comma 2 2 4" xfId="2819"/>
    <cellStyle name="Comma 2 2 4 2" xfId="2953"/>
    <cellStyle name="Comma 2 2 4 3" xfId="3076"/>
    <cellStyle name="Comma 2 2 5" xfId="3056"/>
    <cellStyle name="Comma 2 2 6" xfId="3184"/>
    <cellStyle name="Comma 2 3" xfId="1898"/>
    <cellStyle name="Comma 2 3 2" xfId="2821"/>
    <cellStyle name="Comma 2 3 2 2" xfId="2955"/>
    <cellStyle name="Comma 2 3 2 3" xfId="3077"/>
    <cellStyle name="Comma 2 4" xfId="1899"/>
    <cellStyle name="Comma 2 5" xfId="2818"/>
    <cellStyle name="Comma 2 5 2" xfId="2952"/>
    <cellStyle name="Comma 2 5 3" xfId="3078"/>
    <cellStyle name="Comma 20" xfId="1900"/>
    <cellStyle name="Comma 20 2" xfId="2822"/>
    <cellStyle name="Comma 20 2 2" xfId="2956"/>
    <cellStyle name="Comma 20 2 3" xfId="3079"/>
    <cellStyle name="Comma 21" xfId="1901"/>
    <cellStyle name="Comma 21 2" xfId="2823"/>
    <cellStyle name="Comma 21 2 2" xfId="2957"/>
    <cellStyle name="Comma 21 2 3" xfId="3080"/>
    <cellStyle name="Comma 22" xfId="1902"/>
    <cellStyle name="Comma 22 2" xfId="2824"/>
    <cellStyle name="Comma 22 2 2" xfId="2958"/>
    <cellStyle name="Comma 22 2 3" xfId="3081"/>
    <cellStyle name="Comma 23" xfId="1903"/>
    <cellStyle name="Comma 23 2" xfId="2825"/>
    <cellStyle name="Comma 23 2 2" xfId="2959"/>
    <cellStyle name="Comma 23 2 3" xfId="3082"/>
    <cellStyle name="Comma 24" xfId="1904"/>
    <cellStyle name="Comma 24 2" xfId="2826"/>
    <cellStyle name="Comma 24 2 2" xfId="2960"/>
    <cellStyle name="Comma 24 2 3" xfId="3083"/>
    <cellStyle name="Comma 25" xfId="1905"/>
    <cellStyle name="Comma 25 2" xfId="2827"/>
    <cellStyle name="Comma 25 2 2" xfId="2961"/>
    <cellStyle name="Comma 25 2 3" xfId="3084"/>
    <cellStyle name="Comma 26" xfId="1906"/>
    <cellStyle name="Comma 26 2" xfId="2828"/>
    <cellStyle name="Comma 26 2 2" xfId="2962"/>
    <cellStyle name="Comma 26 2 3" xfId="3085"/>
    <cellStyle name="Comma 27" xfId="1907"/>
    <cellStyle name="Comma 27 2" xfId="2829"/>
    <cellStyle name="Comma 27 2 2" xfId="2963"/>
    <cellStyle name="Comma 27 2 3" xfId="3086"/>
    <cellStyle name="Comma 28" xfId="1908"/>
    <cellStyle name="Comma 28 2" xfId="2830"/>
    <cellStyle name="Comma 28 2 2" xfId="2964"/>
    <cellStyle name="Comma 28 2 3" xfId="3087"/>
    <cellStyle name="Comma 29" xfId="1909"/>
    <cellStyle name="Comma 29 2" xfId="2831"/>
    <cellStyle name="Comma 29 2 2" xfId="2965"/>
    <cellStyle name="Comma 29 2 3" xfId="3088"/>
    <cellStyle name="Comma 3" xfId="1910"/>
    <cellStyle name="Comma 3 2" xfId="1911"/>
    <cellStyle name="Comma 30" xfId="1912"/>
    <cellStyle name="Comma 30 2" xfId="2832"/>
    <cellStyle name="Comma 30 2 2" xfId="2966"/>
    <cellStyle name="Comma 30 2 3" xfId="3089"/>
    <cellStyle name="Comma 31" xfId="1913"/>
    <cellStyle name="Comma 31 2" xfId="2833"/>
    <cellStyle name="Comma 31 2 2" xfId="2967"/>
    <cellStyle name="Comma 31 2 3" xfId="3090"/>
    <cellStyle name="Comma 32" xfId="1914"/>
    <cellStyle name="Comma 32 2" xfId="2834"/>
    <cellStyle name="Comma 32 2 2" xfId="2968"/>
    <cellStyle name="Comma 32 2 3" xfId="3091"/>
    <cellStyle name="Comma 33" xfId="1915"/>
    <cellStyle name="Comma 33 2" xfId="2835"/>
    <cellStyle name="Comma 33 2 2" xfId="2969"/>
    <cellStyle name="Comma 33 2 3" xfId="3092"/>
    <cellStyle name="Comma 34" xfId="1916"/>
    <cellStyle name="Comma 34 2" xfId="2836"/>
    <cellStyle name="Comma 34 2 2" xfId="2970"/>
    <cellStyle name="Comma 34 2 3" xfId="3093"/>
    <cellStyle name="Comma 35" xfId="1917"/>
    <cellStyle name="Comma 35 2" xfId="2837"/>
    <cellStyle name="Comma 35 2 2" xfId="2971"/>
    <cellStyle name="Comma 35 2 3" xfId="3094"/>
    <cellStyle name="Comma 36" xfId="1918"/>
    <cellStyle name="Comma 36 2" xfId="2838"/>
    <cellStyle name="Comma 36 2 2" xfId="2972"/>
    <cellStyle name="Comma 36 2 3" xfId="3095"/>
    <cellStyle name="Comma 37" xfId="1919"/>
    <cellStyle name="Comma 37 2" xfId="2839"/>
    <cellStyle name="Comma 37 2 2" xfId="2973"/>
    <cellStyle name="Comma 37 2 3" xfId="3096"/>
    <cellStyle name="Comma 38" xfId="1920"/>
    <cellStyle name="Comma 38 2" xfId="2840"/>
    <cellStyle name="Comma 38 2 2" xfId="2974"/>
    <cellStyle name="Comma 38 2 3" xfId="3097"/>
    <cellStyle name="Comma 39" xfId="1921"/>
    <cellStyle name="Comma 39 2" xfId="2841"/>
    <cellStyle name="Comma 39 2 2" xfId="2975"/>
    <cellStyle name="Comma 39 2 3" xfId="3098"/>
    <cellStyle name="Comma 4" xfId="1922"/>
    <cellStyle name="Comma 4 2" xfId="1923"/>
    <cellStyle name="Comma 4 2 2" xfId="2843"/>
    <cellStyle name="Comma 4 2 2 2" xfId="2977"/>
    <cellStyle name="Comma 4 2 2 3" xfId="3099"/>
    <cellStyle name="Comma 4 3" xfId="1924"/>
    <cellStyle name="Comma 4 4" xfId="2842"/>
    <cellStyle name="Comma 4 4 2" xfId="2976"/>
    <cellStyle name="Comma 4 4 3" xfId="3100"/>
    <cellStyle name="Comma 40" xfId="1925"/>
    <cellStyle name="Comma 40 2" xfId="1926"/>
    <cellStyle name="Comma 40 2 2" xfId="2845"/>
    <cellStyle name="Comma 40 2 2 2" xfId="2979"/>
    <cellStyle name="Comma 40 2 2 3" xfId="3101"/>
    <cellStyle name="Comma 40 3" xfId="2844"/>
    <cellStyle name="Comma 40 3 2" xfId="2978"/>
    <cellStyle name="Comma 40 3 3" xfId="3102"/>
    <cellStyle name="Comma 41" xfId="1927"/>
    <cellStyle name="Comma 41 2" xfId="1928"/>
    <cellStyle name="Comma 41 2 2" xfId="2847"/>
    <cellStyle name="Comma 41 2 2 2" xfId="2981"/>
    <cellStyle name="Comma 41 2 2 3" xfId="3103"/>
    <cellStyle name="Comma 41 3" xfId="2846"/>
    <cellStyle name="Comma 41 3 2" xfId="2980"/>
    <cellStyle name="Comma 41 3 3" xfId="3104"/>
    <cellStyle name="Comma 42" xfId="1929"/>
    <cellStyle name="Comma 42 2" xfId="1930"/>
    <cellStyle name="Comma 42 2 2" xfId="2849"/>
    <cellStyle name="Comma 42 2 2 2" xfId="2983"/>
    <cellStyle name="Comma 42 2 2 3" xfId="3105"/>
    <cellStyle name="Comma 42 3" xfId="2848"/>
    <cellStyle name="Comma 42 3 2" xfId="2982"/>
    <cellStyle name="Comma 42 3 3" xfId="3106"/>
    <cellStyle name="Comma 43" xfId="1931"/>
    <cellStyle name="Comma 43 2" xfId="1932"/>
    <cellStyle name="Comma 43 2 2" xfId="2851"/>
    <cellStyle name="Comma 43 2 2 2" xfId="2985"/>
    <cellStyle name="Comma 43 2 2 3" xfId="3107"/>
    <cellStyle name="Comma 43 3" xfId="2850"/>
    <cellStyle name="Comma 43 3 2" xfId="2984"/>
    <cellStyle name="Comma 43 3 3" xfId="3108"/>
    <cellStyle name="Comma 44" xfId="1933"/>
    <cellStyle name="Comma 44 2" xfId="1934"/>
    <cellStyle name="Comma 44 2 2" xfId="2853"/>
    <cellStyle name="Comma 44 2 2 2" xfId="2987"/>
    <cellStyle name="Comma 44 2 2 3" xfId="3109"/>
    <cellStyle name="Comma 44 3" xfId="2852"/>
    <cellStyle name="Comma 44 3 2" xfId="2986"/>
    <cellStyle name="Comma 44 3 3" xfId="3110"/>
    <cellStyle name="Comma 45" xfId="1935"/>
    <cellStyle name="Comma 45 2" xfId="1936"/>
    <cellStyle name="Comma 45 2 2" xfId="2855"/>
    <cellStyle name="Comma 45 2 2 2" xfId="2989"/>
    <cellStyle name="Comma 45 2 2 3" xfId="3111"/>
    <cellStyle name="Comma 45 3" xfId="2854"/>
    <cellStyle name="Comma 45 3 2" xfId="2988"/>
    <cellStyle name="Comma 45 3 3" xfId="3112"/>
    <cellStyle name="Comma 46" xfId="1937"/>
    <cellStyle name="Comma 46 2" xfId="1938"/>
    <cellStyle name="Comma 46 2 2" xfId="2857"/>
    <cellStyle name="Comma 46 2 2 2" xfId="2991"/>
    <cellStyle name="Comma 46 2 2 3" xfId="3113"/>
    <cellStyle name="Comma 46 3" xfId="2856"/>
    <cellStyle name="Comma 46 3 2" xfId="2990"/>
    <cellStyle name="Comma 46 3 3" xfId="3114"/>
    <cellStyle name="Comma 47" xfId="1939"/>
    <cellStyle name="Comma 47 2" xfId="1940"/>
    <cellStyle name="Comma 47 2 2" xfId="2859"/>
    <cellStyle name="Comma 47 2 2 2" xfId="2993"/>
    <cellStyle name="Comma 47 2 2 3" xfId="3115"/>
    <cellStyle name="Comma 47 3" xfId="2858"/>
    <cellStyle name="Comma 47 3 2" xfId="2992"/>
    <cellStyle name="Comma 47 3 3" xfId="3116"/>
    <cellStyle name="Comma 48" xfId="1941"/>
    <cellStyle name="Comma 48 2" xfId="1942"/>
    <cellStyle name="Comma 48 2 2" xfId="2861"/>
    <cellStyle name="Comma 48 2 2 2" xfId="2995"/>
    <cellStyle name="Comma 48 2 2 3" xfId="3117"/>
    <cellStyle name="Comma 48 3" xfId="2860"/>
    <cellStyle name="Comma 48 3 2" xfId="2994"/>
    <cellStyle name="Comma 48 3 3" xfId="3118"/>
    <cellStyle name="Comma 49" xfId="1943"/>
    <cellStyle name="Comma 49 2" xfId="1944"/>
    <cellStyle name="Comma 49 2 2" xfId="2863"/>
    <cellStyle name="Comma 49 2 2 2" xfId="2997"/>
    <cellStyle name="Comma 49 2 2 3" xfId="3119"/>
    <cellStyle name="Comma 49 3" xfId="2862"/>
    <cellStyle name="Comma 49 3 2" xfId="2996"/>
    <cellStyle name="Comma 49 3 3" xfId="3120"/>
    <cellStyle name="Comma 5" xfId="1945"/>
    <cellStyle name="Comma 5 2" xfId="1946"/>
    <cellStyle name="Comma 5 2 2" xfId="2865"/>
    <cellStyle name="Comma 5 2 2 2" xfId="2999"/>
    <cellStyle name="Comma 5 2 2 3" xfId="3121"/>
    <cellStyle name="Comma 5 3" xfId="1947"/>
    <cellStyle name="Comma 5 4" xfId="2864"/>
    <cellStyle name="Comma 5 4 2" xfId="2998"/>
    <cellStyle name="Comma 5 4 3" xfId="3122"/>
    <cellStyle name="Comma 50" xfId="1948"/>
    <cellStyle name="Comma 50 2" xfId="1949"/>
    <cellStyle name="Comma 50 2 2" xfId="2867"/>
    <cellStyle name="Comma 50 2 2 2" xfId="3001"/>
    <cellStyle name="Comma 50 2 2 3" xfId="3123"/>
    <cellStyle name="Comma 50 3" xfId="2866"/>
    <cellStyle name="Comma 50 3 2" xfId="3000"/>
    <cellStyle name="Comma 50 3 3" xfId="3124"/>
    <cellStyle name="Comma 51" xfId="1950"/>
    <cellStyle name="Comma 51 2" xfId="1951"/>
    <cellStyle name="Comma 51 2 2" xfId="2869"/>
    <cellStyle name="Comma 51 2 2 2" xfId="3003"/>
    <cellStyle name="Comma 51 2 2 3" xfId="3125"/>
    <cellStyle name="Comma 51 3" xfId="2868"/>
    <cellStyle name="Comma 51 3 2" xfId="3002"/>
    <cellStyle name="Comma 51 3 3" xfId="3126"/>
    <cellStyle name="Comma 52" xfId="1952"/>
    <cellStyle name="Comma 52 2" xfId="1953"/>
    <cellStyle name="Comma 52 2 2" xfId="2871"/>
    <cellStyle name="Comma 52 2 2 2" xfId="3005"/>
    <cellStyle name="Comma 52 2 2 3" xfId="3127"/>
    <cellStyle name="Comma 52 3" xfId="2870"/>
    <cellStyle name="Comma 52 3 2" xfId="3004"/>
    <cellStyle name="Comma 52 3 3" xfId="3128"/>
    <cellStyle name="Comma 53" xfId="1954"/>
    <cellStyle name="Comma 53 2" xfId="2872"/>
    <cellStyle name="Comma 53 2 2" xfId="3006"/>
    <cellStyle name="Comma 53 2 3" xfId="3129"/>
    <cellStyle name="Comma 54" xfId="1955"/>
    <cellStyle name="Comma 54 2" xfId="2873"/>
    <cellStyle name="Comma 54 2 2" xfId="3007"/>
    <cellStyle name="Comma 54 2 3" xfId="3130"/>
    <cellStyle name="Comma 55" xfId="1956"/>
    <cellStyle name="Comma 55 2" xfId="2874"/>
    <cellStyle name="Comma 55 2 2" xfId="3008"/>
    <cellStyle name="Comma 55 2 3" xfId="3131"/>
    <cellStyle name="Comma 56" xfId="1957"/>
    <cellStyle name="Comma 56 2" xfId="2875"/>
    <cellStyle name="Comma 56 2 2" xfId="3009"/>
    <cellStyle name="Comma 56 2 3" xfId="3132"/>
    <cellStyle name="Comma 57" xfId="1958"/>
    <cellStyle name="Comma 57 2" xfId="2876"/>
    <cellStyle name="Comma 57 2 2" xfId="3010"/>
    <cellStyle name="Comma 57 2 3" xfId="3133"/>
    <cellStyle name="Comma 58" xfId="1959"/>
    <cellStyle name="Comma 58 2" xfId="2877"/>
    <cellStyle name="Comma 58 2 2" xfId="3011"/>
    <cellStyle name="Comma 58 2 3" xfId="3134"/>
    <cellStyle name="Comma 59" xfId="1960"/>
    <cellStyle name="Comma 59 2" xfId="2878"/>
    <cellStyle name="Comma 59 2 2" xfId="3012"/>
    <cellStyle name="Comma 59 2 3" xfId="3135"/>
    <cellStyle name="Comma 6" xfId="1961"/>
    <cellStyle name="Comma 6 2" xfId="1962"/>
    <cellStyle name="Comma 6 2 2" xfId="2880"/>
    <cellStyle name="Comma 6 2 2 2" xfId="3014"/>
    <cellStyle name="Comma 6 2 2 3" xfId="3136"/>
    <cellStyle name="Comma 6 3" xfId="1963"/>
    <cellStyle name="Comma 6 4" xfId="2879"/>
    <cellStyle name="Comma 6 4 2" xfId="3013"/>
    <cellStyle name="Comma 6 4 3" xfId="3137"/>
    <cellStyle name="Comma 60" xfId="1964"/>
    <cellStyle name="Comma 60 2" xfId="2881"/>
    <cellStyle name="Comma 60 2 2" xfId="3015"/>
    <cellStyle name="Comma 60 2 3" xfId="3138"/>
    <cellStyle name="Comma 61" xfId="1965"/>
    <cellStyle name="Comma 61 2" xfId="2882"/>
    <cellStyle name="Comma 61 2 2" xfId="3016"/>
    <cellStyle name="Comma 61 2 3" xfId="3139"/>
    <cellStyle name="Comma 62" xfId="1966"/>
    <cellStyle name="Comma 62 2" xfId="2883"/>
    <cellStyle name="Comma 62 2 2" xfId="3017"/>
    <cellStyle name="Comma 62 2 3" xfId="3140"/>
    <cellStyle name="Comma 63" xfId="1967"/>
    <cellStyle name="Comma 63 2" xfId="2884"/>
    <cellStyle name="Comma 63 2 2" xfId="3018"/>
    <cellStyle name="Comma 63 2 3" xfId="3141"/>
    <cellStyle name="Comma 64" xfId="1968"/>
    <cellStyle name="Comma 64 2" xfId="2885"/>
    <cellStyle name="Comma 64 2 2" xfId="3019"/>
    <cellStyle name="Comma 64 2 3" xfId="3142"/>
    <cellStyle name="Comma 65" xfId="1969"/>
    <cellStyle name="Comma 65 2" xfId="2886"/>
    <cellStyle name="Comma 65 2 2" xfId="3020"/>
    <cellStyle name="Comma 65 2 3" xfId="3143"/>
    <cellStyle name="Comma 66" xfId="1970"/>
    <cellStyle name="Comma 66 2" xfId="2887"/>
    <cellStyle name="Comma 66 2 2" xfId="3021"/>
    <cellStyle name="Comma 66 2 3" xfId="3144"/>
    <cellStyle name="Comma 67" xfId="1971"/>
    <cellStyle name="Comma 67 2" xfId="2888"/>
    <cellStyle name="Comma 67 2 2" xfId="3022"/>
    <cellStyle name="Comma 67 2 3" xfId="3145"/>
    <cellStyle name="Comma 68" xfId="1972"/>
    <cellStyle name="Comma 68 2" xfId="2889"/>
    <cellStyle name="Comma 68 2 2" xfId="3023"/>
    <cellStyle name="Comma 68 2 3" xfId="3146"/>
    <cellStyle name="Comma 69" xfId="1973"/>
    <cellStyle name="Comma 69 2" xfId="2890"/>
    <cellStyle name="Comma 69 2 2" xfId="3024"/>
    <cellStyle name="Comma 69 2 3" xfId="3147"/>
    <cellStyle name="Comma 7" xfId="1974"/>
    <cellStyle name="Comma 7 2" xfId="1975"/>
    <cellStyle name="Comma 7 2 2" xfId="2892"/>
    <cellStyle name="Comma 7 2 2 2" xfId="3026"/>
    <cellStyle name="Comma 7 2 2 3" xfId="3148"/>
    <cellStyle name="Comma 7 3" xfId="1976"/>
    <cellStyle name="Comma 7 4" xfId="2891"/>
    <cellStyle name="Comma 7 4 2" xfId="3025"/>
    <cellStyle name="Comma 7 4 3" xfId="3149"/>
    <cellStyle name="Comma 70" xfId="1977"/>
    <cellStyle name="Comma 70 2" xfId="2893"/>
    <cellStyle name="Comma 70 2 2" xfId="3027"/>
    <cellStyle name="Comma 70 2 3" xfId="3150"/>
    <cellStyle name="Comma 71" xfId="1978"/>
    <cellStyle name="Comma 71 2" xfId="2894"/>
    <cellStyle name="Comma 71 2 2" xfId="3028"/>
    <cellStyle name="Comma 71 2 3" xfId="3151"/>
    <cellStyle name="Comma 72" xfId="1979"/>
    <cellStyle name="Comma 72 2" xfId="2895"/>
    <cellStyle name="Comma 72 2 2" xfId="3029"/>
    <cellStyle name="Comma 72 2 3" xfId="3152"/>
    <cellStyle name="Comma 73" xfId="1980"/>
    <cellStyle name="Comma 73 2" xfId="2896"/>
    <cellStyle name="Comma 73 2 2" xfId="3030"/>
    <cellStyle name="Comma 73 2 3" xfId="3153"/>
    <cellStyle name="Comma 74" xfId="1981"/>
    <cellStyle name="Comma 74 2" xfId="2897"/>
    <cellStyle name="Comma 74 2 2" xfId="3031"/>
    <cellStyle name="Comma 74 2 3" xfId="3154"/>
    <cellStyle name="Comma 75" xfId="1982"/>
    <cellStyle name="Comma 75 2" xfId="2898"/>
    <cellStyle name="Comma 75 2 2" xfId="3032"/>
    <cellStyle name="Comma 75 2 3" xfId="3155"/>
    <cellStyle name="Comma 76" xfId="1983"/>
    <cellStyle name="Comma 76 2" xfId="2899"/>
    <cellStyle name="Comma 76 2 2" xfId="3033"/>
    <cellStyle name="Comma 76 2 3" xfId="3156"/>
    <cellStyle name="Comma 77" xfId="1984"/>
    <cellStyle name="Comma 77 2" xfId="2900"/>
    <cellStyle name="Comma 77 2 2" xfId="3034"/>
    <cellStyle name="Comma 77 2 3" xfId="3157"/>
    <cellStyle name="Comma 78" xfId="1985"/>
    <cellStyle name="Comma 78 2" xfId="2901"/>
    <cellStyle name="Comma 78 2 2" xfId="3035"/>
    <cellStyle name="Comma 78 2 3" xfId="3158"/>
    <cellStyle name="Comma 79" xfId="1986"/>
    <cellStyle name="Comma 79 2" xfId="2902"/>
    <cellStyle name="Comma 79 2 2" xfId="3036"/>
    <cellStyle name="Comma 79 2 3" xfId="3159"/>
    <cellStyle name="Comma 8" xfId="1987"/>
    <cellStyle name="Comma 8 2" xfId="1988"/>
    <cellStyle name="Comma 8 2 2" xfId="2904"/>
    <cellStyle name="Comma 8 2 2 2" xfId="3038"/>
    <cellStyle name="Comma 8 2 2 3" xfId="3160"/>
    <cellStyle name="Comma 8 3" xfId="2903"/>
    <cellStyle name="Comma 8 3 2" xfId="3037"/>
    <cellStyle name="Comma 8 3 3" xfId="3161"/>
    <cellStyle name="Comma 80" xfId="1989"/>
    <cellStyle name="Comma 80 2" xfId="2905"/>
    <cellStyle name="Comma 80 2 2" xfId="3039"/>
    <cellStyle name="Comma 80 2 3" xfId="3162"/>
    <cellStyle name="Comma 81" xfId="1990"/>
    <cellStyle name="Comma 81 2" xfId="2906"/>
    <cellStyle name="Comma 81 2 2" xfId="3040"/>
    <cellStyle name="Comma 81 2 3" xfId="3163"/>
    <cellStyle name="Comma 82" xfId="1991"/>
    <cellStyle name="Comma 82 2" xfId="2907"/>
    <cellStyle name="Comma 82 2 2" xfId="3041"/>
    <cellStyle name="Comma 82 2 3" xfId="3164"/>
    <cellStyle name="Comma 83" xfId="1992"/>
    <cellStyle name="Comma 83 2" xfId="2908"/>
    <cellStyle name="Comma 83 2 2" xfId="3042"/>
    <cellStyle name="Comma 83 2 3" xfId="3165"/>
    <cellStyle name="Comma 84" xfId="1993"/>
    <cellStyle name="Comma 84 2" xfId="2909"/>
    <cellStyle name="Comma 84 2 2" xfId="3043"/>
    <cellStyle name="Comma 84 2 3" xfId="3166"/>
    <cellStyle name="Comma 85" xfId="1994"/>
    <cellStyle name="Comma 85 2" xfId="2910"/>
    <cellStyle name="Comma 85 2 2" xfId="3044"/>
    <cellStyle name="Comma 85 2 3" xfId="3167"/>
    <cellStyle name="Comma 86" xfId="1995"/>
    <cellStyle name="Comma 86 2" xfId="2911"/>
    <cellStyle name="Comma 86 2 2" xfId="3045"/>
    <cellStyle name="Comma 86 2 3" xfId="3168"/>
    <cellStyle name="Comma 87" xfId="1996"/>
    <cellStyle name="Comma 87 2" xfId="2912"/>
    <cellStyle name="Comma 87 2 2" xfId="3046"/>
    <cellStyle name="Comma 87 2 3" xfId="3169"/>
    <cellStyle name="Comma 88" xfId="1997"/>
    <cellStyle name="Comma 88 2" xfId="2913"/>
    <cellStyle name="Comma 88 2 2" xfId="3047"/>
    <cellStyle name="Comma 88 2 3" xfId="3170"/>
    <cellStyle name="Comma 89" xfId="1998"/>
    <cellStyle name="Comma 89 2" xfId="2914"/>
    <cellStyle name="Comma 89 2 2" xfId="3048"/>
    <cellStyle name="Comma 89 2 3" xfId="3171"/>
    <cellStyle name="Comma 9" xfId="1999"/>
    <cellStyle name="Comma 9 2" xfId="2000"/>
    <cellStyle name="Comma 9 2 2" xfId="2916"/>
    <cellStyle name="Comma 9 2 2 2" xfId="3050"/>
    <cellStyle name="Comma 9 2 2 3" xfId="3172"/>
    <cellStyle name="Comma 9 3" xfId="2915"/>
    <cellStyle name="Comma 9 3 2" xfId="3049"/>
    <cellStyle name="Comma 9 3 3" xfId="3173"/>
    <cellStyle name="Comma 90" xfId="2001"/>
    <cellStyle name="Comma 90 2" xfId="2917"/>
    <cellStyle name="Comma 90 2 2" xfId="3051"/>
    <cellStyle name="Comma 90 2 3" xfId="3174"/>
    <cellStyle name="Comma 91" xfId="2002"/>
    <cellStyle name="Comma 91 2" xfId="2918"/>
    <cellStyle name="Comma 91 2 2" xfId="3052"/>
    <cellStyle name="Comma 91 2 3" xfId="3175"/>
    <cellStyle name="Comma 92" xfId="2003"/>
    <cellStyle name="Comma 92 2" xfId="2919"/>
    <cellStyle name="Comma 92 2 2" xfId="3053"/>
    <cellStyle name="Comma 92 2 3" xfId="3176"/>
    <cellStyle name="Comma 93" xfId="2798"/>
    <cellStyle name="Comma 93 2" xfId="2920"/>
    <cellStyle name="Comma 93 2 2" xfId="3054"/>
    <cellStyle name="Comma 93 2 3" xfId="3177"/>
    <cellStyle name="Comma 94" xfId="2797"/>
    <cellStyle name="Comma 94 2" xfId="2921"/>
    <cellStyle name="Comma 94 2 2" xfId="3055"/>
    <cellStyle name="Comma 94 2 3" xfId="3178"/>
    <cellStyle name="Comma 95" xfId="2804"/>
    <cellStyle name="Comma 95 2" xfId="2938"/>
    <cellStyle name="Comma 95 3" xfId="3179"/>
    <cellStyle name="Comma 96" xfId="2932"/>
    <cellStyle name="Comma 97" xfId="2931"/>
    <cellStyle name="Comma 98" xfId="2935"/>
    <cellStyle name="Comma 99" xfId="3061"/>
    <cellStyle name="comma zerodec" xfId="2004"/>
    <cellStyle name="comma zerodec 2" xfId="2005"/>
    <cellStyle name="Comma[0]_Key 11" xfId="2006"/>
    <cellStyle name="Comma0" xfId="2007"/>
    <cellStyle name="Comma0 2" xfId="2008"/>
    <cellStyle name="Comma0 2 2" xfId="2922"/>
    <cellStyle name="Currency [00]" xfId="2009"/>
    <cellStyle name="Currency [00] 2" xfId="2010"/>
    <cellStyle name="Currency [00] 2 2" xfId="2011"/>
    <cellStyle name="Currency [00] 2 3" xfId="2012"/>
    <cellStyle name="Currency [00] 3" xfId="2013"/>
    <cellStyle name="Currency [00] 3 2" xfId="2014"/>
    <cellStyle name="Currency [00] 4" xfId="2015"/>
    <cellStyle name="Currency 10" xfId="2016"/>
    <cellStyle name="Currency 100" xfId="2017"/>
    <cellStyle name="Currency 101" xfId="2018"/>
    <cellStyle name="Currency 102" xfId="2019"/>
    <cellStyle name="Currency 103" xfId="2020"/>
    <cellStyle name="Currency 104" xfId="2021"/>
    <cellStyle name="Currency 105" xfId="2022"/>
    <cellStyle name="Currency 106" xfId="2023"/>
    <cellStyle name="Currency 107" xfId="2024"/>
    <cellStyle name="Currency 108" xfId="2025"/>
    <cellStyle name="Currency 109" xfId="2026"/>
    <cellStyle name="Currency 11" xfId="2027"/>
    <cellStyle name="Currency 110" xfId="2028"/>
    <cellStyle name="Currency 111" xfId="2799"/>
    <cellStyle name="Currency 112" xfId="2923"/>
    <cellStyle name="Currency 113" xfId="2933"/>
    <cellStyle name="Currency 114" xfId="2930"/>
    <cellStyle name="Currency 115" xfId="2936"/>
    <cellStyle name="Currency 116" xfId="3180"/>
    <cellStyle name="Currency 117" xfId="3058"/>
    <cellStyle name="Currency 118" xfId="3181"/>
    <cellStyle name="Currency 12" xfId="2029"/>
    <cellStyle name="Currency 13" xfId="2030"/>
    <cellStyle name="Currency 14" xfId="2031"/>
    <cellStyle name="Currency 15" xfId="2032"/>
    <cellStyle name="Currency 16" xfId="2033"/>
    <cellStyle name="Currency 17" xfId="2034"/>
    <cellStyle name="Currency 18" xfId="2035"/>
    <cellStyle name="Currency 19" xfId="2036"/>
    <cellStyle name="Currency 2" xfId="2037"/>
    <cellStyle name="Currency 2 2" xfId="2038"/>
    <cellStyle name="Currency 20" xfId="2039"/>
    <cellStyle name="Currency 20 2" xfId="2040"/>
    <cellStyle name="Currency 21" xfId="2041"/>
    <cellStyle name="Currency 22" xfId="2042"/>
    <cellStyle name="Currency 23" xfId="2043"/>
    <cellStyle name="Currency 24" xfId="2044"/>
    <cellStyle name="Currency 25" xfId="2045"/>
    <cellStyle name="Currency 26" xfId="2046"/>
    <cellStyle name="Currency 27" xfId="2047"/>
    <cellStyle name="Currency 28" xfId="2048"/>
    <cellStyle name="Currency 29" xfId="2049"/>
    <cellStyle name="Currency 3" xfId="2050"/>
    <cellStyle name="Currency 30" xfId="2051"/>
    <cellStyle name="Currency 31" xfId="2052"/>
    <cellStyle name="Currency 32" xfId="2053"/>
    <cellStyle name="Currency 33" xfId="2054"/>
    <cellStyle name="Currency 34" xfId="2055"/>
    <cellStyle name="Currency 35" xfId="2056"/>
    <cellStyle name="Currency 36" xfId="2057"/>
    <cellStyle name="Currency 37" xfId="2058"/>
    <cellStyle name="Currency 38" xfId="2059"/>
    <cellStyle name="Currency 39" xfId="2060"/>
    <cellStyle name="Currency 4" xfId="2061"/>
    <cellStyle name="Currency 4 2" xfId="2062"/>
    <cellStyle name="Currency 4 3" xfId="2063"/>
    <cellStyle name="Currency 4 4" xfId="2064"/>
    <cellStyle name="Currency 40" xfId="2065"/>
    <cellStyle name="Currency 41" xfId="2066"/>
    <cellStyle name="Currency 42" xfId="2067"/>
    <cellStyle name="Currency 43" xfId="2068"/>
    <cellStyle name="Currency 44" xfId="2069"/>
    <cellStyle name="Currency 45" xfId="2070"/>
    <cellStyle name="Currency 46" xfId="2071"/>
    <cellStyle name="Currency 47" xfId="2072"/>
    <cellStyle name="Currency 48" xfId="2073"/>
    <cellStyle name="Currency 49" xfId="2074"/>
    <cellStyle name="Currency 5" xfId="2075"/>
    <cellStyle name="Currency 5 2" xfId="2076"/>
    <cellStyle name="Currency 50" xfId="2077"/>
    <cellStyle name="Currency 51" xfId="2078"/>
    <cellStyle name="Currency 52" xfId="2079"/>
    <cellStyle name="Currency 52 2" xfId="2080"/>
    <cellStyle name="Currency 53" xfId="2081"/>
    <cellStyle name="Currency 53 2" xfId="2082"/>
    <cellStyle name="Currency 54" xfId="2083"/>
    <cellStyle name="Currency 54 2" xfId="2084"/>
    <cellStyle name="Currency 55" xfId="2085"/>
    <cellStyle name="Currency 55 2" xfId="2086"/>
    <cellStyle name="Currency 56" xfId="2087"/>
    <cellStyle name="Currency 56 2" xfId="2088"/>
    <cellStyle name="Currency 57" xfId="2089"/>
    <cellStyle name="Currency 57 2" xfId="2090"/>
    <cellStyle name="Currency 58" xfId="2091"/>
    <cellStyle name="Currency 58 2" xfId="2092"/>
    <cellStyle name="Currency 59" xfId="2093"/>
    <cellStyle name="Currency 59 2" xfId="2094"/>
    <cellStyle name="Currency 6" xfId="2095"/>
    <cellStyle name="Currency 6 2" xfId="2096"/>
    <cellStyle name="Currency 60" xfId="2097"/>
    <cellStyle name="Currency 60 2" xfId="2098"/>
    <cellStyle name="Currency 61" xfId="2099"/>
    <cellStyle name="Currency 61 2" xfId="2100"/>
    <cellStyle name="Currency 62" xfId="2101"/>
    <cellStyle name="Currency 62 2" xfId="2102"/>
    <cellStyle name="Currency 63" xfId="2103"/>
    <cellStyle name="Currency 63 2" xfId="2104"/>
    <cellStyle name="Currency 64" xfId="2105"/>
    <cellStyle name="Currency 64 2" xfId="2106"/>
    <cellStyle name="Currency 65" xfId="2107"/>
    <cellStyle name="Currency 66" xfId="2108"/>
    <cellStyle name="Currency 67" xfId="2109"/>
    <cellStyle name="Currency 68" xfId="2110"/>
    <cellStyle name="Currency 69" xfId="2111"/>
    <cellStyle name="Currency 7" xfId="2112"/>
    <cellStyle name="Currency 7 2" xfId="2113"/>
    <cellStyle name="Currency 70" xfId="2114"/>
    <cellStyle name="Currency 71" xfId="2115"/>
    <cellStyle name="Currency 72" xfId="2116"/>
    <cellStyle name="Currency 73" xfId="2117"/>
    <cellStyle name="Currency 74" xfId="2118"/>
    <cellStyle name="Currency 75" xfId="2119"/>
    <cellStyle name="Currency 76" xfId="2120"/>
    <cellStyle name="Currency 77" xfId="2121"/>
    <cellStyle name="Currency 78" xfId="2122"/>
    <cellStyle name="Currency 79" xfId="2123"/>
    <cellStyle name="Currency 8" xfId="2124"/>
    <cellStyle name="Currency 8 2" xfId="2125"/>
    <cellStyle name="Currency 80" xfId="2126"/>
    <cellStyle name="Currency 81" xfId="2127"/>
    <cellStyle name="Currency 82" xfId="2128"/>
    <cellStyle name="Currency 83" xfId="2129"/>
    <cellStyle name="Currency 84" xfId="2130"/>
    <cellStyle name="Currency 85" xfId="2131"/>
    <cellStyle name="Currency 86" xfId="2132"/>
    <cellStyle name="Currency 87" xfId="2133"/>
    <cellStyle name="Currency 88" xfId="2134"/>
    <cellStyle name="Currency 89" xfId="2135"/>
    <cellStyle name="Currency 9" xfId="2136"/>
    <cellStyle name="Currency 90" xfId="2137"/>
    <cellStyle name="Currency 91" xfId="2138"/>
    <cellStyle name="Currency 92" xfId="2139"/>
    <cellStyle name="Currency 93" xfId="2140"/>
    <cellStyle name="Currency 94" xfId="2141"/>
    <cellStyle name="Currency 95" xfId="2142"/>
    <cellStyle name="Currency 96" xfId="2143"/>
    <cellStyle name="Currency 97" xfId="2144"/>
    <cellStyle name="Currency 98" xfId="2145"/>
    <cellStyle name="Currency 99" xfId="2146"/>
    <cellStyle name="Currency0" xfId="2147"/>
    <cellStyle name="Currency0 2" xfId="2148"/>
    <cellStyle name="Currency0 2 2" xfId="2924"/>
    <cellStyle name="Currency1" xfId="2149"/>
    <cellStyle name="Currency1 2" xfId="2150"/>
    <cellStyle name="Date Short" xfId="2151"/>
    <cellStyle name="Date Short 2" xfId="2152"/>
    <cellStyle name="Dollar (zero dec)" xfId="2153"/>
    <cellStyle name="Dollar (zero dec) 2" xfId="2154"/>
    <cellStyle name="Enter Currency (0)" xfId="2155"/>
    <cellStyle name="Enter Currency (0) 2" xfId="2156"/>
    <cellStyle name="Enter Currency (0) 2 2" xfId="2157"/>
    <cellStyle name="Enter Currency (0) 3" xfId="2158"/>
    <cellStyle name="Enter Currency (0) 3 2" xfId="2159"/>
    <cellStyle name="Enter Currency (2)" xfId="2160"/>
    <cellStyle name="Enter Currency (2) 2" xfId="2161"/>
    <cellStyle name="Enter Currency (2) 2 2" xfId="2162"/>
    <cellStyle name="Enter Currency (2) 3" xfId="2163"/>
    <cellStyle name="Enter Currency (2) 3 2" xfId="2164"/>
    <cellStyle name="Enter Units (0)" xfId="2165"/>
    <cellStyle name="Enter Units (0) 2" xfId="2166"/>
    <cellStyle name="Enter Units (0) 2 2" xfId="2167"/>
    <cellStyle name="Enter Units (0) 3" xfId="2168"/>
    <cellStyle name="Enter Units (0) 3 2" xfId="2169"/>
    <cellStyle name="Enter Units (1)" xfId="2170"/>
    <cellStyle name="Enter Units (1) 2" xfId="2171"/>
    <cellStyle name="Enter Units (1) 2 2" xfId="2172"/>
    <cellStyle name="Enter Units (1) 3" xfId="2173"/>
    <cellStyle name="Enter Units (1) 3 2" xfId="2174"/>
    <cellStyle name="Enter Units (2)" xfId="2175"/>
    <cellStyle name="Enter Units (2) 2" xfId="2176"/>
    <cellStyle name="Enter Units (2) 2 2" xfId="2177"/>
    <cellStyle name="Enter Units (2) 3" xfId="2178"/>
    <cellStyle name="Enter Units (2) 3 2" xfId="2179"/>
    <cellStyle name="Explanatory Text 2" xfId="2180"/>
    <cellStyle name="Explanatory Text 2 2" xfId="2181"/>
    <cellStyle name="Explanatory Text 2 3" xfId="2182"/>
    <cellStyle name="Explanatory Text 3" xfId="2183"/>
    <cellStyle name="Explanatory Text 3 2" xfId="2184"/>
    <cellStyle name="Explanatory Text 3 3" xfId="2185"/>
    <cellStyle name="Explanatory Text 4 2" xfId="2186"/>
    <cellStyle name="Explanatory Text 4 3" xfId="2187"/>
    <cellStyle name="Good 2" xfId="2188"/>
    <cellStyle name="Good 2 2" xfId="2189"/>
    <cellStyle name="Good 2 3" xfId="2190"/>
    <cellStyle name="Good 3" xfId="2191"/>
    <cellStyle name="Good 3 2" xfId="2192"/>
    <cellStyle name="Good 3 3" xfId="2193"/>
    <cellStyle name="Good 4 2" xfId="2194"/>
    <cellStyle name="Good 4 3" xfId="2195"/>
    <cellStyle name="Grey" xfId="2196"/>
    <cellStyle name="Grey 2" xfId="2197"/>
    <cellStyle name="Grey 3" xfId="2198"/>
    <cellStyle name="Header1" xfId="2199"/>
    <cellStyle name="Header1 2" xfId="2200"/>
    <cellStyle name="Header1 3" xfId="2201"/>
    <cellStyle name="Header2" xfId="2202"/>
    <cellStyle name="Header2 2" xfId="2203"/>
    <cellStyle name="Header2 3" xfId="2204"/>
    <cellStyle name="Heading 1 2" xfId="2205"/>
    <cellStyle name="Heading 1 2 2" xfId="2206"/>
    <cellStyle name="Heading 1 2 3" xfId="2207"/>
    <cellStyle name="Heading 1 2 4" xfId="2208"/>
    <cellStyle name="Heading 1 2 5" xfId="2209"/>
    <cellStyle name="Heading 1 2 5 2" xfId="2210"/>
    <cellStyle name="Heading 1 2 5 2 2" xfId="2925"/>
    <cellStyle name="Heading 1 3" xfId="2211"/>
    <cellStyle name="Heading 1 3 2" xfId="2212"/>
    <cellStyle name="Heading 1 3 3" xfId="2213"/>
    <cellStyle name="Heading 1 4 2" xfId="2214"/>
    <cellStyle name="Heading 1 4 3" xfId="2215"/>
    <cellStyle name="Heading 2 2" xfId="2216"/>
    <cellStyle name="Heading 2 2 2" xfId="2217"/>
    <cellStyle name="Heading 2 2 3" xfId="2218"/>
    <cellStyle name="Heading 2 2 4" xfId="2219"/>
    <cellStyle name="Heading 2 2 5" xfId="2220"/>
    <cellStyle name="Heading 2 2 5 2" xfId="2221"/>
    <cellStyle name="Heading 2 2 5 2 2" xfId="2926"/>
    <cellStyle name="Heading 2 3" xfId="2222"/>
    <cellStyle name="Heading 2 3 2" xfId="2223"/>
    <cellStyle name="Heading 2 3 3" xfId="2224"/>
    <cellStyle name="Heading 2 4 2" xfId="2225"/>
    <cellStyle name="Heading 2 4 3" xfId="2226"/>
    <cellStyle name="Heading 3 2" xfId="2227"/>
    <cellStyle name="Heading 3 2 2" xfId="2228"/>
    <cellStyle name="Heading 3 2 3" xfId="2229"/>
    <cellStyle name="Heading 3 2 4" xfId="2230"/>
    <cellStyle name="Heading 3 3" xfId="2231"/>
    <cellStyle name="Heading 3 3 2" xfId="2232"/>
    <cellStyle name="Heading 3 3 3" xfId="2233"/>
    <cellStyle name="Heading 3 4 2" xfId="2234"/>
    <cellStyle name="Heading 3 4 3" xfId="2235"/>
    <cellStyle name="Heading 4 2" xfId="2236"/>
    <cellStyle name="Heading 4 2 2" xfId="2237"/>
    <cellStyle name="Heading 4 2 3" xfId="2238"/>
    <cellStyle name="Heading 4 2 4" xfId="2239"/>
    <cellStyle name="Heading 4 3" xfId="2240"/>
    <cellStyle name="Heading 4 3 2" xfId="2241"/>
    <cellStyle name="Heading 4 3 3" xfId="2242"/>
    <cellStyle name="Heading 4 4 2" xfId="2243"/>
    <cellStyle name="Heading 4 4 3" xfId="2244"/>
    <cellStyle name="Hyperlink 2" xfId="2245"/>
    <cellStyle name="Input [yellow]" xfId="2246"/>
    <cellStyle name="Input [yellow] 2" xfId="2247"/>
    <cellStyle name="Input [yellow] 2 2" xfId="2248"/>
    <cellStyle name="Input [yellow] 3" xfId="2249"/>
    <cellStyle name="Input [yellow] 3 2" xfId="2250"/>
    <cellStyle name="Input 10" xfId="2251"/>
    <cellStyle name="Input 11" xfId="2252"/>
    <cellStyle name="Input 12" xfId="2253"/>
    <cellStyle name="Input 13" xfId="2254"/>
    <cellStyle name="Input 14" xfId="2255"/>
    <cellStyle name="Input 15" xfId="2256"/>
    <cellStyle name="Input 16" xfId="2257"/>
    <cellStyle name="Input 17" xfId="2258"/>
    <cellStyle name="Input 18" xfId="2259"/>
    <cellStyle name="Input 19" xfId="2260"/>
    <cellStyle name="Input 2" xfId="2261"/>
    <cellStyle name="Input 2 2" xfId="2262"/>
    <cellStyle name="Input 2 3" xfId="2263"/>
    <cellStyle name="Input 20" xfId="2264"/>
    <cellStyle name="Input 21" xfId="2265"/>
    <cellStyle name="Input 22" xfId="2266"/>
    <cellStyle name="Input 3" xfId="2267"/>
    <cellStyle name="Input 3 2" xfId="2268"/>
    <cellStyle name="Input 3 3" xfId="2269"/>
    <cellStyle name="Input 4" xfId="2270"/>
    <cellStyle name="Input 4 2" xfId="2271"/>
    <cellStyle name="Input 4 3" xfId="2272"/>
    <cellStyle name="Input 5" xfId="2273"/>
    <cellStyle name="Input 5 2" xfId="2274"/>
    <cellStyle name="Input 6" xfId="2275"/>
    <cellStyle name="Input 6 2" xfId="2276"/>
    <cellStyle name="Input 7" xfId="2277"/>
    <cellStyle name="Input 7 2" xfId="2278"/>
    <cellStyle name="Input 8" xfId="2279"/>
    <cellStyle name="Input 8 2" xfId="2280"/>
    <cellStyle name="Input 9" xfId="2281"/>
    <cellStyle name="LAR Value" xfId="2282"/>
    <cellStyle name="LAR Value 2" xfId="2283"/>
    <cellStyle name="LAR Value 3" xfId="2284"/>
    <cellStyle name="Link Currency (0)" xfId="2285"/>
    <cellStyle name="Link Currency (0) 2" xfId="2286"/>
    <cellStyle name="Link Currency (0) 2 2" xfId="2287"/>
    <cellStyle name="Link Currency (0) 3" xfId="2288"/>
    <cellStyle name="Link Currency (0) 3 2" xfId="2289"/>
    <cellStyle name="Link Currency (2)" xfId="2290"/>
    <cellStyle name="Link Currency (2) 2" xfId="2291"/>
    <cellStyle name="Link Currency (2) 2 2" xfId="2292"/>
    <cellStyle name="Link Currency (2) 3" xfId="2293"/>
    <cellStyle name="Link Currency (2) 3 2" xfId="2294"/>
    <cellStyle name="Link Units (0)" xfId="2295"/>
    <cellStyle name="Link Units (0) 2" xfId="2296"/>
    <cellStyle name="Link Units (0) 2 2" xfId="2297"/>
    <cellStyle name="Link Units (0) 3" xfId="2298"/>
    <cellStyle name="Link Units (0) 3 2" xfId="2299"/>
    <cellStyle name="Link Units (1)" xfId="2300"/>
    <cellStyle name="Link Units (1) 2" xfId="2301"/>
    <cellStyle name="Link Units (1) 2 2" xfId="2302"/>
    <cellStyle name="Link Units (1) 3" xfId="2303"/>
    <cellStyle name="Link Units (1) 3 2" xfId="2304"/>
    <cellStyle name="Link Units (2)" xfId="2305"/>
    <cellStyle name="Link Units (2) 2" xfId="2306"/>
    <cellStyle name="Link Units (2) 2 2" xfId="2307"/>
    <cellStyle name="Link Units (2) 3" xfId="2308"/>
    <cellStyle name="Link Units (2) 3 2" xfId="2309"/>
    <cellStyle name="Linked Cell 2" xfId="2310"/>
    <cellStyle name="Linked Cell 2 2" xfId="2311"/>
    <cellStyle name="Linked Cell 2 3" xfId="2312"/>
    <cellStyle name="Linked Cell 3" xfId="2313"/>
    <cellStyle name="Linked Cell 3 2" xfId="2314"/>
    <cellStyle name="Linked Cell 3 3" xfId="2315"/>
    <cellStyle name="Linked Cell 4 2" xfId="2316"/>
    <cellStyle name="Linked Cell 4 3" xfId="2317"/>
    <cellStyle name="Millares [0]_pldt" xfId="2318"/>
    <cellStyle name="Millares_pldt" xfId="2319"/>
    <cellStyle name="Milliers [0]_EDYAN" xfId="2320"/>
    <cellStyle name="Milliers_EDYAN" xfId="2321"/>
    <cellStyle name="Mon?taire [0]_EDYAN" xfId="2322"/>
    <cellStyle name="Mon?taire_EDYAN" xfId="2323"/>
    <cellStyle name="Moneda [0]_pldt" xfId="2324"/>
    <cellStyle name="Moneda_pldt" xfId="2325"/>
    <cellStyle name="Monétaire [0]_EDYAN" xfId="2326"/>
    <cellStyle name="Monétaire_EDYAN" xfId="2327"/>
    <cellStyle name="ms??9" xfId="2328"/>
    <cellStyle name="ms??9 2" xfId="2329"/>
    <cellStyle name="ms??9 3" xfId="2330"/>
    <cellStyle name="ms明朝9" xfId="2331"/>
    <cellStyle name="ms明朝9 2" xfId="2332"/>
    <cellStyle name="ms明朝9 2 2" xfId="2802"/>
    <cellStyle name="ms明朝9 3" xfId="2333"/>
    <cellStyle name="Muster" xfId="2334"/>
    <cellStyle name="Muster 2" xfId="2335"/>
    <cellStyle name="Muster 2 2" xfId="2803"/>
    <cellStyle name="Muster 3" xfId="2336"/>
    <cellStyle name="Neutral 2" xfId="2337"/>
    <cellStyle name="Neutral 2 2" xfId="2338"/>
    <cellStyle name="Neutral 2 3" xfId="2339"/>
    <cellStyle name="Neutral 3" xfId="2340"/>
    <cellStyle name="Neutral 3 2" xfId="2341"/>
    <cellStyle name="Neutral 3 3" xfId="2342"/>
    <cellStyle name="Neutral 4 2" xfId="2343"/>
    <cellStyle name="Neutral 4 3" xfId="2344"/>
    <cellStyle name="New Times Roman" xfId="2345"/>
    <cellStyle name="New Times Roman 2" xfId="2346"/>
    <cellStyle name="Normal" xfId="0" builtinId="0"/>
    <cellStyle name="Normal - Style1" xfId="2347"/>
    <cellStyle name="Normal - Style1 2" xfId="2348"/>
    <cellStyle name="Normal - Style1 2 2" xfId="2349"/>
    <cellStyle name="Normal - Style1 3" xfId="2350"/>
    <cellStyle name="Normal - Style1 3 2" xfId="2351"/>
    <cellStyle name="Normal 10" xfId="2352"/>
    <cellStyle name="Normal 11" xfId="2353"/>
    <cellStyle name="Normal 12" xfId="2354"/>
    <cellStyle name="Normal 13" xfId="2355"/>
    <cellStyle name="Normal 14" xfId="2356"/>
    <cellStyle name="Normal 15" xfId="2357"/>
    <cellStyle name="Normal 16" xfId="2358"/>
    <cellStyle name="Normal 17" xfId="2359"/>
    <cellStyle name="Normal 18" xfId="2360"/>
    <cellStyle name="Normal 18 2" xfId="2361"/>
    <cellStyle name="Normal 19" xfId="2362"/>
    <cellStyle name="Normal 19 2" xfId="2363"/>
    <cellStyle name="Normal 2" xfId="2364"/>
    <cellStyle name="Normal 2 2" xfId="2365"/>
    <cellStyle name="Normal 2 2 2" xfId="2366"/>
    <cellStyle name="Normal 2 2 3" xfId="2367"/>
    <cellStyle name="Normal 2 3" xfId="2368"/>
    <cellStyle name="Normal 2 4" xfId="2369"/>
    <cellStyle name="Normal 2 5" xfId="2370"/>
    <cellStyle name="Normal 2 6" xfId="2371"/>
    <cellStyle name="Normal 2_CCFR_TSQC-DCC-1505-003" xfId="2372"/>
    <cellStyle name="Normal 2_PMI 2011 TargetVsResult(H-Year) 3" xfId="2373"/>
    <cellStyle name="Normal 20" xfId="2374"/>
    <cellStyle name="Normal 20 2" xfId="2375"/>
    <cellStyle name="Normal 21" xfId="2376"/>
    <cellStyle name="Normal 21 2" xfId="2377"/>
    <cellStyle name="Normal 22" xfId="2378"/>
    <cellStyle name="Normal 22 2" xfId="2379"/>
    <cellStyle name="Normal 23" xfId="2380"/>
    <cellStyle name="Normal 23 2" xfId="2381"/>
    <cellStyle name="Normal 24" xfId="2382"/>
    <cellStyle name="Normal 24 2" xfId="2383"/>
    <cellStyle name="Normal 25" xfId="2384"/>
    <cellStyle name="Normal 26" xfId="2385"/>
    <cellStyle name="Normal 26 2" xfId="2386"/>
    <cellStyle name="Normal 27" xfId="2387"/>
    <cellStyle name="Normal 27 2" xfId="2388"/>
    <cellStyle name="Normal 28" xfId="2389"/>
    <cellStyle name="Normal 28 2" xfId="2390"/>
    <cellStyle name="Normal 29" xfId="2391"/>
    <cellStyle name="Normal 29 2" xfId="2392"/>
    <cellStyle name="Normal 3" xfId="2393"/>
    <cellStyle name="Normal 3 10" xfId="2394"/>
    <cellStyle name="Normal 3 2" xfId="2395"/>
    <cellStyle name="Normal 3 2 2" xfId="2396"/>
    <cellStyle name="Normal 3 3" xfId="2397"/>
    <cellStyle name="Normal 3 4" xfId="2398"/>
    <cellStyle name="Normal 3 5" xfId="2399"/>
    <cellStyle name="Normal 3 5 2" xfId="2400"/>
    <cellStyle name="Normal 3 5 3" xfId="2401"/>
    <cellStyle name="Normal 3 5 4" xfId="2402"/>
    <cellStyle name="Normal 3 6" xfId="2403"/>
    <cellStyle name="Normal 3 7" xfId="2404"/>
    <cellStyle name="Normal 3 8" xfId="2405"/>
    <cellStyle name="Normal 3 9" xfId="2406"/>
    <cellStyle name="Normal 30" xfId="2407"/>
    <cellStyle name="Normal 30 2" xfId="2408"/>
    <cellStyle name="Normal 31" xfId="2409"/>
    <cellStyle name="Normal 31 2" xfId="2410"/>
    <cellStyle name="Normal 4" xfId="2411"/>
    <cellStyle name="Normal 4 2" xfId="2412"/>
    <cellStyle name="Normal 4 3" xfId="2413"/>
    <cellStyle name="Normal 4 4" xfId="2414"/>
    <cellStyle name="Normal 4_CCFR_TSQC-DCC-1505-003" xfId="2415"/>
    <cellStyle name="Normal 5" xfId="2416"/>
    <cellStyle name="Normal 5 2" xfId="2417"/>
    <cellStyle name="Normal 5 3" xfId="2418"/>
    <cellStyle name="Normal 6" xfId="2419"/>
    <cellStyle name="Normal 6 2" xfId="2420"/>
    <cellStyle name="Normal 7" xfId="2421"/>
    <cellStyle name="Normal 8" xfId="2422"/>
    <cellStyle name="Normal 9" xfId="2423"/>
    <cellStyle name="Normal_CN _YF_TS  EMS - OQC  Performance FY2012" xfId="2424"/>
    <cellStyle name="Normal_FY 2017 Target" xfId="2801"/>
    <cellStyle name="Normal_Key 11 AP_April 2009_Co-Wide_090513 2" xfId="2425"/>
    <cellStyle name="Note 2" xfId="2426"/>
    <cellStyle name="Note 2 2" xfId="2427"/>
    <cellStyle name="Note 2 3" xfId="2428"/>
    <cellStyle name="Note 2 4" xfId="2429"/>
    <cellStyle name="Note 3" xfId="2430"/>
    <cellStyle name="Note 3 2" xfId="2431"/>
    <cellStyle name="Note 3 3" xfId="2432"/>
    <cellStyle name="Note 3 4" xfId="2433"/>
    <cellStyle name="Note 4" xfId="2434"/>
    <cellStyle name="Note 4 2" xfId="2435"/>
    <cellStyle name="Note 4 3" xfId="2436"/>
    <cellStyle name="Œ…‹æØ‚è [0.00]_annex1 history changes" xfId="2437"/>
    <cellStyle name="Œ…‹æØ‚è_annex1 history changes" xfId="2438"/>
    <cellStyle name="Output 2" xfId="2439"/>
    <cellStyle name="Output 2 2" xfId="2440"/>
    <cellStyle name="Output 2 3" xfId="2441"/>
    <cellStyle name="Output 3" xfId="2442"/>
    <cellStyle name="Output 3 2" xfId="2443"/>
    <cellStyle name="Output 3 3" xfId="2444"/>
    <cellStyle name="Output 4 2" xfId="2445"/>
    <cellStyle name="Output 4 3" xfId="2446"/>
    <cellStyle name="p/n" xfId="2447"/>
    <cellStyle name="p/n 2" xfId="2448"/>
    <cellStyle name="Percent" xfId="2449" builtinId="5"/>
    <cellStyle name="Percent [0]" xfId="2450"/>
    <cellStyle name="Percent [0] 2" xfId="2451"/>
    <cellStyle name="Percent [0] 2 2" xfId="2452"/>
    <cellStyle name="Percent [0] 2 3" xfId="2453"/>
    <cellStyle name="Percent [0] 3" xfId="2454"/>
    <cellStyle name="Percent [0] 3 2" xfId="2455"/>
    <cellStyle name="Percent [0] 4" xfId="2456"/>
    <cellStyle name="Percent [00]" xfId="2457"/>
    <cellStyle name="Percent [00] 2" xfId="2458"/>
    <cellStyle name="Percent [00] 2 2" xfId="2459"/>
    <cellStyle name="Percent [00] 3" xfId="2460"/>
    <cellStyle name="Percent [2]" xfId="2461"/>
    <cellStyle name="Percent [2] 2" xfId="2462"/>
    <cellStyle name="Percent [2] 2 2" xfId="2463"/>
    <cellStyle name="Percent [2] 3" xfId="2464"/>
    <cellStyle name="Percent 10" xfId="2465"/>
    <cellStyle name="Percent 10 2" xfId="2466"/>
    <cellStyle name="Percent 100" xfId="2467"/>
    <cellStyle name="Percent 101" xfId="2468"/>
    <cellStyle name="Percent 102" xfId="2469"/>
    <cellStyle name="Percent 103" xfId="2470"/>
    <cellStyle name="Percent 104" xfId="2471"/>
    <cellStyle name="Percent 105" xfId="2472"/>
    <cellStyle name="Percent 106" xfId="2473"/>
    <cellStyle name="Percent 107" xfId="2474"/>
    <cellStyle name="Percent 108" xfId="2475"/>
    <cellStyle name="Percent 109" xfId="2476"/>
    <cellStyle name="Percent 11" xfId="2477"/>
    <cellStyle name="Percent 11 2" xfId="2478"/>
    <cellStyle name="Percent 110" xfId="2479"/>
    <cellStyle name="Percent 111" xfId="2480"/>
    <cellStyle name="Percent 112" xfId="2481"/>
    <cellStyle name="Percent 113" xfId="2482"/>
    <cellStyle name="Percent 114" xfId="2483"/>
    <cellStyle name="Percent 115" xfId="2484"/>
    <cellStyle name="Percent 116" xfId="2485"/>
    <cellStyle name="Percent 117" xfId="2486"/>
    <cellStyle name="Percent 118" xfId="2487"/>
    <cellStyle name="Percent 119" xfId="2488"/>
    <cellStyle name="Percent 12" xfId="2489"/>
    <cellStyle name="Percent 12 2" xfId="2490"/>
    <cellStyle name="Percent 120" xfId="2491"/>
    <cellStyle name="Percent 121" xfId="2492"/>
    <cellStyle name="Percent 122" xfId="2493"/>
    <cellStyle name="Percent 123" xfId="2494"/>
    <cellStyle name="Percent 124" xfId="2495"/>
    <cellStyle name="Percent 125" xfId="2496"/>
    <cellStyle name="Percent 126" xfId="2497"/>
    <cellStyle name="Percent 127" xfId="2498"/>
    <cellStyle name="Percent 128" xfId="2499"/>
    <cellStyle name="Percent 129" xfId="2500"/>
    <cellStyle name="Percent 13" xfId="2501"/>
    <cellStyle name="Percent 13 2" xfId="2502"/>
    <cellStyle name="Percent 130" xfId="2503"/>
    <cellStyle name="Percent 131" xfId="2504"/>
    <cellStyle name="Percent 132" xfId="2505"/>
    <cellStyle name="Percent 133" xfId="2506"/>
    <cellStyle name="Percent 134" xfId="2507"/>
    <cellStyle name="Percent 135" xfId="2508"/>
    <cellStyle name="Percent 136" xfId="2509"/>
    <cellStyle name="Percent 137" xfId="2510"/>
    <cellStyle name="Percent 138" xfId="2511"/>
    <cellStyle name="Percent 139" xfId="2512"/>
    <cellStyle name="Percent 14" xfId="2513"/>
    <cellStyle name="Percent 14 2" xfId="2514"/>
    <cellStyle name="Percent 140" xfId="2515"/>
    <cellStyle name="Percent 141" xfId="2516"/>
    <cellStyle name="Percent 142" xfId="2517"/>
    <cellStyle name="Percent 143" xfId="2518"/>
    <cellStyle name="Percent 144" xfId="2519"/>
    <cellStyle name="Percent 145" xfId="2520"/>
    <cellStyle name="Percent 146" xfId="2521"/>
    <cellStyle name="Percent 147" xfId="2522"/>
    <cellStyle name="Percent 148" xfId="2523"/>
    <cellStyle name="Percent 149" xfId="2524"/>
    <cellStyle name="Percent 15" xfId="2525"/>
    <cellStyle name="Percent 15 2" xfId="2526"/>
    <cellStyle name="Percent 150" xfId="2527"/>
    <cellStyle name="Percent 151" xfId="2528"/>
    <cellStyle name="Percent 152" xfId="2529"/>
    <cellStyle name="Percent 153" xfId="2530"/>
    <cellStyle name="Percent 154" xfId="2531"/>
    <cellStyle name="Percent 155" xfId="2800"/>
    <cellStyle name="Percent 156" xfId="2796"/>
    <cellStyle name="Percent 157" xfId="2927"/>
    <cellStyle name="Percent 158" xfId="2934"/>
    <cellStyle name="Percent 159" xfId="2929"/>
    <cellStyle name="Percent 16" xfId="2532"/>
    <cellStyle name="Percent 160" xfId="2937"/>
    <cellStyle name="Percent 161" xfId="3182"/>
    <cellStyle name="Percent 162" xfId="3057"/>
    <cellStyle name="Percent 163" xfId="3183"/>
    <cellStyle name="Percent 17" xfId="2533"/>
    <cellStyle name="Percent 18" xfId="2534"/>
    <cellStyle name="Percent 19" xfId="2535"/>
    <cellStyle name="Percent 2" xfId="2536"/>
    <cellStyle name="Percent 2 2" xfId="2537"/>
    <cellStyle name="Percent 2 2 2" xfId="2538"/>
    <cellStyle name="Percent 2 2 3" xfId="2539"/>
    <cellStyle name="Percent 2 3" xfId="2540"/>
    <cellStyle name="Percent 2 3 2" xfId="2541"/>
    <cellStyle name="Percent 2 3 3" xfId="2542"/>
    <cellStyle name="Percent 2 4" xfId="2543"/>
    <cellStyle name="Percent 2 5" xfId="2544"/>
    <cellStyle name="Percent 20" xfId="2545"/>
    <cellStyle name="Percent 21" xfId="2546"/>
    <cellStyle name="Percent 22" xfId="2547"/>
    <cellStyle name="Percent 23" xfId="2548"/>
    <cellStyle name="Percent 24" xfId="2549"/>
    <cellStyle name="Percent 25" xfId="2550"/>
    <cellStyle name="Percent 26" xfId="2551"/>
    <cellStyle name="Percent 27" xfId="2552"/>
    <cellStyle name="Percent 27 2" xfId="2553"/>
    <cellStyle name="Percent 28" xfId="2554"/>
    <cellStyle name="Percent 29" xfId="2555"/>
    <cellStyle name="Percent 3" xfId="2556"/>
    <cellStyle name="Percent 3 2" xfId="2557"/>
    <cellStyle name="Percent 3 2 2" xfId="2558"/>
    <cellStyle name="Percent 3 3" xfId="2559"/>
    <cellStyle name="Percent 30" xfId="2560"/>
    <cellStyle name="Percent 31" xfId="2561"/>
    <cellStyle name="Percent 32" xfId="2562"/>
    <cellStyle name="Percent 33" xfId="2563"/>
    <cellStyle name="Percent 34" xfId="2564"/>
    <cellStyle name="Percent 35" xfId="2565"/>
    <cellStyle name="Percent 36" xfId="2566"/>
    <cellStyle name="Percent 37" xfId="2567"/>
    <cellStyle name="Percent 38" xfId="2568"/>
    <cellStyle name="Percent 39" xfId="2569"/>
    <cellStyle name="Percent 4" xfId="2570"/>
    <cellStyle name="Percent 4 2" xfId="2571"/>
    <cellStyle name="Percent 4 2 2" xfId="2572"/>
    <cellStyle name="Percent 4 3" xfId="2573"/>
    <cellStyle name="Percent 4 4" xfId="2574"/>
    <cellStyle name="Percent 40" xfId="2575"/>
    <cellStyle name="Percent 41" xfId="2576"/>
    <cellStyle name="Percent 42" xfId="2577"/>
    <cellStyle name="Percent 43" xfId="2578"/>
    <cellStyle name="Percent 44" xfId="2579"/>
    <cellStyle name="Percent 45" xfId="2580"/>
    <cellStyle name="Percent 46" xfId="2581"/>
    <cellStyle name="Percent 47" xfId="2582"/>
    <cellStyle name="Percent 48" xfId="2583"/>
    <cellStyle name="Percent 49" xfId="2584"/>
    <cellStyle name="Percent 5" xfId="2585"/>
    <cellStyle name="Percent 50" xfId="2586"/>
    <cellStyle name="Percent 51" xfId="2587"/>
    <cellStyle name="Percent 52" xfId="2588"/>
    <cellStyle name="Percent 53" xfId="2589"/>
    <cellStyle name="Percent 54" xfId="2590"/>
    <cellStyle name="Percent 55" xfId="2591"/>
    <cellStyle name="Percent 56" xfId="2592"/>
    <cellStyle name="Percent 57" xfId="2593"/>
    <cellStyle name="Percent 58" xfId="2594"/>
    <cellStyle name="Percent 59" xfId="2595"/>
    <cellStyle name="Percent 6" xfId="2596"/>
    <cellStyle name="Percent 6 2" xfId="2597"/>
    <cellStyle name="Percent 6 2 2" xfId="2598"/>
    <cellStyle name="Percent 6 3" xfId="2599"/>
    <cellStyle name="Percent 6 4" xfId="2600"/>
    <cellStyle name="Percent 60" xfId="2601"/>
    <cellStyle name="Percent 60 2" xfId="2602"/>
    <cellStyle name="Percent 61" xfId="2603"/>
    <cellStyle name="Percent 61 2" xfId="2604"/>
    <cellStyle name="Percent 62" xfId="2605"/>
    <cellStyle name="Percent 62 2" xfId="2606"/>
    <cellStyle name="Percent 63" xfId="2607"/>
    <cellStyle name="Percent 63 2" xfId="2608"/>
    <cellStyle name="Percent 64" xfId="2609"/>
    <cellStyle name="Percent 64 2" xfId="2610"/>
    <cellStyle name="Percent 65" xfId="2611"/>
    <cellStyle name="Percent 65 2" xfId="2612"/>
    <cellStyle name="Percent 66" xfId="2613"/>
    <cellStyle name="Percent 66 2" xfId="2614"/>
    <cellStyle name="Percent 67" xfId="2615"/>
    <cellStyle name="Percent 67 2" xfId="2616"/>
    <cellStyle name="Percent 68" xfId="2617"/>
    <cellStyle name="Percent 68 2" xfId="2618"/>
    <cellStyle name="Percent 69" xfId="2619"/>
    <cellStyle name="Percent 69 2" xfId="2620"/>
    <cellStyle name="Percent 7" xfId="2621"/>
    <cellStyle name="Percent 7 2" xfId="2622"/>
    <cellStyle name="Percent 7 3" xfId="2623"/>
    <cellStyle name="Percent 7 4" xfId="2624"/>
    <cellStyle name="Percent 70" xfId="2625"/>
    <cellStyle name="Percent 70 2" xfId="2626"/>
    <cellStyle name="Percent 71" xfId="2627"/>
    <cellStyle name="Percent 71 2" xfId="2628"/>
    <cellStyle name="Percent 72" xfId="2629"/>
    <cellStyle name="Percent 72 2" xfId="2630"/>
    <cellStyle name="Percent 73" xfId="2631"/>
    <cellStyle name="Percent 74" xfId="2632"/>
    <cellStyle name="Percent 75" xfId="2633"/>
    <cellStyle name="Percent 76" xfId="2634"/>
    <cellStyle name="Percent 77" xfId="2635"/>
    <cellStyle name="Percent 78" xfId="2636"/>
    <cellStyle name="Percent 79" xfId="2637"/>
    <cellStyle name="Percent 8" xfId="2638"/>
    <cellStyle name="Percent 8 2" xfId="2639"/>
    <cellStyle name="Percent 80" xfId="2640"/>
    <cellStyle name="Percent 81" xfId="2641"/>
    <cellStyle name="Percent 82" xfId="2642"/>
    <cellStyle name="Percent 83" xfId="2643"/>
    <cellStyle name="Percent 84" xfId="2644"/>
    <cellStyle name="Percent 85" xfId="2645"/>
    <cellStyle name="Percent 86" xfId="2646"/>
    <cellStyle name="Percent 87" xfId="2647"/>
    <cellStyle name="Percent 88" xfId="2648"/>
    <cellStyle name="Percent 89" xfId="2649"/>
    <cellStyle name="Percent 9" xfId="2650"/>
    <cellStyle name="Percent 9 2" xfId="2651"/>
    <cellStyle name="Percent 90" xfId="2652"/>
    <cellStyle name="Percent 91" xfId="2653"/>
    <cellStyle name="Percent 92" xfId="2654"/>
    <cellStyle name="Percent 93" xfId="2655"/>
    <cellStyle name="Percent 94" xfId="2656"/>
    <cellStyle name="Percent 95" xfId="2657"/>
    <cellStyle name="Percent 96" xfId="2658"/>
    <cellStyle name="Percent 97" xfId="2659"/>
    <cellStyle name="Percent 98" xfId="2660"/>
    <cellStyle name="Percent 99" xfId="2661"/>
    <cellStyle name="Percent_TS" xfId="2662"/>
    <cellStyle name="Percent_TS_2" xfId="2663"/>
    <cellStyle name="Percent_TS_3" xfId="2664"/>
    <cellStyle name="PrePop Currency (0)" xfId="2665"/>
    <cellStyle name="PrePop Currency (0) 2" xfId="2666"/>
    <cellStyle name="PrePop Currency (0) 2 2" xfId="2667"/>
    <cellStyle name="PrePop Currency (0) 3" xfId="2668"/>
    <cellStyle name="PrePop Currency (0) 3 2" xfId="2669"/>
    <cellStyle name="PrePop Currency (2)" xfId="2670"/>
    <cellStyle name="PrePop Currency (2) 2" xfId="2671"/>
    <cellStyle name="PrePop Currency (2) 2 2" xfId="2672"/>
    <cellStyle name="PrePop Currency (2) 3" xfId="2673"/>
    <cellStyle name="PrePop Currency (2) 3 2" xfId="2674"/>
    <cellStyle name="PrePop Units (0)" xfId="2675"/>
    <cellStyle name="PrePop Units (0) 2" xfId="2676"/>
    <cellStyle name="PrePop Units (0) 2 2" xfId="2677"/>
    <cellStyle name="PrePop Units (0) 3" xfId="2678"/>
    <cellStyle name="PrePop Units (0) 3 2" xfId="2679"/>
    <cellStyle name="PrePop Units (1)" xfId="2680"/>
    <cellStyle name="PrePop Units (1) 2" xfId="2681"/>
    <cellStyle name="PrePop Units (1) 2 2" xfId="2682"/>
    <cellStyle name="PrePop Units (1) 3" xfId="2683"/>
    <cellStyle name="PrePop Units (1) 3 2" xfId="2684"/>
    <cellStyle name="PrePop Units (2)" xfId="2685"/>
    <cellStyle name="PrePop Units (2) 2" xfId="2686"/>
    <cellStyle name="PrePop Units (2) 2 2" xfId="2687"/>
    <cellStyle name="PrePop Units (2) 3" xfId="2688"/>
    <cellStyle name="PrePop Units (2) 3 2" xfId="2689"/>
    <cellStyle name="Product" xfId="2690"/>
    <cellStyle name="Product 2" xfId="2691"/>
    <cellStyle name="RowLevel_0" xfId="2692"/>
    <cellStyle name="Style 1" xfId="2693"/>
    <cellStyle name="Style 1 2" xfId="2694"/>
    <cellStyle name="Style 1 3" xfId="2695"/>
    <cellStyle name="Style 1 4" xfId="2696"/>
    <cellStyle name="Style 1 5" xfId="2697"/>
    <cellStyle name="Style 1 6" xfId="2698"/>
    <cellStyle name="Style 1_CCFR_PPS-LOGS-1505-002" xfId="2699"/>
    <cellStyle name="sub" xfId="2700"/>
    <cellStyle name="sub 2" xfId="2701"/>
    <cellStyle name="Temp" xfId="2702"/>
    <cellStyle name="Temp 2" xfId="2703"/>
    <cellStyle name="Text Indent A" xfId="2704"/>
    <cellStyle name="Text Indent A 2" xfId="2705"/>
    <cellStyle name="Text Indent B" xfId="2706"/>
    <cellStyle name="Text Indent B 2" xfId="2707"/>
    <cellStyle name="Text Indent B 2 2" xfId="2708"/>
    <cellStyle name="Text Indent B 3" xfId="2709"/>
    <cellStyle name="Text Indent B 3 2" xfId="2710"/>
    <cellStyle name="Text Indent C" xfId="2711"/>
    <cellStyle name="Text Indent C 2" xfId="2712"/>
    <cellStyle name="Text Indent C 2 2" xfId="2713"/>
    <cellStyle name="Text Indent C 3" xfId="2714"/>
    <cellStyle name="Text Indent C 3 2" xfId="2715"/>
    <cellStyle name="Times New Roman" xfId="2716"/>
    <cellStyle name="Times New Roman 2" xfId="2717"/>
    <cellStyle name="Title 2" xfId="2718"/>
    <cellStyle name="Title 2 2" xfId="2719"/>
    <cellStyle name="Title 2 3" xfId="2720"/>
    <cellStyle name="Title 2 4" xfId="2721"/>
    <cellStyle name="Title 3" xfId="2722"/>
    <cellStyle name="Title 3 2" xfId="2723"/>
    <cellStyle name="Title 3 3" xfId="2724"/>
    <cellStyle name="Title 4 2" xfId="2725"/>
    <cellStyle name="Title 4 3" xfId="2726"/>
    <cellStyle name="Total 2" xfId="2727"/>
    <cellStyle name="Total 2 2" xfId="2728"/>
    <cellStyle name="Total 2 2 2" xfId="2729"/>
    <cellStyle name="Total 2 3" xfId="2730"/>
    <cellStyle name="Total 2 3 2" xfId="2731"/>
    <cellStyle name="Total 2 4" xfId="2732"/>
    <cellStyle name="Total 2 5" xfId="2733"/>
    <cellStyle name="Total 2 5 2" xfId="2734"/>
    <cellStyle name="Total 2 5 2 2" xfId="2928"/>
    <cellStyle name="Total 3" xfId="2735"/>
    <cellStyle name="Total 3 2" xfId="2736"/>
    <cellStyle name="Total 3 2 2" xfId="2737"/>
    <cellStyle name="Total 3 3" xfId="2738"/>
    <cellStyle name="Total 3 3 2" xfId="2739"/>
    <cellStyle name="Total 3 4" xfId="2740"/>
    <cellStyle name="Total 4 2" xfId="2741"/>
    <cellStyle name="Total 4 2 2" xfId="2742"/>
    <cellStyle name="Total 4 3" xfId="2743"/>
    <cellStyle name="Total 4 3 2" xfId="2744"/>
    <cellStyle name="Tusental (0)_pldt" xfId="2745"/>
    <cellStyle name="Tusental_pldt" xfId="2746"/>
    <cellStyle name="Valuta (0)_pldt" xfId="2747"/>
    <cellStyle name="Valuta_pldt" xfId="2748"/>
    <cellStyle name="Warning Text 2" xfId="2749"/>
    <cellStyle name="Warning Text 2 2" xfId="2750"/>
    <cellStyle name="Warning Text 2 3" xfId="2751"/>
    <cellStyle name="Warning Text 3" xfId="2752"/>
    <cellStyle name="Warning Text 3 2" xfId="2753"/>
    <cellStyle name="Warning Text 3 3" xfId="2754"/>
    <cellStyle name="Warning Text 4 2" xfId="2755"/>
    <cellStyle name="Warning Text 4 3" xfId="2756"/>
    <cellStyle name="アクセント 1" xfId="2757"/>
    <cellStyle name="アクセント 2" xfId="2758"/>
    <cellStyle name="アクセント 3" xfId="2759"/>
    <cellStyle name="アクセント 4" xfId="2760"/>
    <cellStyle name="アクセント 5" xfId="2761"/>
    <cellStyle name="アクセント 6" xfId="2762"/>
    <cellStyle name="タイトル" xfId="2763"/>
    <cellStyle name="チェック セル" xfId="2764"/>
    <cellStyle name="どちらでもない" xfId="2765"/>
    <cellStyle name="ハイパーリンク_~9289274" xfId="2766"/>
    <cellStyle name="メモ" xfId="2767"/>
    <cellStyle name="リンク セル" xfId="2768"/>
    <cellStyle name="一般_NEGS" xfId="2769"/>
    <cellStyle name="入力" xfId="2770"/>
    <cellStyle name="出力" xfId="2771"/>
    <cellStyle name="千位分隔[0]_NEGS" xfId="2772"/>
    <cellStyle name="千位分隔_NEGS" xfId="2773"/>
    <cellStyle name="千分位[0]_NEGS" xfId="2774"/>
    <cellStyle name="千分位_NEGS" xfId="2775"/>
    <cellStyle name="常规_NEGS" xfId="2776"/>
    <cellStyle name="悪い" xfId="2777"/>
    <cellStyle name="桁区切り [0.00]_~0052730" xfId="2778"/>
    <cellStyle name="桁区切り_~0052730" xfId="2779"/>
    <cellStyle name="標準_~0052730" xfId="2780"/>
    <cellStyle name="良い" xfId="2781"/>
    <cellStyle name="表示済みのハイパーリンク_~9289274" xfId="2782"/>
    <cellStyle name="見出し 1" xfId="2783"/>
    <cellStyle name="見出し 2" xfId="2784"/>
    <cellStyle name="見出し 3" xfId="2785"/>
    <cellStyle name="見出し 4" xfId="2786"/>
    <cellStyle name="計算" xfId="2787"/>
    <cellStyle name="説明文" xfId="2788"/>
    <cellStyle name="警告文" xfId="2789"/>
    <cellStyle name="貨幣 [0]_NEGS" xfId="2790"/>
    <cellStyle name="貨幣_NEGS" xfId="2791"/>
    <cellStyle name="货币[0]_NEGS" xfId="2792"/>
    <cellStyle name="通貨 [0.00]_~0052730" xfId="2793"/>
    <cellStyle name="通貨_~0052730" xfId="2794"/>
    <cellStyle name="集計" xfId="2795"/>
  </cellStyles>
  <dxfs count="63">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0"/>
        </patternFill>
      </fill>
    </dxf>
    <dxf>
      <fill>
        <patternFill>
          <bgColor indexed="11"/>
        </patternFill>
      </fill>
    </dxf>
    <dxf>
      <fill>
        <patternFill>
          <bgColor indexed="13"/>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1"/>
        </patternFill>
      </fill>
    </dxf>
    <dxf>
      <fill>
        <patternFill>
          <bgColor indexed="13"/>
        </patternFill>
      </fill>
    </dxf>
    <dxf>
      <fill>
        <patternFill>
          <bgColor indexed="10"/>
        </patternFill>
      </fill>
    </dxf>
    <dxf>
      <fill>
        <patternFill>
          <bgColor indexed="11"/>
        </patternFill>
      </fill>
    </dxf>
    <dxf>
      <fill>
        <patternFill>
          <bgColor indexed="13"/>
        </patternFill>
      </fill>
    </dxf>
    <dxf>
      <fill>
        <patternFill>
          <bgColor indexed="10"/>
        </patternFill>
      </fill>
    </dxf>
  </dxfs>
  <tableStyles count="0" defaultTableStyle="TableStyleMedium9" defaultPivotStyle="PivotStyleLight16"/>
  <colors>
    <mruColors>
      <color rgb="FF00FF00"/>
      <color rgb="FFFF99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9" Type="http://schemas.openxmlformats.org/officeDocument/2006/relationships/externalLink" Target="externalLinks/externalLink31.xml"/><Relationship Id="rId21" Type="http://schemas.openxmlformats.org/officeDocument/2006/relationships/externalLink" Target="externalLinks/externalLink13.xml"/><Relationship Id="rId34" Type="http://schemas.openxmlformats.org/officeDocument/2006/relationships/externalLink" Target="externalLinks/externalLink26.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63" Type="http://schemas.openxmlformats.org/officeDocument/2006/relationships/externalLink" Target="externalLinks/externalLink55.xml"/><Relationship Id="rId68" Type="http://schemas.openxmlformats.org/officeDocument/2006/relationships/externalLink" Target="externalLinks/externalLink60.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3.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externalLink" Target="externalLinks/externalLink21.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66" Type="http://schemas.openxmlformats.org/officeDocument/2006/relationships/externalLink" Target="externalLinks/externalLink58.xml"/><Relationship Id="rId7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61" Type="http://schemas.openxmlformats.org/officeDocument/2006/relationships/externalLink" Target="externalLinks/externalLink53.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56" Type="http://schemas.openxmlformats.org/officeDocument/2006/relationships/externalLink" Target="externalLinks/externalLink48.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externalLink" Target="externalLinks/externalLink51.xml"/><Relationship Id="rId67" Type="http://schemas.openxmlformats.org/officeDocument/2006/relationships/externalLink" Target="externalLinks/externalLink5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externalLink" Target="externalLinks/externalLink62.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vmlDrawing2.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emf"/></Relationships>
</file>

<file path=xl/drawings/_rels/vmlDrawing4.vml.rels><?xml version="1.0" encoding="UTF-8" standalone="yes"?>
<Relationships xmlns="http://schemas.openxmlformats.org/package/2006/relationships"><Relationship Id="rId8" Type="http://schemas.openxmlformats.org/officeDocument/2006/relationships/image" Target="../media/image20.emf"/><Relationship Id="rId3" Type="http://schemas.openxmlformats.org/officeDocument/2006/relationships/image" Target="../media/image15.emf"/><Relationship Id="rId7" Type="http://schemas.openxmlformats.org/officeDocument/2006/relationships/image" Target="../media/image19.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5" Type="http://schemas.openxmlformats.org/officeDocument/2006/relationships/image" Target="../media/image17.emf"/><Relationship Id="rId4" Type="http://schemas.openxmlformats.org/officeDocument/2006/relationships/image" Target="../media/image16.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2.emf"/><Relationship Id="rId1" Type="http://schemas.openxmlformats.org/officeDocument/2006/relationships/image" Target="../media/image21.emf"/><Relationship Id="rId6" Type="http://schemas.openxmlformats.org/officeDocument/2006/relationships/image" Target="../media/image26.emf"/><Relationship Id="rId5" Type="http://schemas.openxmlformats.org/officeDocument/2006/relationships/image" Target="../media/image25.emf"/><Relationship Id="rId4" Type="http://schemas.openxmlformats.org/officeDocument/2006/relationships/image" Target="../media/image24.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29.emf"/><Relationship Id="rId2" Type="http://schemas.openxmlformats.org/officeDocument/2006/relationships/image" Target="../media/image28.emf"/><Relationship Id="rId1" Type="http://schemas.openxmlformats.org/officeDocument/2006/relationships/image" Target="../media/image27.emf"/><Relationship Id="rId5" Type="http://schemas.openxmlformats.org/officeDocument/2006/relationships/image" Target="../media/image31.emf"/><Relationship Id="rId4" Type="http://schemas.openxmlformats.org/officeDocument/2006/relationships/image" Target="../media/image30.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33.emf"/><Relationship Id="rId1" Type="http://schemas.openxmlformats.org/officeDocument/2006/relationships/image" Target="../media/image32.emf"/></Relationships>
</file>

<file path=xl/drawings/drawing1.xml><?xml version="1.0" encoding="utf-8"?>
<xdr:wsDr xmlns:xdr="http://schemas.openxmlformats.org/drawingml/2006/spreadsheetDrawing" xmlns:a="http://schemas.openxmlformats.org/drawingml/2006/main">
  <xdr:twoCellAnchor>
    <xdr:from>
      <xdr:col>25</xdr:col>
      <xdr:colOff>142875</xdr:colOff>
      <xdr:row>4</xdr:row>
      <xdr:rowOff>76200</xdr:rowOff>
    </xdr:from>
    <xdr:to>
      <xdr:col>25</xdr:col>
      <xdr:colOff>485775</xdr:colOff>
      <xdr:row>4</xdr:row>
      <xdr:rowOff>247650</xdr:rowOff>
    </xdr:to>
    <xdr:sp macro="" textlink="">
      <xdr:nvSpPr>
        <xdr:cNvPr id="267609" name="AutoShape 1">
          <a:extLst>
            <a:ext uri="{FF2B5EF4-FFF2-40B4-BE49-F238E27FC236}">
              <a16:creationId xmlns:a16="http://schemas.microsoft.com/office/drawing/2014/main" id="{00000000-0008-0000-0100-000059150400}"/>
            </a:ext>
          </a:extLst>
        </xdr:cNvPr>
        <xdr:cNvSpPr>
          <a:spLocks noChangeArrowheads="1"/>
        </xdr:cNvSpPr>
      </xdr:nvSpPr>
      <xdr:spPr bwMode="auto">
        <a:xfrm>
          <a:off x="11134725" y="1114425"/>
          <a:ext cx="0" cy="171450"/>
        </a:xfrm>
        <a:prstGeom prst="upArrow">
          <a:avLst>
            <a:gd name="adj1" fmla="val 50000"/>
            <a:gd name="adj2" fmla="val -2147483648"/>
          </a:avLst>
        </a:prstGeom>
        <a:solidFill>
          <a:srgbClr val="CCFFCC"/>
        </a:solidFill>
        <a:ln w="9525">
          <a:solidFill>
            <a:srgbClr val="000000"/>
          </a:solidFill>
          <a:miter lim="800000"/>
          <a:headEnd/>
          <a:tailEnd/>
        </a:ln>
      </xdr:spPr>
    </xdr:sp>
    <xdr:clientData/>
  </xdr:twoCellAnchor>
  <xdr:twoCellAnchor>
    <xdr:from>
      <xdr:col>25</xdr:col>
      <xdr:colOff>142875</xdr:colOff>
      <xdr:row>10</xdr:row>
      <xdr:rowOff>76200</xdr:rowOff>
    </xdr:from>
    <xdr:to>
      <xdr:col>25</xdr:col>
      <xdr:colOff>485775</xdr:colOff>
      <xdr:row>10</xdr:row>
      <xdr:rowOff>247650</xdr:rowOff>
    </xdr:to>
    <xdr:sp macro="" textlink="">
      <xdr:nvSpPr>
        <xdr:cNvPr id="267610" name="AutoShape 2">
          <a:extLst>
            <a:ext uri="{FF2B5EF4-FFF2-40B4-BE49-F238E27FC236}">
              <a16:creationId xmlns:a16="http://schemas.microsoft.com/office/drawing/2014/main" id="{00000000-0008-0000-0100-00005A150400}"/>
            </a:ext>
          </a:extLst>
        </xdr:cNvPr>
        <xdr:cNvSpPr>
          <a:spLocks noChangeArrowheads="1"/>
        </xdr:cNvSpPr>
      </xdr:nvSpPr>
      <xdr:spPr bwMode="auto">
        <a:xfrm>
          <a:off x="11134725" y="3352800"/>
          <a:ext cx="0" cy="171450"/>
        </a:xfrm>
        <a:prstGeom prst="upArrow">
          <a:avLst>
            <a:gd name="adj1" fmla="val 50000"/>
            <a:gd name="adj2" fmla="val -2147483648"/>
          </a:avLst>
        </a:prstGeom>
        <a:solidFill>
          <a:srgbClr val="FFFF99"/>
        </a:solidFill>
        <a:ln w="9525">
          <a:solidFill>
            <a:srgbClr val="000000"/>
          </a:solidFill>
          <a:miter lim="800000"/>
          <a:headEnd/>
          <a:tailEnd/>
        </a:ln>
      </xdr:spPr>
    </xdr:sp>
    <xdr:clientData/>
  </xdr:twoCellAnchor>
  <xdr:twoCellAnchor>
    <xdr:from>
      <xdr:col>25</xdr:col>
      <xdr:colOff>142875</xdr:colOff>
      <xdr:row>12</xdr:row>
      <xdr:rowOff>76200</xdr:rowOff>
    </xdr:from>
    <xdr:to>
      <xdr:col>25</xdr:col>
      <xdr:colOff>485775</xdr:colOff>
      <xdr:row>12</xdr:row>
      <xdr:rowOff>247650</xdr:rowOff>
    </xdr:to>
    <xdr:sp macro="" textlink="">
      <xdr:nvSpPr>
        <xdr:cNvPr id="267611" name="AutoShape 3">
          <a:extLst>
            <a:ext uri="{FF2B5EF4-FFF2-40B4-BE49-F238E27FC236}">
              <a16:creationId xmlns:a16="http://schemas.microsoft.com/office/drawing/2014/main" id="{00000000-0008-0000-0100-00005B150400}"/>
            </a:ext>
          </a:extLst>
        </xdr:cNvPr>
        <xdr:cNvSpPr>
          <a:spLocks noChangeArrowheads="1"/>
        </xdr:cNvSpPr>
      </xdr:nvSpPr>
      <xdr:spPr bwMode="auto">
        <a:xfrm>
          <a:off x="11134725" y="3800475"/>
          <a:ext cx="0" cy="171450"/>
        </a:xfrm>
        <a:prstGeom prst="upArrow">
          <a:avLst>
            <a:gd name="adj1" fmla="val 50000"/>
            <a:gd name="adj2" fmla="val -2147483648"/>
          </a:avLst>
        </a:prstGeom>
        <a:solidFill>
          <a:srgbClr val="FFFF99"/>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35</xdr:row>
      <xdr:rowOff>0</xdr:rowOff>
    </xdr:from>
    <xdr:to>
      <xdr:col>0</xdr:col>
      <xdr:colOff>9525</xdr:colOff>
      <xdr:row>35</xdr:row>
      <xdr:rowOff>9525</xdr:rowOff>
    </xdr:to>
    <xdr:sp macro="" textlink="">
      <xdr:nvSpPr>
        <xdr:cNvPr id="2" name="AutoShape 1">
          <a:extLst>
            <a:ext uri="{FF2B5EF4-FFF2-40B4-BE49-F238E27FC236}">
              <a16:creationId xmlns:a16="http://schemas.microsoft.com/office/drawing/2014/main" id="{00000000-0008-0000-0200-000002000000}"/>
            </a:ext>
          </a:extLst>
        </xdr:cNvPr>
        <xdr:cNvSpPr>
          <a:spLocks noChangeArrowheads="1"/>
        </xdr:cNvSpPr>
      </xdr:nvSpPr>
      <xdr:spPr bwMode="auto">
        <a:xfrm>
          <a:off x="0" y="14182725"/>
          <a:ext cx="9525" cy="9525"/>
        </a:xfrm>
        <a:prstGeom prst="homePlate">
          <a:avLst>
            <a:gd name="adj" fmla="val -2147483648"/>
          </a:avLst>
        </a:prstGeom>
        <a:solidFill>
          <a:srgbClr val="FFFFFF"/>
        </a:solidFill>
        <a:ln w="9525" cmpd="sng">
          <a:solidFill>
            <a:srgbClr val="000000"/>
          </a:solidFill>
          <a:miter lim="800000"/>
          <a:headEnd/>
          <a:tailEnd/>
        </a:ln>
      </xdr:spPr>
      <xdr:txBody>
        <a:bodyPr vertOverflow="clip" wrap="square" lIns="27432" tIns="22860" rIns="27432" bIns="22860" anchor="ctr" upright="1"/>
        <a:lstStyle/>
        <a:p>
          <a:pPr algn="ctr" rtl="0">
            <a:defRPr sz="1000"/>
          </a:pPr>
          <a:r>
            <a:rPr lang="en-US" sz="800" b="0" i="0" strike="noStrike">
              <a:solidFill>
                <a:srgbClr val="000000"/>
              </a:solidFill>
              <a:latin typeface="Arial"/>
              <a:cs typeface="Arial"/>
            </a:rPr>
            <a:t>WW 53</a:t>
          </a:r>
        </a:p>
      </xdr:txBody>
    </xdr:sp>
    <xdr:clientData/>
  </xdr:twoCellAnchor>
  <mc:AlternateContent xmlns:mc="http://schemas.openxmlformats.org/markup-compatibility/2006">
    <mc:Choice xmlns:a14="http://schemas.microsoft.com/office/drawing/2010/main" Requires="a14">
      <xdr:twoCellAnchor>
        <xdr:from>
          <xdr:col>0</xdr:col>
          <xdr:colOff>127000</xdr:colOff>
          <xdr:row>25</xdr:row>
          <xdr:rowOff>222250</xdr:rowOff>
        </xdr:from>
        <xdr:to>
          <xdr:col>5</xdr:col>
          <xdr:colOff>412750</xdr:colOff>
          <xdr:row>35</xdr:row>
          <xdr:rowOff>190500</xdr:rowOff>
        </xdr:to>
        <xdr:sp macro="" textlink="">
          <xdr:nvSpPr>
            <xdr:cNvPr id="11304" name="Object 40" hidden="1">
              <a:extLst>
                <a:ext uri="{63B3BB69-23CF-44E3-9099-C40C66FF867C}">
                  <a14:compatExt spid="_x0000_s11304"/>
                </a:ext>
                <a:ext uri="{FF2B5EF4-FFF2-40B4-BE49-F238E27FC236}">
                  <a16:creationId xmlns:a16="http://schemas.microsoft.com/office/drawing/2014/main" id="{00000000-0008-0000-0200-000028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222250</xdr:colOff>
          <xdr:row>25</xdr:row>
          <xdr:rowOff>228600</xdr:rowOff>
        </xdr:from>
        <xdr:to>
          <xdr:col>13</xdr:col>
          <xdr:colOff>755650</xdr:colOff>
          <xdr:row>35</xdr:row>
          <xdr:rowOff>279400</xdr:rowOff>
        </xdr:to>
        <xdr:sp macro="" textlink="">
          <xdr:nvSpPr>
            <xdr:cNvPr id="11305" name="Object 41" hidden="1">
              <a:extLst>
                <a:ext uri="{63B3BB69-23CF-44E3-9099-C40C66FF867C}">
                  <a14:compatExt spid="_x0000_s11305"/>
                </a:ext>
                <a:ext uri="{FF2B5EF4-FFF2-40B4-BE49-F238E27FC236}">
                  <a16:creationId xmlns:a16="http://schemas.microsoft.com/office/drawing/2014/main" id="{00000000-0008-0000-0200-000029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222250</xdr:colOff>
          <xdr:row>25</xdr:row>
          <xdr:rowOff>241300</xdr:rowOff>
        </xdr:from>
        <xdr:to>
          <xdr:col>22</xdr:col>
          <xdr:colOff>527050</xdr:colOff>
          <xdr:row>35</xdr:row>
          <xdr:rowOff>298450</xdr:rowOff>
        </xdr:to>
        <xdr:sp macro="" textlink="">
          <xdr:nvSpPr>
            <xdr:cNvPr id="11306" name="Object 42" hidden="1">
              <a:extLst>
                <a:ext uri="{63B3BB69-23CF-44E3-9099-C40C66FF867C}">
                  <a14:compatExt spid="_x0000_s11306"/>
                </a:ext>
                <a:ext uri="{FF2B5EF4-FFF2-40B4-BE49-F238E27FC236}">
                  <a16:creationId xmlns:a16="http://schemas.microsoft.com/office/drawing/2014/main" id="{00000000-0008-0000-0200-00002A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69850</xdr:colOff>
          <xdr:row>36</xdr:row>
          <xdr:rowOff>222250</xdr:rowOff>
        </xdr:from>
        <xdr:to>
          <xdr:col>5</xdr:col>
          <xdr:colOff>469900</xdr:colOff>
          <xdr:row>47</xdr:row>
          <xdr:rowOff>152400</xdr:rowOff>
        </xdr:to>
        <xdr:sp macro="" textlink="">
          <xdr:nvSpPr>
            <xdr:cNvPr id="11307" name="Object 43" hidden="1">
              <a:extLst>
                <a:ext uri="{63B3BB69-23CF-44E3-9099-C40C66FF867C}">
                  <a14:compatExt spid="_x0000_s11307"/>
                </a:ext>
                <a:ext uri="{FF2B5EF4-FFF2-40B4-BE49-F238E27FC236}">
                  <a16:creationId xmlns:a16="http://schemas.microsoft.com/office/drawing/2014/main" id="{00000000-0008-0000-0200-00002B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279400</xdr:colOff>
          <xdr:row>25</xdr:row>
          <xdr:rowOff>260350</xdr:rowOff>
        </xdr:from>
        <xdr:to>
          <xdr:col>31</xdr:col>
          <xdr:colOff>527050</xdr:colOff>
          <xdr:row>36</xdr:row>
          <xdr:rowOff>165100</xdr:rowOff>
        </xdr:to>
        <xdr:sp macro="" textlink="">
          <xdr:nvSpPr>
            <xdr:cNvPr id="11308" name="Object 44" hidden="1">
              <a:extLst>
                <a:ext uri="{63B3BB69-23CF-44E3-9099-C40C66FF867C}">
                  <a14:compatExt spid="_x0000_s11308"/>
                </a:ext>
                <a:ext uri="{FF2B5EF4-FFF2-40B4-BE49-F238E27FC236}">
                  <a16:creationId xmlns:a16="http://schemas.microsoft.com/office/drawing/2014/main" id="{00000000-0008-0000-0200-00002C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298450</xdr:colOff>
          <xdr:row>37</xdr:row>
          <xdr:rowOff>69850</xdr:rowOff>
        </xdr:from>
        <xdr:to>
          <xdr:col>31</xdr:col>
          <xdr:colOff>533400</xdr:colOff>
          <xdr:row>48</xdr:row>
          <xdr:rowOff>38100</xdr:rowOff>
        </xdr:to>
        <xdr:sp macro="" textlink="">
          <xdr:nvSpPr>
            <xdr:cNvPr id="11309" name="Object 45" hidden="1">
              <a:extLst>
                <a:ext uri="{63B3BB69-23CF-44E3-9099-C40C66FF867C}">
                  <a14:compatExt spid="_x0000_s11309"/>
                </a:ext>
                <a:ext uri="{FF2B5EF4-FFF2-40B4-BE49-F238E27FC236}">
                  <a16:creationId xmlns:a16="http://schemas.microsoft.com/office/drawing/2014/main" id="{00000000-0008-0000-0200-00002D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222250</xdr:colOff>
          <xdr:row>36</xdr:row>
          <xdr:rowOff>222250</xdr:rowOff>
        </xdr:from>
        <xdr:to>
          <xdr:col>14</xdr:col>
          <xdr:colOff>12700</xdr:colOff>
          <xdr:row>47</xdr:row>
          <xdr:rowOff>127000</xdr:rowOff>
        </xdr:to>
        <xdr:sp macro="" textlink="">
          <xdr:nvSpPr>
            <xdr:cNvPr id="11310" name="Object 46" hidden="1">
              <a:extLst>
                <a:ext uri="{63B3BB69-23CF-44E3-9099-C40C66FF867C}">
                  <a14:compatExt spid="_x0000_s11310"/>
                </a:ext>
                <a:ext uri="{FF2B5EF4-FFF2-40B4-BE49-F238E27FC236}">
                  <a16:creationId xmlns:a16="http://schemas.microsoft.com/office/drawing/2014/main" id="{00000000-0008-0000-0200-00002E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222250</xdr:colOff>
          <xdr:row>36</xdr:row>
          <xdr:rowOff>222250</xdr:rowOff>
        </xdr:from>
        <xdr:to>
          <xdr:col>22</xdr:col>
          <xdr:colOff>469900</xdr:colOff>
          <xdr:row>47</xdr:row>
          <xdr:rowOff>146050</xdr:rowOff>
        </xdr:to>
        <xdr:sp macro="" textlink="">
          <xdr:nvSpPr>
            <xdr:cNvPr id="11312" name="Picture 29412" hidden="1">
              <a:extLst>
                <a:ext uri="{63B3BB69-23CF-44E3-9099-C40C66FF867C}">
                  <a14:compatExt spid="_x0000_s11312"/>
                </a:ext>
                <a:ext uri="{FF2B5EF4-FFF2-40B4-BE49-F238E27FC236}">
                  <a16:creationId xmlns:a16="http://schemas.microsoft.com/office/drawing/2014/main" id="{00000000-0008-0000-0200-000030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10</xdr:col>
      <xdr:colOff>55789</xdr:colOff>
      <xdr:row>13</xdr:row>
      <xdr:rowOff>38100</xdr:rowOff>
    </xdr:from>
    <xdr:to>
      <xdr:col>10</xdr:col>
      <xdr:colOff>699625</xdr:colOff>
      <xdr:row>14</xdr:row>
      <xdr:rowOff>5443</xdr:rowOff>
    </xdr:to>
    <xdr:sp macro="" textlink="">
      <xdr:nvSpPr>
        <xdr:cNvPr id="12" name="AutoShape 179">
          <a:extLst>
            <a:ext uri="{FF2B5EF4-FFF2-40B4-BE49-F238E27FC236}">
              <a16:creationId xmlns:a16="http://schemas.microsoft.com/office/drawing/2014/main" id="{00000000-0008-0000-0200-00000C000000}"/>
            </a:ext>
          </a:extLst>
        </xdr:cNvPr>
        <xdr:cNvSpPr>
          <a:spLocks noChangeArrowheads="1"/>
        </xdr:cNvSpPr>
      </xdr:nvSpPr>
      <xdr:spPr bwMode="auto">
        <a:xfrm>
          <a:off x="9186182" y="3671207"/>
          <a:ext cx="643836" cy="552450"/>
        </a:xfrm>
        <a:prstGeom prst="homePlate">
          <a:avLst>
            <a:gd name="adj" fmla="val 18750"/>
          </a:avLst>
        </a:prstGeom>
        <a:noFill/>
        <a:ln w="9525" algn="ctr">
          <a:solidFill>
            <a:srgbClr val="000000"/>
          </a:solidFill>
          <a:miter lim="800000"/>
          <a:headEnd/>
          <a:tailEnd/>
        </a:ln>
      </xdr:spPr>
    </xdr:sp>
    <xdr:clientData/>
  </xdr:twoCellAnchor>
  <xdr:twoCellAnchor editAs="oneCell">
    <xdr:from>
      <xdr:col>11</xdr:col>
      <xdr:colOff>46264</xdr:colOff>
      <xdr:row>13</xdr:row>
      <xdr:rowOff>38100</xdr:rowOff>
    </xdr:from>
    <xdr:to>
      <xdr:col>11</xdr:col>
      <xdr:colOff>668548</xdr:colOff>
      <xdr:row>14</xdr:row>
      <xdr:rowOff>5443</xdr:rowOff>
    </xdr:to>
    <xdr:sp macro="" textlink="">
      <xdr:nvSpPr>
        <xdr:cNvPr id="13" name="AutoShape 179">
          <a:extLst>
            <a:ext uri="{FF2B5EF4-FFF2-40B4-BE49-F238E27FC236}">
              <a16:creationId xmlns:a16="http://schemas.microsoft.com/office/drawing/2014/main" id="{00000000-0008-0000-0200-00000D000000}"/>
            </a:ext>
          </a:extLst>
        </xdr:cNvPr>
        <xdr:cNvSpPr>
          <a:spLocks noChangeArrowheads="1"/>
        </xdr:cNvSpPr>
      </xdr:nvSpPr>
      <xdr:spPr bwMode="auto">
        <a:xfrm>
          <a:off x="9925050" y="3671207"/>
          <a:ext cx="622284" cy="552450"/>
        </a:xfrm>
        <a:prstGeom prst="homePlate">
          <a:avLst>
            <a:gd name="adj" fmla="val 18750"/>
          </a:avLst>
        </a:prstGeom>
        <a:noFill/>
        <a:ln w="9525" algn="ctr">
          <a:solidFill>
            <a:srgbClr val="000000"/>
          </a:solidFill>
          <a:miter lim="800000"/>
          <a:headEnd/>
          <a:tailEnd/>
        </a:ln>
      </xdr:spPr>
    </xdr:sp>
    <xdr:clientData/>
  </xdr:twoCellAnchor>
  <xdr:twoCellAnchor editAs="oneCell">
    <xdr:from>
      <xdr:col>16</xdr:col>
      <xdr:colOff>46264</xdr:colOff>
      <xdr:row>13</xdr:row>
      <xdr:rowOff>38100</xdr:rowOff>
    </xdr:from>
    <xdr:to>
      <xdr:col>16</xdr:col>
      <xdr:colOff>668548</xdr:colOff>
      <xdr:row>14</xdr:row>
      <xdr:rowOff>5443</xdr:rowOff>
    </xdr:to>
    <xdr:sp macro="" textlink="">
      <xdr:nvSpPr>
        <xdr:cNvPr id="14" name="AutoShape 179">
          <a:extLst>
            <a:ext uri="{FF2B5EF4-FFF2-40B4-BE49-F238E27FC236}">
              <a16:creationId xmlns:a16="http://schemas.microsoft.com/office/drawing/2014/main" id="{00000000-0008-0000-0200-00000E000000}"/>
            </a:ext>
          </a:extLst>
        </xdr:cNvPr>
        <xdr:cNvSpPr>
          <a:spLocks noChangeArrowheads="1"/>
        </xdr:cNvSpPr>
      </xdr:nvSpPr>
      <xdr:spPr bwMode="auto">
        <a:xfrm>
          <a:off x="13667014" y="3671207"/>
          <a:ext cx="622284" cy="552450"/>
        </a:xfrm>
        <a:prstGeom prst="homePlate">
          <a:avLst>
            <a:gd name="adj" fmla="val 18750"/>
          </a:avLst>
        </a:prstGeom>
        <a:noFill/>
        <a:ln w="9525" algn="ctr">
          <a:solidFill>
            <a:srgbClr val="000000"/>
          </a:solidFill>
          <a:miter lim="800000"/>
          <a:headEnd/>
          <a:tailEnd/>
        </a:ln>
      </xdr:spPr>
    </xdr:sp>
    <xdr:clientData/>
  </xdr:twoCellAnchor>
  <xdr:twoCellAnchor editAs="oneCell">
    <xdr:from>
      <xdr:col>7</xdr:col>
      <xdr:colOff>55789</xdr:colOff>
      <xdr:row>13</xdr:row>
      <xdr:rowOff>38100</xdr:rowOff>
    </xdr:from>
    <xdr:to>
      <xdr:col>7</xdr:col>
      <xdr:colOff>699625</xdr:colOff>
      <xdr:row>14</xdr:row>
      <xdr:rowOff>5443</xdr:rowOff>
    </xdr:to>
    <xdr:sp macro="" textlink="">
      <xdr:nvSpPr>
        <xdr:cNvPr id="15" name="AutoShape 179">
          <a:extLst>
            <a:ext uri="{FF2B5EF4-FFF2-40B4-BE49-F238E27FC236}">
              <a16:creationId xmlns:a16="http://schemas.microsoft.com/office/drawing/2014/main" id="{00000000-0008-0000-0200-00000F000000}"/>
            </a:ext>
          </a:extLst>
        </xdr:cNvPr>
        <xdr:cNvSpPr>
          <a:spLocks noChangeArrowheads="1"/>
        </xdr:cNvSpPr>
      </xdr:nvSpPr>
      <xdr:spPr bwMode="auto">
        <a:xfrm>
          <a:off x="6941003" y="3671207"/>
          <a:ext cx="643836" cy="552450"/>
        </a:xfrm>
        <a:prstGeom prst="homePlate">
          <a:avLst>
            <a:gd name="adj" fmla="val 18750"/>
          </a:avLst>
        </a:prstGeom>
        <a:solidFill>
          <a:srgbClr val="FF99FF"/>
        </a:solidFill>
        <a:ln w="9525" algn="ctr">
          <a:solidFill>
            <a:srgbClr val="000000"/>
          </a:solidFill>
          <a:miter lim="800000"/>
          <a:headEnd/>
          <a:tailEnd/>
        </a:ln>
      </xdr:spPr>
    </xdr:sp>
    <xdr:clientData/>
  </xdr:twoCellAnchor>
  <xdr:twoCellAnchor editAs="oneCell">
    <xdr:from>
      <xdr:col>8</xdr:col>
      <xdr:colOff>27214</xdr:colOff>
      <xdr:row>13</xdr:row>
      <xdr:rowOff>38100</xdr:rowOff>
    </xdr:from>
    <xdr:to>
      <xdr:col>8</xdr:col>
      <xdr:colOff>668356</xdr:colOff>
      <xdr:row>14</xdr:row>
      <xdr:rowOff>5443</xdr:rowOff>
    </xdr:to>
    <xdr:sp macro="" textlink="">
      <xdr:nvSpPr>
        <xdr:cNvPr id="23" name="AutoShape 179">
          <a:extLst>
            <a:ext uri="{FF2B5EF4-FFF2-40B4-BE49-F238E27FC236}">
              <a16:creationId xmlns:a16="http://schemas.microsoft.com/office/drawing/2014/main" id="{00000000-0008-0000-0200-000017000000}"/>
            </a:ext>
          </a:extLst>
        </xdr:cNvPr>
        <xdr:cNvSpPr>
          <a:spLocks noChangeArrowheads="1"/>
        </xdr:cNvSpPr>
      </xdr:nvSpPr>
      <xdr:spPr bwMode="auto">
        <a:xfrm>
          <a:off x="7660821" y="3671207"/>
          <a:ext cx="641142" cy="552450"/>
        </a:xfrm>
        <a:prstGeom prst="homePlate">
          <a:avLst>
            <a:gd name="adj" fmla="val 18750"/>
          </a:avLst>
        </a:prstGeom>
        <a:solidFill>
          <a:srgbClr val="FF99FF"/>
        </a:solidFill>
        <a:ln w="9525" algn="ctr">
          <a:solidFill>
            <a:srgbClr val="000000"/>
          </a:solidFill>
          <a:miter lim="800000"/>
          <a:headEnd/>
          <a:tailEnd/>
        </a:ln>
      </xdr:spPr>
    </xdr:sp>
    <xdr:clientData/>
  </xdr:twoCellAnchor>
  <xdr:twoCellAnchor editAs="oneCell">
    <xdr:from>
      <xdr:col>12</xdr:col>
      <xdr:colOff>46264</xdr:colOff>
      <xdr:row>13</xdr:row>
      <xdr:rowOff>38100</xdr:rowOff>
    </xdr:from>
    <xdr:to>
      <xdr:col>12</xdr:col>
      <xdr:colOff>687406</xdr:colOff>
      <xdr:row>14</xdr:row>
      <xdr:rowOff>5443</xdr:rowOff>
    </xdr:to>
    <xdr:sp macro="" textlink="">
      <xdr:nvSpPr>
        <xdr:cNvPr id="26" name="AutoShape 179">
          <a:extLst>
            <a:ext uri="{FF2B5EF4-FFF2-40B4-BE49-F238E27FC236}">
              <a16:creationId xmlns:a16="http://schemas.microsoft.com/office/drawing/2014/main" id="{00000000-0008-0000-0200-00001A000000}"/>
            </a:ext>
          </a:extLst>
        </xdr:cNvPr>
        <xdr:cNvSpPr>
          <a:spLocks noChangeArrowheads="1"/>
        </xdr:cNvSpPr>
      </xdr:nvSpPr>
      <xdr:spPr bwMode="auto">
        <a:xfrm>
          <a:off x="10673443" y="3671207"/>
          <a:ext cx="641142" cy="552450"/>
        </a:xfrm>
        <a:prstGeom prst="homePlate">
          <a:avLst>
            <a:gd name="adj" fmla="val 18750"/>
          </a:avLst>
        </a:prstGeom>
        <a:noFill/>
        <a:ln w="9525" algn="ctr">
          <a:solidFill>
            <a:srgbClr val="000000"/>
          </a:solidFill>
          <a:miter lim="800000"/>
          <a:headEnd/>
          <a:tailEnd/>
        </a:ln>
      </xdr:spPr>
    </xdr:sp>
    <xdr:clientData/>
  </xdr:twoCellAnchor>
  <xdr:twoCellAnchor editAs="oneCell">
    <xdr:from>
      <xdr:col>13</xdr:col>
      <xdr:colOff>55789</xdr:colOff>
      <xdr:row>13</xdr:row>
      <xdr:rowOff>38100</xdr:rowOff>
    </xdr:from>
    <xdr:to>
      <xdr:col>13</xdr:col>
      <xdr:colOff>699625</xdr:colOff>
      <xdr:row>14</xdr:row>
      <xdr:rowOff>5443</xdr:rowOff>
    </xdr:to>
    <xdr:sp macro="" textlink="">
      <xdr:nvSpPr>
        <xdr:cNvPr id="27" name="AutoShape 179">
          <a:extLst>
            <a:ext uri="{FF2B5EF4-FFF2-40B4-BE49-F238E27FC236}">
              <a16:creationId xmlns:a16="http://schemas.microsoft.com/office/drawing/2014/main" id="{00000000-0008-0000-0200-00001B000000}"/>
            </a:ext>
          </a:extLst>
        </xdr:cNvPr>
        <xdr:cNvSpPr>
          <a:spLocks noChangeArrowheads="1"/>
        </xdr:cNvSpPr>
      </xdr:nvSpPr>
      <xdr:spPr bwMode="auto">
        <a:xfrm>
          <a:off x="11431360" y="3671207"/>
          <a:ext cx="643836" cy="552450"/>
        </a:xfrm>
        <a:prstGeom prst="homePlate">
          <a:avLst>
            <a:gd name="adj" fmla="val 18750"/>
          </a:avLst>
        </a:prstGeom>
        <a:noFill/>
        <a:ln w="9525" algn="ctr">
          <a:solidFill>
            <a:srgbClr val="000000"/>
          </a:solidFill>
          <a:miter lim="800000"/>
          <a:headEnd/>
          <a:tailEnd/>
        </a:ln>
      </xdr:spPr>
    </xdr:sp>
    <xdr:clientData/>
  </xdr:twoCellAnchor>
  <xdr:twoCellAnchor editAs="oneCell">
    <xdr:from>
      <xdr:col>14</xdr:col>
      <xdr:colOff>55789</xdr:colOff>
      <xdr:row>13</xdr:row>
      <xdr:rowOff>38100</xdr:rowOff>
    </xdr:from>
    <xdr:to>
      <xdr:col>14</xdr:col>
      <xdr:colOff>699625</xdr:colOff>
      <xdr:row>14</xdr:row>
      <xdr:rowOff>5443</xdr:rowOff>
    </xdr:to>
    <xdr:sp macro="" textlink="">
      <xdr:nvSpPr>
        <xdr:cNvPr id="29" name="AutoShape 179">
          <a:extLst>
            <a:ext uri="{FF2B5EF4-FFF2-40B4-BE49-F238E27FC236}">
              <a16:creationId xmlns:a16="http://schemas.microsoft.com/office/drawing/2014/main" id="{00000000-0008-0000-0200-00001D000000}"/>
            </a:ext>
          </a:extLst>
        </xdr:cNvPr>
        <xdr:cNvSpPr>
          <a:spLocks noChangeArrowheads="1"/>
        </xdr:cNvSpPr>
      </xdr:nvSpPr>
      <xdr:spPr bwMode="auto">
        <a:xfrm>
          <a:off x="12179753" y="3671207"/>
          <a:ext cx="643836" cy="552450"/>
        </a:xfrm>
        <a:prstGeom prst="homePlate">
          <a:avLst>
            <a:gd name="adj" fmla="val 18750"/>
          </a:avLst>
        </a:prstGeom>
        <a:noFill/>
        <a:ln w="9525" algn="ctr">
          <a:solidFill>
            <a:srgbClr val="000000"/>
          </a:solidFill>
          <a:miter lim="800000"/>
          <a:headEnd/>
          <a:tailEnd/>
        </a:ln>
      </xdr:spPr>
    </xdr:sp>
    <xdr:clientData/>
  </xdr:twoCellAnchor>
  <xdr:twoCellAnchor editAs="oneCell">
    <xdr:from>
      <xdr:col>15</xdr:col>
      <xdr:colOff>55789</xdr:colOff>
      <xdr:row>13</xdr:row>
      <xdr:rowOff>38100</xdr:rowOff>
    </xdr:from>
    <xdr:to>
      <xdr:col>15</xdr:col>
      <xdr:colOff>699623</xdr:colOff>
      <xdr:row>14</xdr:row>
      <xdr:rowOff>5443</xdr:rowOff>
    </xdr:to>
    <xdr:sp macro="" textlink="">
      <xdr:nvSpPr>
        <xdr:cNvPr id="30" name="AutoShape 179">
          <a:extLst>
            <a:ext uri="{FF2B5EF4-FFF2-40B4-BE49-F238E27FC236}">
              <a16:creationId xmlns:a16="http://schemas.microsoft.com/office/drawing/2014/main" id="{00000000-0008-0000-0200-00001E000000}"/>
            </a:ext>
          </a:extLst>
        </xdr:cNvPr>
        <xdr:cNvSpPr>
          <a:spLocks noChangeArrowheads="1"/>
        </xdr:cNvSpPr>
      </xdr:nvSpPr>
      <xdr:spPr bwMode="auto">
        <a:xfrm>
          <a:off x="12928146" y="3671207"/>
          <a:ext cx="643834" cy="552450"/>
        </a:xfrm>
        <a:prstGeom prst="homePlate">
          <a:avLst>
            <a:gd name="adj" fmla="val 18750"/>
          </a:avLst>
        </a:prstGeom>
        <a:noFill/>
        <a:ln w="9525" algn="ctr">
          <a:solidFill>
            <a:srgbClr val="000000"/>
          </a:solidFill>
          <a:miter lim="800000"/>
          <a:headEnd/>
          <a:tailEnd/>
        </a:ln>
      </xdr:spPr>
    </xdr:sp>
    <xdr:clientData/>
  </xdr:twoCellAnchor>
  <xdr:twoCellAnchor editAs="oneCell">
    <xdr:from>
      <xdr:col>5</xdr:col>
      <xdr:colOff>51025</xdr:colOff>
      <xdr:row>13</xdr:row>
      <xdr:rowOff>35718</xdr:rowOff>
    </xdr:from>
    <xdr:to>
      <xdr:col>5</xdr:col>
      <xdr:colOff>710574</xdr:colOff>
      <xdr:row>14</xdr:row>
      <xdr:rowOff>3061</xdr:rowOff>
    </xdr:to>
    <xdr:sp macro="" textlink="">
      <xdr:nvSpPr>
        <xdr:cNvPr id="33" name="AutoShape 179">
          <a:extLst>
            <a:ext uri="{FF2B5EF4-FFF2-40B4-BE49-F238E27FC236}">
              <a16:creationId xmlns:a16="http://schemas.microsoft.com/office/drawing/2014/main" id="{00000000-0008-0000-0200-000021000000}"/>
            </a:ext>
          </a:extLst>
        </xdr:cNvPr>
        <xdr:cNvSpPr>
          <a:spLocks noChangeArrowheads="1"/>
        </xdr:cNvSpPr>
      </xdr:nvSpPr>
      <xdr:spPr bwMode="auto">
        <a:xfrm>
          <a:off x="5439454" y="3668825"/>
          <a:ext cx="659549" cy="552450"/>
        </a:xfrm>
        <a:prstGeom prst="homePlate">
          <a:avLst>
            <a:gd name="adj" fmla="val 18750"/>
          </a:avLst>
        </a:prstGeom>
        <a:solidFill>
          <a:srgbClr val="FF99FF"/>
        </a:solidFill>
        <a:ln w="9525" algn="ctr">
          <a:solidFill>
            <a:srgbClr val="000000"/>
          </a:solidFill>
          <a:miter lim="800000"/>
          <a:headEnd/>
          <a:tailEnd/>
        </a:ln>
      </xdr:spPr>
    </xdr:sp>
    <xdr:clientData/>
  </xdr:twoCellAnchor>
  <xdr:twoCellAnchor editAs="oneCell">
    <xdr:from>
      <xdr:col>6</xdr:col>
      <xdr:colOff>51025</xdr:colOff>
      <xdr:row>13</xdr:row>
      <xdr:rowOff>35718</xdr:rowOff>
    </xdr:from>
    <xdr:to>
      <xdr:col>6</xdr:col>
      <xdr:colOff>710574</xdr:colOff>
      <xdr:row>14</xdr:row>
      <xdr:rowOff>3061</xdr:rowOff>
    </xdr:to>
    <xdr:sp macro="" textlink="">
      <xdr:nvSpPr>
        <xdr:cNvPr id="34" name="AutoShape 179">
          <a:extLst>
            <a:ext uri="{FF2B5EF4-FFF2-40B4-BE49-F238E27FC236}">
              <a16:creationId xmlns:a16="http://schemas.microsoft.com/office/drawing/2014/main" id="{00000000-0008-0000-0200-000022000000}"/>
            </a:ext>
          </a:extLst>
        </xdr:cNvPr>
        <xdr:cNvSpPr>
          <a:spLocks noChangeArrowheads="1"/>
        </xdr:cNvSpPr>
      </xdr:nvSpPr>
      <xdr:spPr bwMode="auto">
        <a:xfrm>
          <a:off x="6187846" y="3668825"/>
          <a:ext cx="659549" cy="552450"/>
        </a:xfrm>
        <a:prstGeom prst="homePlate">
          <a:avLst>
            <a:gd name="adj" fmla="val 18750"/>
          </a:avLst>
        </a:prstGeom>
        <a:solidFill>
          <a:srgbClr val="FF99FF"/>
        </a:solidFill>
        <a:ln w="9525" algn="ctr">
          <a:solidFill>
            <a:srgbClr val="000000"/>
          </a:solidFill>
          <a:miter lim="800000"/>
          <a:headEnd/>
          <a:tailEnd/>
        </a:ln>
      </xdr:spPr>
    </xdr:sp>
    <xdr:clientData/>
  </xdr:twoCellAnchor>
  <xdr:twoCellAnchor editAs="oneCell">
    <xdr:from>
      <xdr:col>9</xdr:col>
      <xdr:colOff>54429</xdr:colOff>
      <xdr:row>13</xdr:row>
      <xdr:rowOff>38100</xdr:rowOff>
    </xdr:from>
    <xdr:to>
      <xdr:col>9</xdr:col>
      <xdr:colOff>704551</xdr:colOff>
      <xdr:row>14</xdr:row>
      <xdr:rowOff>5443</xdr:rowOff>
    </xdr:to>
    <xdr:sp macro="" textlink="">
      <xdr:nvSpPr>
        <xdr:cNvPr id="37" name="AutoShape 179">
          <a:extLst>
            <a:ext uri="{FF2B5EF4-FFF2-40B4-BE49-F238E27FC236}">
              <a16:creationId xmlns:a16="http://schemas.microsoft.com/office/drawing/2014/main" id="{00000000-0008-0000-0200-000025000000}"/>
            </a:ext>
          </a:extLst>
        </xdr:cNvPr>
        <xdr:cNvSpPr>
          <a:spLocks noChangeArrowheads="1"/>
        </xdr:cNvSpPr>
      </xdr:nvSpPr>
      <xdr:spPr bwMode="auto">
        <a:xfrm>
          <a:off x="8436429" y="3671207"/>
          <a:ext cx="650122" cy="552450"/>
        </a:xfrm>
        <a:prstGeom prst="homePlate">
          <a:avLst>
            <a:gd name="adj" fmla="val 18750"/>
          </a:avLst>
        </a:prstGeom>
        <a:solidFill>
          <a:srgbClr val="FF99FF"/>
        </a:solidFill>
        <a:ln w="9525" algn="ctr">
          <a:solidFill>
            <a:srgbClr val="000000"/>
          </a:solidFill>
          <a:miter lim="800000"/>
          <a:headEnd/>
          <a:tailEnd/>
        </a:ln>
      </xdr:spPr>
    </xdr:sp>
    <xdr:clientData/>
  </xdr:twoCellAnchor>
  <xdr:oneCellAnchor>
    <xdr:from>
      <xdr:col>10</xdr:col>
      <xdr:colOff>55789</xdr:colOff>
      <xdr:row>14</xdr:row>
      <xdr:rowOff>23132</xdr:rowOff>
    </xdr:from>
    <xdr:ext cx="659999" cy="552450"/>
    <xdr:sp macro="" textlink="">
      <xdr:nvSpPr>
        <xdr:cNvPr id="3" name="AutoShape 179">
          <a:extLst>
            <a:ext uri="{FF2B5EF4-FFF2-40B4-BE49-F238E27FC236}">
              <a16:creationId xmlns:a16="http://schemas.microsoft.com/office/drawing/2014/main" id="{00000000-0008-0000-0200-000003000000}"/>
            </a:ext>
          </a:extLst>
        </xdr:cNvPr>
        <xdr:cNvSpPr>
          <a:spLocks noChangeArrowheads="1"/>
        </xdr:cNvSpPr>
      </xdr:nvSpPr>
      <xdr:spPr bwMode="auto">
        <a:xfrm>
          <a:off x="9186182" y="4268561"/>
          <a:ext cx="659999" cy="552450"/>
        </a:xfrm>
        <a:prstGeom prst="homePlate">
          <a:avLst>
            <a:gd name="adj" fmla="val 18750"/>
          </a:avLst>
        </a:prstGeom>
        <a:noFill/>
        <a:ln w="9525" algn="ctr">
          <a:solidFill>
            <a:srgbClr val="000000"/>
          </a:solidFill>
          <a:miter lim="800000"/>
          <a:headEnd/>
          <a:tailEnd/>
        </a:ln>
      </xdr:spPr>
    </xdr:sp>
    <xdr:clientData/>
  </xdr:oneCellAnchor>
  <xdr:oneCellAnchor>
    <xdr:from>
      <xdr:col>11</xdr:col>
      <xdr:colOff>55789</xdr:colOff>
      <xdr:row>14</xdr:row>
      <xdr:rowOff>23132</xdr:rowOff>
    </xdr:from>
    <xdr:ext cx="666282" cy="552450"/>
    <xdr:sp macro="" textlink="">
      <xdr:nvSpPr>
        <xdr:cNvPr id="4" name="AutoShape 179">
          <a:extLst>
            <a:ext uri="{FF2B5EF4-FFF2-40B4-BE49-F238E27FC236}">
              <a16:creationId xmlns:a16="http://schemas.microsoft.com/office/drawing/2014/main" id="{00000000-0008-0000-0200-000004000000}"/>
            </a:ext>
          </a:extLst>
        </xdr:cNvPr>
        <xdr:cNvSpPr>
          <a:spLocks noChangeArrowheads="1"/>
        </xdr:cNvSpPr>
      </xdr:nvSpPr>
      <xdr:spPr bwMode="auto">
        <a:xfrm>
          <a:off x="9934575" y="4268561"/>
          <a:ext cx="666282" cy="552450"/>
        </a:xfrm>
        <a:prstGeom prst="homePlate">
          <a:avLst>
            <a:gd name="adj" fmla="val 18750"/>
          </a:avLst>
        </a:prstGeom>
        <a:noFill/>
        <a:ln w="9525" algn="ctr">
          <a:solidFill>
            <a:srgbClr val="000000"/>
          </a:solidFill>
          <a:miter lim="800000"/>
          <a:headEnd/>
          <a:tailEnd/>
        </a:ln>
      </xdr:spPr>
    </xdr:sp>
    <xdr:clientData/>
  </xdr:oneCellAnchor>
  <xdr:oneCellAnchor>
    <xdr:from>
      <xdr:col>16</xdr:col>
      <xdr:colOff>48645</xdr:colOff>
      <xdr:row>14</xdr:row>
      <xdr:rowOff>23132</xdr:rowOff>
    </xdr:from>
    <xdr:ext cx="631712" cy="552450"/>
    <xdr:sp macro="" textlink="">
      <xdr:nvSpPr>
        <xdr:cNvPr id="5" name="AutoShape 179">
          <a:extLst>
            <a:ext uri="{FF2B5EF4-FFF2-40B4-BE49-F238E27FC236}">
              <a16:creationId xmlns:a16="http://schemas.microsoft.com/office/drawing/2014/main" id="{00000000-0008-0000-0200-000005000000}"/>
            </a:ext>
          </a:extLst>
        </xdr:cNvPr>
        <xdr:cNvSpPr>
          <a:spLocks noChangeArrowheads="1"/>
        </xdr:cNvSpPr>
      </xdr:nvSpPr>
      <xdr:spPr bwMode="auto">
        <a:xfrm>
          <a:off x="13669395" y="4268561"/>
          <a:ext cx="631712" cy="552450"/>
        </a:xfrm>
        <a:prstGeom prst="homePlate">
          <a:avLst>
            <a:gd name="adj" fmla="val 18750"/>
          </a:avLst>
        </a:prstGeom>
        <a:noFill/>
        <a:ln w="9525" algn="ctr">
          <a:solidFill>
            <a:srgbClr val="000000"/>
          </a:solidFill>
          <a:miter lim="800000"/>
          <a:headEnd/>
          <a:tailEnd/>
        </a:ln>
      </xdr:spPr>
    </xdr:sp>
    <xdr:clientData/>
  </xdr:oneCellAnchor>
  <xdr:oneCellAnchor>
    <xdr:from>
      <xdr:col>7</xdr:col>
      <xdr:colOff>27214</xdr:colOff>
      <xdr:row>14</xdr:row>
      <xdr:rowOff>21431</xdr:rowOff>
    </xdr:from>
    <xdr:ext cx="641142" cy="552450"/>
    <xdr:sp macro="" textlink="">
      <xdr:nvSpPr>
        <xdr:cNvPr id="6" name="AutoShape 179">
          <a:extLst>
            <a:ext uri="{FF2B5EF4-FFF2-40B4-BE49-F238E27FC236}">
              <a16:creationId xmlns:a16="http://schemas.microsoft.com/office/drawing/2014/main" id="{00000000-0008-0000-0200-000006000000}"/>
            </a:ext>
          </a:extLst>
        </xdr:cNvPr>
        <xdr:cNvSpPr>
          <a:spLocks noChangeArrowheads="1"/>
        </xdr:cNvSpPr>
      </xdr:nvSpPr>
      <xdr:spPr bwMode="auto">
        <a:xfrm>
          <a:off x="6912428" y="4266860"/>
          <a:ext cx="641142" cy="552450"/>
        </a:xfrm>
        <a:prstGeom prst="homePlate">
          <a:avLst>
            <a:gd name="adj" fmla="val 18750"/>
          </a:avLst>
        </a:prstGeom>
        <a:solidFill>
          <a:srgbClr val="FF99FF"/>
        </a:solidFill>
        <a:ln w="9525" algn="ctr">
          <a:solidFill>
            <a:srgbClr val="000000"/>
          </a:solidFill>
          <a:miter lim="800000"/>
          <a:headEnd/>
          <a:tailEnd/>
        </a:ln>
      </xdr:spPr>
    </xdr:sp>
    <xdr:clientData/>
  </xdr:oneCellAnchor>
  <xdr:oneCellAnchor>
    <xdr:from>
      <xdr:col>9</xdr:col>
      <xdr:colOff>48645</xdr:colOff>
      <xdr:row>14</xdr:row>
      <xdr:rowOff>32657</xdr:rowOff>
    </xdr:from>
    <xdr:ext cx="622284" cy="552450"/>
    <xdr:sp macro="" textlink="">
      <xdr:nvSpPr>
        <xdr:cNvPr id="7" name="AutoShape 179">
          <a:extLst>
            <a:ext uri="{FF2B5EF4-FFF2-40B4-BE49-F238E27FC236}">
              <a16:creationId xmlns:a16="http://schemas.microsoft.com/office/drawing/2014/main" id="{00000000-0008-0000-0200-000007000000}"/>
            </a:ext>
          </a:extLst>
        </xdr:cNvPr>
        <xdr:cNvSpPr>
          <a:spLocks noChangeArrowheads="1"/>
        </xdr:cNvSpPr>
      </xdr:nvSpPr>
      <xdr:spPr bwMode="auto">
        <a:xfrm>
          <a:off x="8430645" y="4278086"/>
          <a:ext cx="622284" cy="552450"/>
        </a:xfrm>
        <a:prstGeom prst="homePlate">
          <a:avLst>
            <a:gd name="adj" fmla="val 18750"/>
          </a:avLst>
        </a:prstGeom>
        <a:solidFill>
          <a:srgbClr val="FF99FF"/>
        </a:solidFill>
        <a:ln w="9525" algn="ctr">
          <a:solidFill>
            <a:srgbClr val="000000"/>
          </a:solidFill>
          <a:miter lim="800000"/>
          <a:headEnd/>
          <a:tailEnd/>
        </a:ln>
      </xdr:spPr>
    </xdr:sp>
    <xdr:clientData/>
  </xdr:oneCellAnchor>
  <xdr:oneCellAnchor>
    <xdr:from>
      <xdr:col>8</xdr:col>
      <xdr:colOff>51026</xdr:colOff>
      <xdr:row>14</xdr:row>
      <xdr:rowOff>37419</xdr:rowOff>
    </xdr:from>
    <xdr:ext cx="641142" cy="552450"/>
    <xdr:sp macro="" textlink="">
      <xdr:nvSpPr>
        <xdr:cNvPr id="8" name="AutoShape 179">
          <a:extLst>
            <a:ext uri="{FF2B5EF4-FFF2-40B4-BE49-F238E27FC236}">
              <a16:creationId xmlns:a16="http://schemas.microsoft.com/office/drawing/2014/main" id="{00000000-0008-0000-0200-000008000000}"/>
            </a:ext>
          </a:extLst>
        </xdr:cNvPr>
        <xdr:cNvSpPr>
          <a:spLocks noChangeArrowheads="1"/>
        </xdr:cNvSpPr>
      </xdr:nvSpPr>
      <xdr:spPr bwMode="auto">
        <a:xfrm>
          <a:off x="7684633" y="4282848"/>
          <a:ext cx="641142" cy="552450"/>
        </a:xfrm>
        <a:prstGeom prst="homePlate">
          <a:avLst>
            <a:gd name="adj" fmla="val 18750"/>
          </a:avLst>
        </a:prstGeom>
        <a:solidFill>
          <a:srgbClr val="FF99FF"/>
        </a:solidFill>
        <a:ln w="9525" algn="ctr">
          <a:solidFill>
            <a:srgbClr val="000000"/>
          </a:solidFill>
          <a:miter lim="800000"/>
          <a:headEnd/>
          <a:tailEnd/>
        </a:ln>
      </xdr:spPr>
    </xdr:sp>
    <xdr:clientData/>
  </xdr:oneCellAnchor>
  <xdr:oneCellAnchor>
    <xdr:from>
      <xdr:col>12</xdr:col>
      <xdr:colOff>27214</xdr:colOff>
      <xdr:row>14</xdr:row>
      <xdr:rowOff>0</xdr:rowOff>
    </xdr:from>
    <xdr:ext cx="641142" cy="552450"/>
    <xdr:sp macro="" textlink="">
      <xdr:nvSpPr>
        <xdr:cNvPr id="9" name="AutoShape 179">
          <a:extLst>
            <a:ext uri="{FF2B5EF4-FFF2-40B4-BE49-F238E27FC236}">
              <a16:creationId xmlns:a16="http://schemas.microsoft.com/office/drawing/2014/main" id="{00000000-0008-0000-0200-000009000000}"/>
            </a:ext>
          </a:extLst>
        </xdr:cNvPr>
        <xdr:cNvSpPr>
          <a:spLocks noChangeArrowheads="1"/>
        </xdr:cNvSpPr>
      </xdr:nvSpPr>
      <xdr:spPr bwMode="auto">
        <a:xfrm>
          <a:off x="10654393" y="4245429"/>
          <a:ext cx="641142" cy="552450"/>
        </a:xfrm>
        <a:prstGeom prst="homePlate">
          <a:avLst>
            <a:gd name="adj" fmla="val 18750"/>
          </a:avLst>
        </a:prstGeom>
        <a:noFill/>
        <a:ln w="9525" algn="ctr">
          <a:solidFill>
            <a:srgbClr val="000000"/>
          </a:solidFill>
          <a:miter lim="800000"/>
          <a:headEnd/>
          <a:tailEnd/>
        </a:ln>
      </xdr:spPr>
    </xdr:sp>
    <xdr:clientData/>
  </xdr:oneCellAnchor>
  <xdr:oneCellAnchor>
    <xdr:from>
      <xdr:col>13</xdr:col>
      <xdr:colOff>55789</xdr:colOff>
      <xdr:row>14</xdr:row>
      <xdr:rowOff>25400</xdr:rowOff>
    </xdr:from>
    <xdr:ext cx="659999" cy="552450"/>
    <xdr:sp macro="" textlink="">
      <xdr:nvSpPr>
        <xdr:cNvPr id="10" name="AutoShape 179">
          <a:extLst>
            <a:ext uri="{FF2B5EF4-FFF2-40B4-BE49-F238E27FC236}">
              <a16:creationId xmlns:a16="http://schemas.microsoft.com/office/drawing/2014/main" id="{00000000-0008-0000-0200-00000A000000}"/>
            </a:ext>
          </a:extLst>
        </xdr:cNvPr>
        <xdr:cNvSpPr>
          <a:spLocks noChangeArrowheads="1"/>
        </xdr:cNvSpPr>
      </xdr:nvSpPr>
      <xdr:spPr bwMode="auto">
        <a:xfrm>
          <a:off x="11431360" y="4270829"/>
          <a:ext cx="659999" cy="552450"/>
        </a:xfrm>
        <a:prstGeom prst="homePlate">
          <a:avLst>
            <a:gd name="adj" fmla="val 18750"/>
          </a:avLst>
        </a:prstGeom>
        <a:noFill/>
        <a:ln w="9525" algn="ctr">
          <a:solidFill>
            <a:srgbClr val="000000"/>
          </a:solidFill>
          <a:miter lim="800000"/>
          <a:headEnd/>
          <a:tailEnd/>
        </a:ln>
      </xdr:spPr>
    </xdr:sp>
    <xdr:clientData/>
  </xdr:oneCellAnchor>
  <xdr:oneCellAnchor>
    <xdr:from>
      <xdr:col>14</xdr:col>
      <xdr:colOff>68488</xdr:colOff>
      <xdr:row>14</xdr:row>
      <xdr:rowOff>25400</xdr:rowOff>
    </xdr:from>
    <xdr:ext cx="653713" cy="552450"/>
    <xdr:sp macro="" textlink="">
      <xdr:nvSpPr>
        <xdr:cNvPr id="11" name="AutoShape 179">
          <a:extLst>
            <a:ext uri="{FF2B5EF4-FFF2-40B4-BE49-F238E27FC236}">
              <a16:creationId xmlns:a16="http://schemas.microsoft.com/office/drawing/2014/main" id="{00000000-0008-0000-0200-00000B000000}"/>
            </a:ext>
          </a:extLst>
        </xdr:cNvPr>
        <xdr:cNvSpPr>
          <a:spLocks noChangeArrowheads="1"/>
        </xdr:cNvSpPr>
      </xdr:nvSpPr>
      <xdr:spPr bwMode="auto">
        <a:xfrm>
          <a:off x="12192452" y="4270829"/>
          <a:ext cx="653713" cy="552450"/>
        </a:xfrm>
        <a:prstGeom prst="homePlate">
          <a:avLst>
            <a:gd name="adj" fmla="val 18750"/>
          </a:avLst>
        </a:prstGeom>
        <a:noFill/>
        <a:ln w="9525" algn="ctr">
          <a:solidFill>
            <a:srgbClr val="000000"/>
          </a:solidFill>
          <a:miter lim="800000"/>
          <a:headEnd/>
          <a:tailEnd/>
        </a:ln>
      </xdr:spPr>
    </xdr:sp>
    <xdr:clientData/>
  </xdr:oneCellAnchor>
  <xdr:oneCellAnchor>
    <xdr:from>
      <xdr:col>15</xdr:col>
      <xdr:colOff>68488</xdr:colOff>
      <xdr:row>14</xdr:row>
      <xdr:rowOff>25400</xdr:rowOff>
    </xdr:from>
    <xdr:ext cx="653713" cy="552450"/>
    <xdr:sp macro="" textlink="">
      <xdr:nvSpPr>
        <xdr:cNvPr id="16" name="AutoShape 179">
          <a:extLst>
            <a:ext uri="{FF2B5EF4-FFF2-40B4-BE49-F238E27FC236}">
              <a16:creationId xmlns:a16="http://schemas.microsoft.com/office/drawing/2014/main" id="{00000000-0008-0000-0200-000010000000}"/>
            </a:ext>
          </a:extLst>
        </xdr:cNvPr>
        <xdr:cNvSpPr>
          <a:spLocks noChangeArrowheads="1"/>
        </xdr:cNvSpPr>
      </xdr:nvSpPr>
      <xdr:spPr bwMode="auto">
        <a:xfrm>
          <a:off x="12940845" y="4270829"/>
          <a:ext cx="653713" cy="552450"/>
        </a:xfrm>
        <a:prstGeom prst="homePlate">
          <a:avLst>
            <a:gd name="adj" fmla="val 18750"/>
          </a:avLst>
        </a:prstGeom>
        <a:noFill/>
        <a:ln w="9525" algn="ctr">
          <a:solidFill>
            <a:srgbClr val="000000"/>
          </a:solidFill>
          <a:miter lim="800000"/>
          <a:headEnd/>
          <a:tailEnd/>
        </a:ln>
      </xdr:spPr>
    </xdr:sp>
    <xdr:clientData/>
  </xdr:oneCellAnchor>
  <xdr:oneCellAnchor>
    <xdr:from>
      <xdr:col>6</xdr:col>
      <xdr:colOff>51026</xdr:colOff>
      <xdr:row>14</xdr:row>
      <xdr:rowOff>23812</xdr:rowOff>
    </xdr:from>
    <xdr:ext cx="675712" cy="552450"/>
    <xdr:sp macro="" textlink="">
      <xdr:nvSpPr>
        <xdr:cNvPr id="38" name="AutoShape 179">
          <a:extLst>
            <a:ext uri="{FF2B5EF4-FFF2-40B4-BE49-F238E27FC236}">
              <a16:creationId xmlns:a16="http://schemas.microsoft.com/office/drawing/2014/main" id="{00000000-0008-0000-0200-000026000000}"/>
            </a:ext>
          </a:extLst>
        </xdr:cNvPr>
        <xdr:cNvSpPr>
          <a:spLocks noChangeArrowheads="1"/>
        </xdr:cNvSpPr>
      </xdr:nvSpPr>
      <xdr:spPr bwMode="auto">
        <a:xfrm>
          <a:off x="6187847" y="4269241"/>
          <a:ext cx="675712" cy="552450"/>
        </a:xfrm>
        <a:prstGeom prst="homePlate">
          <a:avLst>
            <a:gd name="adj" fmla="val 18750"/>
          </a:avLst>
        </a:prstGeom>
        <a:solidFill>
          <a:srgbClr val="FF99FF"/>
        </a:solidFill>
        <a:ln w="9525" algn="ctr">
          <a:solidFill>
            <a:srgbClr val="000000"/>
          </a:solidFill>
          <a:miter lim="800000"/>
          <a:headEnd/>
          <a:tailEnd/>
        </a:ln>
      </xdr:spPr>
    </xdr:sp>
    <xdr:clientData/>
  </xdr:oneCellAnchor>
  <xdr:oneCellAnchor>
    <xdr:from>
      <xdr:col>5</xdr:col>
      <xdr:colOff>51026</xdr:colOff>
      <xdr:row>14</xdr:row>
      <xdr:rowOff>23812</xdr:rowOff>
    </xdr:from>
    <xdr:ext cx="675712" cy="552450"/>
    <xdr:sp macro="" textlink="">
      <xdr:nvSpPr>
        <xdr:cNvPr id="39" name="AutoShape 179">
          <a:extLst>
            <a:ext uri="{FF2B5EF4-FFF2-40B4-BE49-F238E27FC236}">
              <a16:creationId xmlns:a16="http://schemas.microsoft.com/office/drawing/2014/main" id="{00000000-0008-0000-0200-000027000000}"/>
            </a:ext>
          </a:extLst>
        </xdr:cNvPr>
        <xdr:cNvSpPr>
          <a:spLocks noChangeArrowheads="1"/>
        </xdr:cNvSpPr>
      </xdr:nvSpPr>
      <xdr:spPr bwMode="auto">
        <a:xfrm>
          <a:off x="5439455" y="4269241"/>
          <a:ext cx="675712" cy="552450"/>
        </a:xfrm>
        <a:prstGeom prst="homePlate">
          <a:avLst>
            <a:gd name="adj" fmla="val 18750"/>
          </a:avLst>
        </a:prstGeom>
        <a:solidFill>
          <a:srgbClr val="FF99FF"/>
        </a:solidFill>
        <a:ln w="9525" algn="ctr">
          <a:solidFill>
            <a:srgbClr val="000000"/>
          </a:solidFill>
          <a:miter lim="800000"/>
          <a:headEnd/>
          <a:tailEnd/>
        </a:ln>
      </xdr:spPr>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36</xdr:row>
      <xdr:rowOff>0</xdr:rowOff>
    </xdr:from>
    <xdr:to>
      <xdr:col>0</xdr:col>
      <xdr:colOff>9525</xdr:colOff>
      <xdr:row>36</xdr:row>
      <xdr:rowOff>9525</xdr:rowOff>
    </xdr:to>
    <xdr:sp macro="" textlink="">
      <xdr:nvSpPr>
        <xdr:cNvPr id="2" name="AutoShape 1">
          <a:extLst>
            <a:ext uri="{FF2B5EF4-FFF2-40B4-BE49-F238E27FC236}">
              <a16:creationId xmlns:a16="http://schemas.microsoft.com/office/drawing/2014/main" id="{00000000-0008-0000-0300-000002000000}"/>
            </a:ext>
          </a:extLst>
        </xdr:cNvPr>
        <xdr:cNvSpPr>
          <a:spLocks noChangeArrowheads="1"/>
        </xdr:cNvSpPr>
      </xdr:nvSpPr>
      <xdr:spPr bwMode="auto">
        <a:xfrm>
          <a:off x="0" y="15516225"/>
          <a:ext cx="9525" cy="9525"/>
        </a:xfrm>
        <a:prstGeom prst="homePlate">
          <a:avLst>
            <a:gd name="adj" fmla="val -2147483648"/>
          </a:avLst>
        </a:prstGeom>
        <a:solidFill>
          <a:srgbClr val="FFFFFF"/>
        </a:solidFill>
        <a:ln w="9525" cmpd="sng">
          <a:solidFill>
            <a:srgbClr val="000000"/>
          </a:solidFill>
          <a:miter lim="800000"/>
          <a:headEnd/>
          <a:tailEnd/>
        </a:ln>
      </xdr:spPr>
      <xdr:txBody>
        <a:bodyPr vertOverflow="clip" wrap="square" lIns="27432" tIns="22860" rIns="27432" bIns="22860" anchor="ctr" upright="1"/>
        <a:lstStyle/>
        <a:p>
          <a:pPr algn="ctr" rtl="0">
            <a:defRPr sz="1000"/>
          </a:pPr>
          <a:r>
            <a:rPr lang="en-US" sz="800" b="0" i="0" strike="noStrike">
              <a:solidFill>
                <a:srgbClr val="000000"/>
              </a:solidFill>
              <a:latin typeface="Arial"/>
              <a:cs typeface="Arial"/>
            </a:rPr>
            <a:t>WW 53</a:t>
          </a:r>
        </a:p>
      </xdr:txBody>
    </xdr:sp>
    <xdr:clientData/>
  </xdr:twoCellAnchor>
  <xdr:twoCellAnchor>
    <xdr:from>
      <xdr:col>5</xdr:col>
      <xdr:colOff>90715</xdr:colOff>
      <xdr:row>13</xdr:row>
      <xdr:rowOff>363763</xdr:rowOff>
    </xdr:from>
    <xdr:to>
      <xdr:col>5</xdr:col>
      <xdr:colOff>385990</xdr:colOff>
      <xdr:row>13</xdr:row>
      <xdr:rowOff>735238</xdr:rowOff>
    </xdr:to>
    <xdr:sp macro="" textlink="">
      <xdr:nvSpPr>
        <xdr:cNvPr id="28" name="AutoShape 179">
          <a:extLst>
            <a:ext uri="{FF2B5EF4-FFF2-40B4-BE49-F238E27FC236}">
              <a16:creationId xmlns:a16="http://schemas.microsoft.com/office/drawing/2014/main" id="{00000000-0008-0000-0300-00001C000000}"/>
            </a:ext>
          </a:extLst>
        </xdr:cNvPr>
        <xdr:cNvSpPr>
          <a:spLocks noChangeArrowheads="1"/>
        </xdr:cNvSpPr>
      </xdr:nvSpPr>
      <xdr:spPr bwMode="auto">
        <a:xfrm>
          <a:off x="6294665" y="3570513"/>
          <a:ext cx="29527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27215</xdr:colOff>
      <xdr:row>14</xdr:row>
      <xdr:rowOff>330644</xdr:rowOff>
    </xdr:from>
    <xdr:to>
      <xdr:col>8</xdr:col>
      <xdr:colOff>322490</xdr:colOff>
      <xdr:row>14</xdr:row>
      <xdr:rowOff>702119</xdr:rowOff>
    </xdr:to>
    <xdr:sp macro="" textlink="">
      <xdr:nvSpPr>
        <xdr:cNvPr id="34" name="AutoShape 179">
          <a:extLst>
            <a:ext uri="{FF2B5EF4-FFF2-40B4-BE49-F238E27FC236}">
              <a16:creationId xmlns:a16="http://schemas.microsoft.com/office/drawing/2014/main" id="{00000000-0008-0000-0300-000022000000}"/>
            </a:ext>
          </a:extLst>
        </xdr:cNvPr>
        <xdr:cNvSpPr>
          <a:spLocks noChangeArrowheads="1"/>
        </xdr:cNvSpPr>
      </xdr:nvSpPr>
      <xdr:spPr bwMode="auto">
        <a:xfrm>
          <a:off x="7869465" y="4572444"/>
          <a:ext cx="29527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9</xdr:col>
      <xdr:colOff>27215</xdr:colOff>
      <xdr:row>14</xdr:row>
      <xdr:rowOff>330644</xdr:rowOff>
    </xdr:from>
    <xdr:to>
      <xdr:col>9</xdr:col>
      <xdr:colOff>322490</xdr:colOff>
      <xdr:row>14</xdr:row>
      <xdr:rowOff>702119</xdr:rowOff>
    </xdr:to>
    <xdr:sp macro="" textlink="">
      <xdr:nvSpPr>
        <xdr:cNvPr id="38" name="AutoShape 179">
          <a:extLst>
            <a:ext uri="{FF2B5EF4-FFF2-40B4-BE49-F238E27FC236}">
              <a16:creationId xmlns:a16="http://schemas.microsoft.com/office/drawing/2014/main" id="{00000000-0008-0000-0300-000026000000}"/>
            </a:ext>
          </a:extLst>
        </xdr:cNvPr>
        <xdr:cNvSpPr>
          <a:spLocks noChangeArrowheads="1"/>
        </xdr:cNvSpPr>
      </xdr:nvSpPr>
      <xdr:spPr bwMode="auto">
        <a:xfrm>
          <a:off x="8415565" y="4572444"/>
          <a:ext cx="29527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10</xdr:col>
      <xdr:colOff>27215</xdr:colOff>
      <xdr:row>14</xdr:row>
      <xdr:rowOff>330644</xdr:rowOff>
    </xdr:from>
    <xdr:to>
      <xdr:col>10</xdr:col>
      <xdr:colOff>322490</xdr:colOff>
      <xdr:row>14</xdr:row>
      <xdr:rowOff>702119</xdr:rowOff>
    </xdr:to>
    <xdr:sp macro="" textlink="">
      <xdr:nvSpPr>
        <xdr:cNvPr id="39" name="AutoShape 179">
          <a:extLst>
            <a:ext uri="{FF2B5EF4-FFF2-40B4-BE49-F238E27FC236}">
              <a16:creationId xmlns:a16="http://schemas.microsoft.com/office/drawing/2014/main" id="{00000000-0008-0000-0300-000027000000}"/>
            </a:ext>
          </a:extLst>
        </xdr:cNvPr>
        <xdr:cNvSpPr>
          <a:spLocks noChangeArrowheads="1"/>
        </xdr:cNvSpPr>
      </xdr:nvSpPr>
      <xdr:spPr bwMode="auto">
        <a:xfrm>
          <a:off x="8961665" y="4572444"/>
          <a:ext cx="295275" cy="371475"/>
        </a:xfrm>
        <a:prstGeom prst="homePlate">
          <a:avLst>
            <a:gd name="adj" fmla="val 32088"/>
          </a:avLst>
        </a:prstGeom>
        <a:noFill/>
        <a:ln w="9525">
          <a:solidFill>
            <a:srgbClr val="000000"/>
          </a:solidFill>
          <a:miter lim="800000"/>
          <a:headEnd/>
          <a:tailEnd/>
        </a:ln>
      </xdr:spPr>
    </xdr:sp>
    <xdr:clientData/>
  </xdr:twoCellAnchor>
  <xdr:twoCellAnchor>
    <xdr:from>
      <xdr:col>7</xdr:col>
      <xdr:colOff>34018</xdr:colOff>
      <xdr:row>15</xdr:row>
      <xdr:rowOff>275317</xdr:rowOff>
    </xdr:from>
    <xdr:to>
      <xdr:col>7</xdr:col>
      <xdr:colOff>338818</xdr:colOff>
      <xdr:row>15</xdr:row>
      <xdr:rowOff>646792</xdr:rowOff>
    </xdr:to>
    <xdr:sp macro="" textlink="">
      <xdr:nvSpPr>
        <xdr:cNvPr id="40" name="AutoShape 179">
          <a:extLst>
            <a:ext uri="{FF2B5EF4-FFF2-40B4-BE49-F238E27FC236}">
              <a16:creationId xmlns:a16="http://schemas.microsoft.com/office/drawing/2014/main" id="{00000000-0008-0000-0300-000028000000}"/>
            </a:ext>
          </a:extLst>
        </xdr:cNvPr>
        <xdr:cNvSpPr>
          <a:spLocks noChangeArrowheads="1"/>
        </xdr:cNvSpPr>
      </xdr:nvSpPr>
      <xdr:spPr bwMode="auto">
        <a:xfrm>
          <a:off x="7330168" y="5450567"/>
          <a:ext cx="304800"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27218</xdr:colOff>
      <xdr:row>15</xdr:row>
      <xdr:rowOff>285746</xdr:rowOff>
    </xdr:from>
    <xdr:to>
      <xdr:col>8</xdr:col>
      <xdr:colOff>332018</xdr:colOff>
      <xdr:row>15</xdr:row>
      <xdr:rowOff>657221</xdr:rowOff>
    </xdr:to>
    <xdr:sp macro="" textlink="">
      <xdr:nvSpPr>
        <xdr:cNvPr id="41" name="AutoShape 179">
          <a:extLst>
            <a:ext uri="{FF2B5EF4-FFF2-40B4-BE49-F238E27FC236}">
              <a16:creationId xmlns:a16="http://schemas.microsoft.com/office/drawing/2014/main" id="{00000000-0008-0000-0300-000029000000}"/>
            </a:ext>
          </a:extLst>
        </xdr:cNvPr>
        <xdr:cNvSpPr>
          <a:spLocks noChangeArrowheads="1"/>
        </xdr:cNvSpPr>
      </xdr:nvSpPr>
      <xdr:spPr bwMode="auto">
        <a:xfrm>
          <a:off x="7869468" y="5460996"/>
          <a:ext cx="304800"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9</xdr:col>
      <xdr:colOff>40820</xdr:colOff>
      <xdr:row>15</xdr:row>
      <xdr:rowOff>299354</xdr:rowOff>
    </xdr:from>
    <xdr:to>
      <xdr:col>9</xdr:col>
      <xdr:colOff>345620</xdr:colOff>
      <xdr:row>15</xdr:row>
      <xdr:rowOff>670829</xdr:rowOff>
    </xdr:to>
    <xdr:sp macro="" textlink="">
      <xdr:nvSpPr>
        <xdr:cNvPr id="42" name="AutoShape 179">
          <a:extLst>
            <a:ext uri="{FF2B5EF4-FFF2-40B4-BE49-F238E27FC236}">
              <a16:creationId xmlns:a16="http://schemas.microsoft.com/office/drawing/2014/main" id="{00000000-0008-0000-0300-00002A000000}"/>
            </a:ext>
          </a:extLst>
        </xdr:cNvPr>
        <xdr:cNvSpPr>
          <a:spLocks noChangeArrowheads="1"/>
        </xdr:cNvSpPr>
      </xdr:nvSpPr>
      <xdr:spPr bwMode="auto">
        <a:xfrm>
          <a:off x="8429170" y="5474604"/>
          <a:ext cx="304800"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10</xdr:col>
      <xdr:colOff>27214</xdr:colOff>
      <xdr:row>15</xdr:row>
      <xdr:rowOff>299354</xdr:rowOff>
    </xdr:from>
    <xdr:to>
      <xdr:col>10</xdr:col>
      <xdr:colOff>332014</xdr:colOff>
      <xdr:row>15</xdr:row>
      <xdr:rowOff>670829</xdr:rowOff>
    </xdr:to>
    <xdr:sp macro="" textlink="">
      <xdr:nvSpPr>
        <xdr:cNvPr id="43" name="AutoShape 179">
          <a:extLst>
            <a:ext uri="{FF2B5EF4-FFF2-40B4-BE49-F238E27FC236}">
              <a16:creationId xmlns:a16="http://schemas.microsoft.com/office/drawing/2014/main" id="{00000000-0008-0000-0300-00002B000000}"/>
            </a:ext>
          </a:extLst>
        </xdr:cNvPr>
        <xdr:cNvSpPr>
          <a:spLocks noChangeArrowheads="1"/>
        </xdr:cNvSpPr>
      </xdr:nvSpPr>
      <xdr:spPr bwMode="auto">
        <a:xfrm>
          <a:off x="8961664" y="5474604"/>
          <a:ext cx="304800" cy="371475"/>
        </a:xfrm>
        <a:prstGeom prst="homePlate">
          <a:avLst>
            <a:gd name="adj" fmla="val 32088"/>
          </a:avLst>
        </a:prstGeom>
        <a:no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0</xdr:col>
          <xdr:colOff>184150</xdr:colOff>
          <xdr:row>25</xdr:row>
          <xdr:rowOff>146050</xdr:rowOff>
        </xdr:from>
        <xdr:to>
          <xdr:col>3</xdr:col>
          <xdr:colOff>3657600</xdr:colOff>
          <xdr:row>35</xdr:row>
          <xdr:rowOff>50800</xdr:rowOff>
        </xdr:to>
        <xdr:sp macro="" textlink="">
          <xdr:nvSpPr>
            <xdr:cNvPr id="52076" name="Picture 53947" hidden="1">
              <a:extLst>
                <a:ext uri="{63B3BB69-23CF-44E3-9099-C40C66FF867C}">
                  <a14:compatExt spid="_x0000_s52076"/>
                </a:ext>
                <a:ext uri="{FF2B5EF4-FFF2-40B4-BE49-F238E27FC236}">
                  <a16:creationId xmlns:a16="http://schemas.microsoft.com/office/drawing/2014/main" id="{00000000-0008-0000-0300-00006CCB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3898900</xdr:colOff>
          <xdr:row>25</xdr:row>
          <xdr:rowOff>146050</xdr:rowOff>
        </xdr:from>
        <xdr:to>
          <xdr:col>14</xdr:col>
          <xdr:colOff>228600</xdr:colOff>
          <xdr:row>35</xdr:row>
          <xdr:rowOff>69850</xdr:rowOff>
        </xdr:to>
        <xdr:sp macro="" textlink="">
          <xdr:nvSpPr>
            <xdr:cNvPr id="52077" name="Picture 53948" hidden="1">
              <a:extLst>
                <a:ext uri="{63B3BB69-23CF-44E3-9099-C40C66FF867C}">
                  <a14:compatExt spid="_x0000_s52077"/>
                </a:ext>
                <a:ext uri="{FF2B5EF4-FFF2-40B4-BE49-F238E27FC236}">
                  <a16:creationId xmlns:a16="http://schemas.microsoft.com/office/drawing/2014/main" id="{00000000-0008-0000-0300-00006DCB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488950</xdr:colOff>
          <xdr:row>25</xdr:row>
          <xdr:rowOff>127000</xdr:rowOff>
        </xdr:from>
        <xdr:to>
          <xdr:col>22</xdr:col>
          <xdr:colOff>565150</xdr:colOff>
          <xdr:row>35</xdr:row>
          <xdr:rowOff>69850</xdr:rowOff>
        </xdr:to>
        <xdr:sp macro="" textlink="">
          <xdr:nvSpPr>
            <xdr:cNvPr id="52078" name="Picture 53949" hidden="1">
              <a:extLst>
                <a:ext uri="{63B3BB69-23CF-44E3-9099-C40C66FF867C}">
                  <a14:compatExt spid="_x0000_s52078"/>
                </a:ext>
                <a:ext uri="{FF2B5EF4-FFF2-40B4-BE49-F238E27FC236}">
                  <a16:creationId xmlns:a16="http://schemas.microsoft.com/office/drawing/2014/main" id="{00000000-0008-0000-0300-00006ECB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736600</xdr:colOff>
          <xdr:row>25</xdr:row>
          <xdr:rowOff>107950</xdr:rowOff>
        </xdr:from>
        <xdr:to>
          <xdr:col>28</xdr:col>
          <xdr:colOff>603250</xdr:colOff>
          <xdr:row>35</xdr:row>
          <xdr:rowOff>50800</xdr:rowOff>
        </xdr:to>
        <xdr:sp macro="" textlink="">
          <xdr:nvSpPr>
            <xdr:cNvPr id="52079" name="Picture 53950" hidden="1">
              <a:extLst>
                <a:ext uri="{63B3BB69-23CF-44E3-9099-C40C66FF867C}">
                  <a14:compatExt spid="_x0000_s52079"/>
                </a:ext>
                <a:ext uri="{FF2B5EF4-FFF2-40B4-BE49-F238E27FC236}">
                  <a16:creationId xmlns:a16="http://schemas.microsoft.com/office/drawing/2014/main" id="{00000000-0008-0000-0300-00006FCB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35</xdr:row>
      <xdr:rowOff>0</xdr:rowOff>
    </xdr:from>
    <xdr:to>
      <xdr:col>0</xdr:col>
      <xdr:colOff>9525</xdr:colOff>
      <xdr:row>35</xdr:row>
      <xdr:rowOff>9525</xdr:rowOff>
    </xdr:to>
    <xdr:sp macro="" textlink="">
      <xdr:nvSpPr>
        <xdr:cNvPr id="2" name="AutoShape 1">
          <a:extLst>
            <a:ext uri="{FF2B5EF4-FFF2-40B4-BE49-F238E27FC236}">
              <a16:creationId xmlns:a16="http://schemas.microsoft.com/office/drawing/2014/main" id="{00000000-0008-0000-0400-000002000000}"/>
            </a:ext>
          </a:extLst>
        </xdr:cNvPr>
        <xdr:cNvSpPr>
          <a:spLocks noChangeArrowheads="1"/>
        </xdr:cNvSpPr>
      </xdr:nvSpPr>
      <xdr:spPr bwMode="auto">
        <a:xfrm>
          <a:off x="0" y="13239750"/>
          <a:ext cx="9525" cy="9525"/>
        </a:xfrm>
        <a:prstGeom prst="homePlate">
          <a:avLst>
            <a:gd name="adj" fmla="val -2147483648"/>
          </a:avLst>
        </a:prstGeom>
        <a:solidFill>
          <a:srgbClr val="FFFFFF"/>
        </a:solidFill>
        <a:ln w="9525" cmpd="sng">
          <a:solidFill>
            <a:srgbClr val="000000"/>
          </a:solidFill>
          <a:miter lim="800000"/>
          <a:headEnd/>
          <a:tailEnd/>
        </a:ln>
      </xdr:spPr>
      <xdr:txBody>
        <a:bodyPr vertOverflow="clip" wrap="square" lIns="27432" tIns="22860" rIns="27432" bIns="22860" anchor="ctr" upright="1"/>
        <a:lstStyle/>
        <a:p>
          <a:pPr algn="ctr" rtl="0">
            <a:defRPr sz="1000"/>
          </a:pPr>
          <a:r>
            <a:rPr lang="en-US" sz="800" b="0" i="0" strike="noStrike">
              <a:solidFill>
                <a:srgbClr val="000000"/>
              </a:solidFill>
              <a:latin typeface="Arial"/>
              <a:cs typeface="Arial"/>
            </a:rPr>
            <a:t>WW 53</a:t>
          </a:r>
        </a:p>
      </xdr:txBody>
    </xdr:sp>
    <xdr:clientData/>
  </xdr:twoCellAnchor>
  <mc:AlternateContent xmlns:mc="http://schemas.openxmlformats.org/markup-compatibility/2006">
    <mc:Choice xmlns:a14="http://schemas.microsoft.com/office/drawing/2010/main" Requires="a14">
      <xdr:twoCellAnchor>
        <xdr:from>
          <xdr:col>21</xdr:col>
          <xdr:colOff>222250</xdr:colOff>
          <xdr:row>38</xdr:row>
          <xdr:rowOff>50800</xdr:rowOff>
        </xdr:from>
        <xdr:to>
          <xdr:col>27</xdr:col>
          <xdr:colOff>723900</xdr:colOff>
          <xdr:row>50</xdr:row>
          <xdr:rowOff>69850</xdr:rowOff>
        </xdr:to>
        <xdr:sp macro="" textlink="">
          <xdr:nvSpPr>
            <xdr:cNvPr id="69640" name="Object 8" hidden="1">
              <a:extLst>
                <a:ext uri="{63B3BB69-23CF-44E3-9099-C40C66FF867C}">
                  <a14:compatExt spid="_x0000_s69640"/>
                </a:ext>
                <a:ext uri="{FF2B5EF4-FFF2-40B4-BE49-F238E27FC236}">
                  <a16:creationId xmlns:a16="http://schemas.microsoft.com/office/drawing/2014/main" id="{00000000-0008-0000-0400-0000081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5</xdr:col>
      <xdr:colOff>71739</xdr:colOff>
      <xdr:row>13</xdr:row>
      <xdr:rowOff>408477</xdr:rowOff>
    </xdr:from>
    <xdr:to>
      <xdr:col>5</xdr:col>
      <xdr:colOff>606137</xdr:colOff>
      <xdr:row>13</xdr:row>
      <xdr:rowOff>1039091</xdr:rowOff>
    </xdr:to>
    <xdr:sp macro="" textlink="">
      <xdr:nvSpPr>
        <xdr:cNvPr id="19" name="AutoShape 179">
          <a:extLst>
            <a:ext uri="{FF2B5EF4-FFF2-40B4-BE49-F238E27FC236}">
              <a16:creationId xmlns:a16="http://schemas.microsoft.com/office/drawing/2014/main" id="{00000000-0008-0000-0400-000013000000}"/>
            </a:ext>
          </a:extLst>
        </xdr:cNvPr>
        <xdr:cNvSpPr>
          <a:spLocks noChangeArrowheads="1"/>
        </xdr:cNvSpPr>
      </xdr:nvSpPr>
      <xdr:spPr bwMode="auto">
        <a:xfrm>
          <a:off x="7380589" y="421212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54421</xdr:colOff>
      <xdr:row>13</xdr:row>
      <xdr:rowOff>408477</xdr:rowOff>
    </xdr:from>
    <xdr:to>
      <xdr:col>6</xdr:col>
      <xdr:colOff>588819</xdr:colOff>
      <xdr:row>13</xdr:row>
      <xdr:rowOff>1039091</xdr:rowOff>
    </xdr:to>
    <xdr:sp macro="" textlink="">
      <xdr:nvSpPr>
        <xdr:cNvPr id="20" name="AutoShape 179">
          <a:extLst>
            <a:ext uri="{FF2B5EF4-FFF2-40B4-BE49-F238E27FC236}">
              <a16:creationId xmlns:a16="http://schemas.microsoft.com/office/drawing/2014/main" id="{00000000-0008-0000-0400-000014000000}"/>
            </a:ext>
          </a:extLst>
        </xdr:cNvPr>
        <xdr:cNvSpPr>
          <a:spLocks noChangeArrowheads="1"/>
        </xdr:cNvSpPr>
      </xdr:nvSpPr>
      <xdr:spPr bwMode="auto">
        <a:xfrm>
          <a:off x="8030021" y="421212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7</xdr:col>
      <xdr:colOff>71739</xdr:colOff>
      <xdr:row>13</xdr:row>
      <xdr:rowOff>408477</xdr:rowOff>
    </xdr:from>
    <xdr:to>
      <xdr:col>7</xdr:col>
      <xdr:colOff>606137</xdr:colOff>
      <xdr:row>13</xdr:row>
      <xdr:rowOff>1039091</xdr:rowOff>
    </xdr:to>
    <xdr:sp macro="" textlink="">
      <xdr:nvSpPr>
        <xdr:cNvPr id="21" name="AutoShape 179">
          <a:extLst>
            <a:ext uri="{FF2B5EF4-FFF2-40B4-BE49-F238E27FC236}">
              <a16:creationId xmlns:a16="http://schemas.microsoft.com/office/drawing/2014/main" id="{00000000-0008-0000-0400-000015000000}"/>
            </a:ext>
          </a:extLst>
        </xdr:cNvPr>
        <xdr:cNvSpPr>
          <a:spLocks noChangeArrowheads="1"/>
        </xdr:cNvSpPr>
      </xdr:nvSpPr>
      <xdr:spPr bwMode="auto">
        <a:xfrm>
          <a:off x="8714089" y="421212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54422</xdr:colOff>
      <xdr:row>13</xdr:row>
      <xdr:rowOff>408477</xdr:rowOff>
    </xdr:from>
    <xdr:to>
      <xdr:col>8</xdr:col>
      <xdr:colOff>588820</xdr:colOff>
      <xdr:row>13</xdr:row>
      <xdr:rowOff>1039091</xdr:rowOff>
    </xdr:to>
    <xdr:sp macro="" textlink="">
      <xdr:nvSpPr>
        <xdr:cNvPr id="22" name="AutoShape 179">
          <a:extLst>
            <a:ext uri="{FF2B5EF4-FFF2-40B4-BE49-F238E27FC236}">
              <a16:creationId xmlns:a16="http://schemas.microsoft.com/office/drawing/2014/main" id="{00000000-0008-0000-0400-000016000000}"/>
            </a:ext>
          </a:extLst>
        </xdr:cNvPr>
        <xdr:cNvSpPr>
          <a:spLocks noChangeArrowheads="1"/>
        </xdr:cNvSpPr>
      </xdr:nvSpPr>
      <xdr:spPr bwMode="auto">
        <a:xfrm>
          <a:off x="9363522" y="421212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5</xdr:col>
      <xdr:colOff>71739</xdr:colOff>
      <xdr:row>14</xdr:row>
      <xdr:rowOff>137160</xdr:rowOff>
    </xdr:from>
    <xdr:to>
      <xdr:col>5</xdr:col>
      <xdr:colOff>606137</xdr:colOff>
      <xdr:row>14</xdr:row>
      <xdr:rowOff>577274</xdr:rowOff>
    </xdr:to>
    <xdr:sp macro="" textlink="">
      <xdr:nvSpPr>
        <xdr:cNvPr id="23" name="AutoShape 179">
          <a:extLst>
            <a:ext uri="{FF2B5EF4-FFF2-40B4-BE49-F238E27FC236}">
              <a16:creationId xmlns:a16="http://schemas.microsoft.com/office/drawing/2014/main" id="{00000000-0008-0000-0400-000017000000}"/>
            </a:ext>
          </a:extLst>
        </xdr:cNvPr>
        <xdr:cNvSpPr>
          <a:spLocks noChangeArrowheads="1"/>
        </xdr:cNvSpPr>
      </xdr:nvSpPr>
      <xdr:spPr bwMode="auto">
        <a:xfrm>
          <a:off x="7384822" y="5407660"/>
          <a:ext cx="534398" cy="4401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54421</xdr:colOff>
      <xdr:row>14</xdr:row>
      <xdr:rowOff>137160</xdr:rowOff>
    </xdr:from>
    <xdr:to>
      <xdr:col>6</xdr:col>
      <xdr:colOff>588819</xdr:colOff>
      <xdr:row>14</xdr:row>
      <xdr:rowOff>577274</xdr:rowOff>
    </xdr:to>
    <xdr:sp macro="" textlink="">
      <xdr:nvSpPr>
        <xdr:cNvPr id="24" name="AutoShape 179">
          <a:extLst>
            <a:ext uri="{FF2B5EF4-FFF2-40B4-BE49-F238E27FC236}">
              <a16:creationId xmlns:a16="http://schemas.microsoft.com/office/drawing/2014/main" id="{00000000-0008-0000-0400-000018000000}"/>
            </a:ext>
          </a:extLst>
        </xdr:cNvPr>
        <xdr:cNvSpPr>
          <a:spLocks noChangeArrowheads="1"/>
        </xdr:cNvSpPr>
      </xdr:nvSpPr>
      <xdr:spPr bwMode="auto">
        <a:xfrm>
          <a:off x="8034254" y="5407660"/>
          <a:ext cx="534398" cy="4401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7</xdr:col>
      <xdr:colOff>71739</xdr:colOff>
      <xdr:row>14</xdr:row>
      <xdr:rowOff>137160</xdr:rowOff>
    </xdr:from>
    <xdr:to>
      <xdr:col>7</xdr:col>
      <xdr:colOff>606137</xdr:colOff>
      <xdr:row>14</xdr:row>
      <xdr:rowOff>577274</xdr:rowOff>
    </xdr:to>
    <xdr:sp macro="" textlink="">
      <xdr:nvSpPr>
        <xdr:cNvPr id="25" name="AutoShape 179">
          <a:extLst>
            <a:ext uri="{FF2B5EF4-FFF2-40B4-BE49-F238E27FC236}">
              <a16:creationId xmlns:a16="http://schemas.microsoft.com/office/drawing/2014/main" id="{00000000-0008-0000-0400-000019000000}"/>
            </a:ext>
          </a:extLst>
        </xdr:cNvPr>
        <xdr:cNvSpPr>
          <a:spLocks noChangeArrowheads="1"/>
        </xdr:cNvSpPr>
      </xdr:nvSpPr>
      <xdr:spPr bwMode="auto">
        <a:xfrm>
          <a:off x="8718322" y="5407660"/>
          <a:ext cx="534398" cy="4401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54422</xdr:colOff>
      <xdr:row>14</xdr:row>
      <xdr:rowOff>137160</xdr:rowOff>
    </xdr:from>
    <xdr:to>
      <xdr:col>8</xdr:col>
      <xdr:colOff>588820</xdr:colOff>
      <xdr:row>14</xdr:row>
      <xdr:rowOff>577274</xdr:rowOff>
    </xdr:to>
    <xdr:sp macro="" textlink="">
      <xdr:nvSpPr>
        <xdr:cNvPr id="26" name="AutoShape 179">
          <a:extLst>
            <a:ext uri="{FF2B5EF4-FFF2-40B4-BE49-F238E27FC236}">
              <a16:creationId xmlns:a16="http://schemas.microsoft.com/office/drawing/2014/main" id="{00000000-0008-0000-0400-00001A000000}"/>
            </a:ext>
          </a:extLst>
        </xdr:cNvPr>
        <xdr:cNvSpPr>
          <a:spLocks noChangeArrowheads="1"/>
        </xdr:cNvSpPr>
      </xdr:nvSpPr>
      <xdr:spPr bwMode="auto">
        <a:xfrm>
          <a:off x="9367755" y="5407660"/>
          <a:ext cx="534398" cy="4401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5</xdr:col>
      <xdr:colOff>54420</xdr:colOff>
      <xdr:row>15</xdr:row>
      <xdr:rowOff>148703</xdr:rowOff>
    </xdr:from>
    <xdr:to>
      <xdr:col>5</xdr:col>
      <xdr:colOff>588818</xdr:colOff>
      <xdr:row>15</xdr:row>
      <xdr:rowOff>779317</xdr:rowOff>
    </xdr:to>
    <xdr:sp macro="" textlink="">
      <xdr:nvSpPr>
        <xdr:cNvPr id="27" name="AutoShape 179">
          <a:extLst>
            <a:ext uri="{FF2B5EF4-FFF2-40B4-BE49-F238E27FC236}">
              <a16:creationId xmlns:a16="http://schemas.microsoft.com/office/drawing/2014/main" id="{00000000-0008-0000-0400-00001B000000}"/>
            </a:ext>
          </a:extLst>
        </xdr:cNvPr>
        <xdr:cNvSpPr>
          <a:spLocks noChangeArrowheads="1"/>
        </xdr:cNvSpPr>
      </xdr:nvSpPr>
      <xdr:spPr bwMode="auto">
        <a:xfrm>
          <a:off x="7363270" y="6778103"/>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37102</xdr:colOff>
      <xdr:row>15</xdr:row>
      <xdr:rowOff>148703</xdr:rowOff>
    </xdr:from>
    <xdr:to>
      <xdr:col>6</xdr:col>
      <xdr:colOff>571500</xdr:colOff>
      <xdr:row>15</xdr:row>
      <xdr:rowOff>779317</xdr:rowOff>
    </xdr:to>
    <xdr:sp macro="" textlink="">
      <xdr:nvSpPr>
        <xdr:cNvPr id="28" name="AutoShape 179">
          <a:extLst>
            <a:ext uri="{FF2B5EF4-FFF2-40B4-BE49-F238E27FC236}">
              <a16:creationId xmlns:a16="http://schemas.microsoft.com/office/drawing/2014/main" id="{00000000-0008-0000-0400-00001C000000}"/>
            </a:ext>
          </a:extLst>
        </xdr:cNvPr>
        <xdr:cNvSpPr>
          <a:spLocks noChangeArrowheads="1"/>
        </xdr:cNvSpPr>
      </xdr:nvSpPr>
      <xdr:spPr bwMode="auto">
        <a:xfrm>
          <a:off x="8012702" y="6778103"/>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7</xdr:col>
      <xdr:colOff>54420</xdr:colOff>
      <xdr:row>15</xdr:row>
      <xdr:rowOff>148703</xdr:rowOff>
    </xdr:from>
    <xdr:to>
      <xdr:col>7</xdr:col>
      <xdr:colOff>588818</xdr:colOff>
      <xdr:row>15</xdr:row>
      <xdr:rowOff>779317</xdr:rowOff>
    </xdr:to>
    <xdr:sp macro="" textlink="">
      <xdr:nvSpPr>
        <xdr:cNvPr id="29" name="AutoShape 179">
          <a:extLst>
            <a:ext uri="{FF2B5EF4-FFF2-40B4-BE49-F238E27FC236}">
              <a16:creationId xmlns:a16="http://schemas.microsoft.com/office/drawing/2014/main" id="{00000000-0008-0000-0400-00001D000000}"/>
            </a:ext>
          </a:extLst>
        </xdr:cNvPr>
        <xdr:cNvSpPr>
          <a:spLocks noChangeArrowheads="1"/>
        </xdr:cNvSpPr>
      </xdr:nvSpPr>
      <xdr:spPr bwMode="auto">
        <a:xfrm>
          <a:off x="8696770" y="6778103"/>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37103</xdr:colOff>
      <xdr:row>15</xdr:row>
      <xdr:rowOff>148703</xdr:rowOff>
    </xdr:from>
    <xdr:to>
      <xdr:col>8</xdr:col>
      <xdr:colOff>571501</xdr:colOff>
      <xdr:row>15</xdr:row>
      <xdr:rowOff>779317</xdr:rowOff>
    </xdr:to>
    <xdr:sp macro="" textlink="">
      <xdr:nvSpPr>
        <xdr:cNvPr id="30" name="AutoShape 179">
          <a:extLst>
            <a:ext uri="{FF2B5EF4-FFF2-40B4-BE49-F238E27FC236}">
              <a16:creationId xmlns:a16="http://schemas.microsoft.com/office/drawing/2014/main" id="{00000000-0008-0000-0400-00001E000000}"/>
            </a:ext>
          </a:extLst>
        </xdr:cNvPr>
        <xdr:cNvSpPr>
          <a:spLocks noChangeArrowheads="1"/>
        </xdr:cNvSpPr>
      </xdr:nvSpPr>
      <xdr:spPr bwMode="auto">
        <a:xfrm>
          <a:off x="9346203" y="6778103"/>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9</xdr:col>
      <xdr:colOff>71739</xdr:colOff>
      <xdr:row>15</xdr:row>
      <xdr:rowOff>131385</xdr:rowOff>
    </xdr:from>
    <xdr:to>
      <xdr:col>9</xdr:col>
      <xdr:colOff>606137</xdr:colOff>
      <xdr:row>15</xdr:row>
      <xdr:rowOff>761999</xdr:rowOff>
    </xdr:to>
    <xdr:sp macro="" textlink="">
      <xdr:nvSpPr>
        <xdr:cNvPr id="31" name="AutoShape 179">
          <a:extLst>
            <a:ext uri="{FF2B5EF4-FFF2-40B4-BE49-F238E27FC236}">
              <a16:creationId xmlns:a16="http://schemas.microsoft.com/office/drawing/2014/main" id="{00000000-0008-0000-0400-00001F000000}"/>
            </a:ext>
          </a:extLst>
        </xdr:cNvPr>
        <xdr:cNvSpPr>
          <a:spLocks noChangeArrowheads="1"/>
        </xdr:cNvSpPr>
      </xdr:nvSpPr>
      <xdr:spPr bwMode="auto">
        <a:xfrm>
          <a:off x="10047589" y="6760785"/>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10</xdr:col>
      <xdr:colOff>54421</xdr:colOff>
      <xdr:row>15</xdr:row>
      <xdr:rowOff>131385</xdr:rowOff>
    </xdr:from>
    <xdr:to>
      <xdr:col>10</xdr:col>
      <xdr:colOff>588819</xdr:colOff>
      <xdr:row>15</xdr:row>
      <xdr:rowOff>761999</xdr:rowOff>
    </xdr:to>
    <xdr:sp macro="" textlink="">
      <xdr:nvSpPr>
        <xdr:cNvPr id="69632" name="AutoShape 179">
          <a:extLst>
            <a:ext uri="{FF2B5EF4-FFF2-40B4-BE49-F238E27FC236}">
              <a16:creationId xmlns:a16="http://schemas.microsoft.com/office/drawing/2014/main" id="{00000000-0008-0000-0400-000000100100}"/>
            </a:ext>
          </a:extLst>
        </xdr:cNvPr>
        <xdr:cNvSpPr>
          <a:spLocks noChangeArrowheads="1"/>
        </xdr:cNvSpPr>
      </xdr:nvSpPr>
      <xdr:spPr bwMode="auto">
        <a:xfrm>
          <a:off x="10697021" y="6760785"/>
          <a:ext cx="534398" cy="630614"/>
        </a:xfrm>
        <a:prstGeom prst="homePlate">
          <a:avLst>
            <a:gd name="adj" fmla="val 32088"/>
          </a:avLst>
        </a:prstGeom>
        <a:noFill/>
        <a:ln w="9525">
          <a:solidFill>
            <a:srgbClr val="000000"/>
          </a:solidFill>
          <a:miter lim="800000"/>
          <a:headEnd/>
          <a:tailEnd/>
        </a:ln>
      </xdr:spPr>
    </xdr:sp>
    <xdr:clientData/>
  </xdr:twoCellAnchor>
  <xdr:twoCellAnchor>
    <xdr:from>
      <xdr:col>11</xdr:col>
      <xdr:colOff>71740</xdr:colOff>
      <xdr:row>15</xdr:row>
      <xdr:rowOff>131385</xdr:rowOff>
    </xdr:from>
    <xdr:to>
      <xdr:col>11</xdr:col>
      <xdr:colOff>606138</xdr:colOff>
      <xdr:row>15</xdr:row>
      <xdr:rowOff>761999</xdr:rowOff>
    </xdr:to>
    <xdr:sp macro="" textlink="">
      <xdr:nvSpPr>
        <xdr:cNvPr id="69641" name="AutoShape 179">
          <a:extLst>
            <a:ext uri="{FF2B5EF4-FFF2-40B4-BE49-F238E27FC236}">
              <a16:creationId xmlns:a16="http://schemas.microsoft.com/office/drawing/2014/main" id="{00000000-0008-0000-0400-000009100100}"/>
            </a:ext>
          </a:extLst>
        </xdr:cNvPr>
        <xdr:cNvSpPr>
          <a:spLocks noChangeArrowheads="1"/>
        </xdr:cNvSpPr>
      </xdr:nvSpPr>
      <xdr:spPr bwMode="auto">
        <a:xfrm>
          <a:off x="11381090" y="6760785"/>
          <a:ext cx="534398" cy="630614"/>
        </a:xfrm>
        <a:prstGeom prst="homePlate">
          <a:avLst>
            <a:gd name="adj" fmla="val 32088"/>
          </a:avLst>
        </a:prstGeom>
        <a:noFill/>
        <a:ln w="9525">
          <a:solidFill>
            <a:srgbClr val="000000"/>
          </a:solidFill>
          <a:miter lim="800000"/>
          <a:headEnd/>
          <a:tailEnd/>
        </a:ln>
      </xdr:spPr>
    </xdr:sp>
    <xdr:clientData/>
  </xdr:twoCellAnchor>
  <xdr:twoCellAnchor>
    <xdr:from>
      <xdr:col>5</xdr:col>
      <xdr:colOff>54420</xdr:colOff>
      <xdr:row>18</xdr:row>
      <xdr:rowOff>114067</xdr:rowOff>
    </xdr:from>
    <xdr:to>
      <xdr:col>5</xdr:col>
      <xdr:colOff>588818</xdr:colOff>
      <xdr:row>18</xdr:row>
      <xdr:rowOff>744681</xdr:rowOff>
    </xdr:to>
    <xdr:sp macro="" textlink="">
      <xdr:nvSpPr>
        <xdr:cNvPr id="69642" name="AutoShape 179">
          <a:extLst>
            <a:ext uri="{FF2B5EF4-FFF2-40B4-BE49-F238E27FC236}">
              <a16:creationId xmlns:a16="http://schemas.microsoft.com/office/drawing/2014/main" id="{00000000-0008-0000-0400-00000A100100}"/>
            </a:ext>
          </a:extLst>
        </xdr:cNvPr>
        <xdr:cNvSpPr>
          <a:spLocks noChangeArrowheads="1"/>
        </xdr:cNvSpPr>
      </xdr:nvSpPr>
      <xdr:spPr bwMode="auto">
        <a:xfrm>
          <a:off x="7363270" y="965811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37102</xdr:colOff>
      <xdr:row>18</xdr:row>
      <xdr:rowOff>114067</xdr:rowOff>
    </xdr:from>
    <xdr:to>
      <xdr:col>6</xdr:col>
      <xdr:colOff>571500</xdr:colOff>
      <xdr:row>18</xdr:row>
      <xdr:rowOff>744681</xdr:rowOff>
    </xdr:to>
    <xdr:sp macro="" textlink="">
      <xdr:nvSpPr>
        <xdr:cNvPr id="69643" name="AutoShape 179">
          <a:extLst>
            <a:ext uri="{FF2B5EF4-FFF2-40B4-BE49-F238E27FC236}">
              <a16:creationId xmlns:a16="http://schemas.microsoft.com/office/drawing/2014/main" id="{00000000-0008-0000-0400-00000B100100}"/>
            </a:ext>
          </a:extLst>
        </xdr:cNvPr>
        <xdr:cNvSpPr>
          <a:spLocks noChangeArrowheads="1"/>
        </xdr:cNvSpPr>
      </xdr:nvSpPr>
      <xdr:spPr bwMode="auto">
        <a:xfrm>
          <a:off x="8012702" y="965811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7</xdr:col>
      <xdr:colOff>54420</xdr:colOff>
      <xdr:row>18</xdr:row>
      <xdr:rowOff>114067</xdr:rowOff>
    </xdr:from>
    <xdr:to>
      <xdr:col>7</xdr:col>
      <xdr:colOff>588818</xdr:colOff>
      <xdr:row>18</xdr:row>
      <xdr:rowOff>744681</xdr:rowOff>
    </xdr:to>
    <xdr:sp macro="" textlink="">
      <xdr:nvSpPr>
        <xdr:cNvPr id="69644" name="AutoShape 179">
          <a:extLst>
            <a:ext uri="{FF2B5EF4-FFF2-40B4-BE49-F238E27FC236}">
              <a16:creationId xmlns:a16="http://schemas.microsoft.com/office/drawing/2014/main" id="{00000000-0008-0000-0400-00000C100100}"/>
            </a:ext>
          </a:extLst>
        </xdr:cNvPr>
        <xdr:cNvSpPr>
          <a:spLocks noChangeArrowheads="1"/>
        </xdr:cNvSpPr>
      </xdr:nvSpPr>
      <xdr:spPr bwMode="auto">
        <a:xfrm>
          <a:off x="8696770" y="965811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37103</xdr:colOff>
      <xdr:row>18</xdr:row>
      <xdr:rowOff>114067</xdr:rowOff>
    </xdr:from>
    <xdr:to>
      <xdr:col>8</xdr:col>
      <xdr:colOff>571501</xdr:colOff>
      <xdr:row>18</xdr:row>
      <xdr:rowOff>744681</xdr:rowOff>
    </xdr:to>
    <xdr:sp macro="" textlink="">
      <xdr:nvSpPr>
        <xdr:cNvPr id="69645" name="AutoShape 179">
          <a:extLst>
            <a:ext uri="{FF2B5EF4-FFF2-40B4-BE49-F238E27FC236}">
              <a16:creationId xmlns:a16="http://schemas.microsoft.com/office/drawing/2014/main" id="{00000000-0008-0000-0400-00000D100100}"/>
            </a:ext>
          </a:extLst>
        </xdr:cNvPr>
        <xdr:cNvSpPr>
          <a:spLocks noChangeArrowheads="1"/>
        </xdr:cNvSpPr>
      </xdr:nvSpPr>
      <xdr:spPr bwMode="auto">
        <a:xfrm>
          <a:off x="9346203" y="965811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9</xdr:col>
      <xdr:colOff>71739</xdr:colOff>
      <xdr:row>18</xdr:row>
      <xdr:rowOff>96749</xdr:rowOff>
    </xdr:from>
    <xdr:to>
      <xdr:col>9</xdr:col>
      <xdr:colOff>606137</xdr:colOff>
      <xdr:row>18</xdr:row>
      <xdr:rowOff>727363</xdr:rowOff>
    </xdr:to>
    <xdr:sp macro="" textlink="">
      <xdr:nvSpPr>
        <xdr:cNvPr id="69646" name="AutoShape 179">
          <a:extLst>
            <a:ext uri="{FF2B5EF4-FFF2-40B4-BE49-F238E27FC236}">
              <a16:creationId xmlns:a16="http://schemas.microsoft.com/office/drawing/2014/main" id="{00000000-0008-0000-0400-00000E100100}"/>
            </a:ext>
          </a:extLst>
        </xdr:cNvPr>
        <xdr:cNvSpPr>
          <a:spLocks noChangeArrowheads="1"/>
        </xdr:cNvSpPr>
      </xdr:nvSpPr>
      <xdr:spPr bwMode="auto">
        <a:xfrm>
          <a:off x="10047589" y="9640799"/>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5</xdr:col>
      <xdr:colOff>71739</xdr:colOff>
      <xdr:row>17</xdr:row>
      <xdr:rowOff>199504</xdr:rowOff>
    </xdr:from>
    <xdr:to>
      <xdr:col>5</xdr:col>
      <xdr:colOff>606137</xdr:colOff>
      <xdr:row>17</xdr:row>
      <xdr:rowOff>684068</xdr:rowOff>
    </xdr:to>
    <xdr:sp macro="" textlink="">
      <xdr:nvSpPr>
        <xdr:cNvPr id="69647" name="AutoShape 179">
          <a:extLst>
            <a:ext uri="{FF2B5EF4-FFF2-40B4-BE49-F238E27FC236}">
              <a16:creationId xmlns:a16="http://schemas.microsoft.com/office/drawing/2014/main" id="{00000000-0008-0000-0400-00000F100100}"/>
            </a:ext>
          </a:extLst>
        </xdr:cNvPr>
        <xdr:cNvSpPr>
          <a:spLocks noChangeArrowheads="1"/>
        </xdr:cNvSpPr>
      </xdr:nvSpPr>
      <xdr:spPr bwMode="auto">
        <a:xfrm>
          <a:off x="7399639" y="7921104"/>
          <a:ext cx="534398" cy="48456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54421</xdr:colOff>
      <xdr:row>17</xdr:row>
      <xdr:rowOff>199504</xdr:rowOff>
    </xdr:from>
    <xdr:to>
      <xdr:col>6</xdr:col>
      <xdr:colOff>588819</xdr:colOff>
      <xdr:row>17</xdr:row>
      <xdr:rowOff>684068</xdr:rowOff>
    </xdr:to>
    <xdr:sp macro="" textlink="">
      <xdr:nvSpPr>
        <xdr:cNvPr id="69648" name="AutoShape 179">
          <a:extLst>
            <a:ext uri="{FF2B5EF4-FFF2-40B4-BE49-F238E27FC236}">
              <a16:creationId xmlns:a16="http://schemas.microsoft.com/office/drawing/2014/main" id="{00000000-0008-0000-0400-000010100100}"/>
            </a:ext>
          </a:extLst>
        </xdr:cNvPr>
        <xdr:cNvSpPr>
          <a:spLocks noChangeArrowheads="1"/>
        </xdr:cNvSpPr>
      </xdr:nvSpPr>
      <xdr:spPr bwMode="auto">
        <a:xfrm>
          <a:off x="8055421" y="7921104"/>
          <a:ext cx="534398" cy="48456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7</xdr:col>
      <xdr:colOff>71739</xdr:colOff>
      <xdr:row>17</xdr:row>
      <xdr:rowOff>199504</xdr:rowOff>
    </xdr:from>
    <xdr:to>
      <xdr:col>7</xdr:col>
      <xdr:colOff>606137</xdr:colOff>
      <xdr:row>17</xdr:row>
      <xdr:rowOff>684068</xdr:rowOff>
    </xdr:to>
    <xdr:sp macro="" textlink="">
      <xdr:nvSpPr>
        <xdr:cNvPr id="69649" name="AutoShape 179">
          <a:extLst>
            <a:ext uri="{FF2B5EF4-FFF2-40B4-BE49-F238E27FC236}">
              <a16:creationId xmlns:a16="http://schemas.microsoft.com/office/drawing/2014/main" id="{00000000-0008-0000-0400-000011100100}"/>
            </a:ext>
          </a:extLst>
        </xdr:cNvPr>
        <xdr:cNvSpPr>
          <a:spLocks noChangeArrowheads="1"/>
        </xdr:cNvSpPr>
      </xdr:nvSpPr>
      <xdr:spPr bwMode="auto">
        <a:xfrm>
          <a:off x="8745839" y="7921104"/>
          <a:ext cx="534398" cy="48456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54422</xdr:colOff>
      <xdr:row>17</xdr:row>
      <xdr:rowOff>199504</xdr:rowOff>
    </xdr:from>
    <xdr:to>
      <xdr:col>8</xdr:col>
      <xdr:colOff>588820</xdr:colOff>
      <xdr:row>17</xdr:row>
      <xdr:rowOff>684068</xdr:rowOff>
    </xdr:to>
    <xdr:sp macro="" textlink="">
      <xdr:nvSpPr>
        <xdr:cNvPr id="69650" name="AutoShape 179">
          <a:extLst>
            <a:ext uri="{FF2B5EF4-FFF2-40B4-BE49-F238E27FC236}">
              <a16:creationId xmlns:a16="http://schemas.microsoft.com/office/drawing/2014/main" id="{00000000-0008-0000-0400-000012100100}"/>
            </a:ext>
          </a:extLst>
        </xdr:cNvPr>
        <xdr:cNvSpPr>
          <a:spLocks noChangeArrowheads="1"/>
        </xdr:cNvSpPr>
      </xdr:nvSpPr>
      <xdr:spPr bwMode="auto">
        <a:xfrm>
          <a:off x="9401622" y="7921104"/>
          <a:ext cx="534398" cy="48456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5</xdr:col>
      <xdr:colOff>54420</xdr:colOff>
      <xdr:row>16</xdr:row>
      <xdr:rowOff>217975</xdr:rowOff>
    </xdr:from>
    <xdr:to>
      <xdr:col>5</xdr:col>
      <xdr:colOff>588818</xdr:colOff>
      <xdr:row>16</xdr:row>
      <xdr:rowOff>848589</xdr:rowOff>
    </xdr:to>
    <xdr:sp macro="" textlink="">
      <xdr:nvSpPr>
        <xdr:cNvPr id="69651" name="AutoShape 179">
          <a:extLst>
            <a:ext uri="{FF2B5EF4-FFF2-40B4-BE49-F238E27FC236}">
              <a16:creationId xmlns:a16="http://schemas.microsoft.com/office/drawing/2014/main" id="{00000000-0008-0000-0400-000013100100}"/>
            </a:ext>
          </a:extLst>
        </xdr:cNvPr>
        <xdr:cNvSpPr>
          <a:spLocks noChangeArrowheads="1"/>
        </xdr:cNvSpPr>
      </xdr:nvSpPr>
      <xdr:spPr bwMode="auto">
        <a:xfrm>
          <a:off x="7363270" y="7672875"/>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37102</xdr:colOff>
      <xdr:row>16</xdr:row>
      <xdr:rowOff>217975</xdr:rowOff>
    </xdr:from>
    <xdr:to>
      <xdr:col>6</xdr:col>
      <xdr:colOff>571500</xdr:colOff>
      <xdr:row>16</xdr:row>
      <xdr:rowOff>848589</xdr:rowOff>
    </xdr:to>
    <xdr:sp macro="" textlink="">
      <xdr:nvSpPr>
        <xdr:cNvPr id="69652" name="AutoShape 179">
          <a:extLst>
            <a:ext uri="{FF2B5EF4-FFF2-40B4-BE49-F238E27FC236}">
              <a16:creationId xmlns:a16="http://schemas.microsoft.com/office/drawing/2014/main" id="{00000000-0008-0000-0400-000014100100}"/>
            </a:ext>
          </a:extLst>
        </xdr:cNvPr>
        <xdr:cNvSpPr>
          <a:spLocks noChangeArrowheads="1"/>
        </xdr:cNvSpPr>
      </xdr:nvSpPr>
      <xdr:spPr bwMode="auto">
        <a:xfrm>
          <a:off x="8012702" y="7672875"/>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7</xdr:col>
      <xdr:colOff>54420</xdr:colOff>
      <xdr:row>16</xdr:row>
      <xdr:rowOff>217975</xdr:rowOff>
    </xdr:from>
    <xdr:to>
      <xdr:col>7</xdr:col>
      <xdr:colOff>588818</xdr:colOff>
      <xdr:row>16</xdr:row>
      <xdr:rowOff>848589</xdr:rowOff>
    </xdr:to>
    <xdr:sp macro="" textlink="">
      <xdr:nvSpPr>
        <xdr:cNvPr id="69653" name="AutoShape 179">
          <a:extLst>
            <a:ext uri="{FF2B5EF4-FFF2-40B4-BE49-F238E27FC236}">
              <a16:creationId xmlns:a16="http://schemas.microsoft.com/office/drawing/2014/main" id="{00000000-0008-0000-0400-000015100100}"/>
            </a:ext>
          </a:extLst>
        </xdr:cNvPr>
        <xdr:cNvSpPr>
          <a:spLocks noChangeArrowheads="1"/>
        </xdr:cNvSpPr>
      </xdr:nvSpPr>
      <xdr:spPr bwMode="auto">
        <a:xfrm>
          <a:off x="8696770" y="7672875"/>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37103</xdr:colOff>
      <xdr:row>16</xdr:row>
      <xdr:rowOff>217975</xdr:rowOff>
    </xdr:from>
    <xdr:to>
      <xdr:col>8</xdr:col>
      <xdr:colOff>571501</xdr:colOff>
      <xdr:row>16</xdr:row>
      <xdr:rowOff>848589</xdr:rowOff>
    </xdr:to>
    <xdr:sp macro="" textlink="">
      <xdr:nvSpPr>
        <xdr:cNvPr id="69654" name="AutoShape 179">
          <a:extLst>
            <a:ext uri="{FF2B5EF4-FFF2-40B4-BE49-F238E27FC236}">
              <a16:creationId xmlns:a16="http://schemas.microsoft.com/office/drawing/2014/main" id="{00000000-0008-0000-0400-000016100100}"/>
            </a:ext>
          </a:extLst>
        </xdr:cNvPr>
        <xdr:cNvSpPr>
          <a:spLocks noChangeArrowheads="1"/>
        </xdr:cNvSpPr>
      </xdr:nvSpPr>
      <xdr:spPr bwMode="auto">
        <a:xfrm>
          <a:off x="9346203" y="7672875"/>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9</xdr:col>
      <xdr:colOff>71739</xdr:colOff>
      <xdr:row>16</xdr:row>
      <xdr:rowOff>200657</xdr:rowOff>
    </xdr:from>
    <xdr:to>
      <xdr:col>9</xdr:col>
      <xdr:colOff>606137</xdr:colOff>
      <xdr:row>16</xdr:row>
      <xdr:rowOff>831271</xdr:rowOff>
    </xdr:to>
    <xdr:sp macro="" textlink="">
      <xdr:nvSpPr>
        <xdr:cNvPr id="69655" name="AutoShape 179">
          <a:extLst>
            <a:ext uri="{FF2B5EF4-FFF2-40B4-BE49-F238E27FC236}">
              <a16:creationId xmlns:a16="http://schemas.microsoft.com/office/drawing/2014/main" id="{00000000-0008-0000-0400-000017100100}"/>
            </a:ext>
          </a:extLst>
        </xdr:cNvPr>
        <xdr:cNvSpPr>
          <a:spLocks noChangeArrowheads="1"/>
        </xdr:cNvSpPr>
      </xdr:nvSpPr>
      <xdr:spPr bwMode="auto">
        <a:xfrm>
          <a:off x="10047589" y="7655557"/>
          <a:ext cx="534398" cy="630614"/>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10</xdr:col>
      <xdr:colOff>54421</xdr:colOff>
      <xdr:row>16</xdr:row>
      <xdr:rowOff>200657</xdr:rowOff>
    </xdr:from>
    <xdr:to>
      <xdr:col>10</xdr:col>
      <xdr:colOff>588819</xdr:colOff>
      <xdr:row>16</xdr:row>
      <xdr:rowOff>831271</xdr:rowOff>
    </xdr:to>
    <xdr:sp macro="" textlink="">
      <xdr:nvSpPr>
        <xdr:cNvPr id="69656" name="AutoShape 179">
          <a:extLst>
            <a:ext uri="{FF2B5EF4-FFF2-40B4-BE49-F238E27FC236}">
              <a16:creationId xmlns:a16="http://schemas.microsoft.com/office/drawing/2014/main" id="{00000000-0008-0000-0400-000018100100}"/>
            </a:ext>
          </a:extLst>
        </xdr:cNvPr>
        <xdr:cNvSpPr>
          <a:spLocks noChangeArrowheads="1"/>
        </xdr:cNvSpPr>
      </xdr:nvSpPr>
      <xdr:spPr bwMode="auto">
        <a:xfrm>
          <a:off x="10697021" y="7655557"/>
          <a:ext cx="534398" cy="630614"/>
        </a:xfrm>
        <a:prstGeom prst="homePlate">
          <a:avLst>
            <a:gd name="adj" fmla="val 32088"/>
          </a:avLst>
        </a:prstGeom>
        <a:noFill/>
        <a:ln w="9525">
          <a:solidFill>
            <a:srgbClr val="000000"/>
          </a:solidFill>
          <a:miter lim="800000"/>
          <a:headEnd/>
          <a:tailEnd/>
        </a:ln>
      </xdr:spPr>
    </xdr:sp>
    <xdr:clientData/>
  </xdr:twoCellAnchor>
  <xdr:twoCellAnchor>
    <xdr:from>
      <xdr:col>11</xdr:col>
      <xdr:colOff>71740</xdr:colOff>
      <xdr:row>16</xdr:row>
      <xdr:rowOff>200657</xdr:rowOff>
    </xdr:from>
    <xdr:to>
      <xdr:col>11</xdr:col>
      <xdr:colOff>606138</xdr:colOff>
      <xdr:row>16</xdr:row>
      <xdr:rowOff>831271</xdr:rowOff>
    </xdr:to>
    <xdr:sp macro="" textlink="">
      <xdr:nvSpPr>
        <xdr:cNvPr id="69657" name="AutoShape 179">
          <a:extLst>
            <a:ext uri="{FF2B5EF4-FFF2-40B4-BE49-F238E27FC236}">
              <a16:creationId xmlns:a16="http://schemas.microsoft.com/office/drawing/2014/main" id="{00000000-0008-0000-0400-000019100100}"/>
            </a:ext>
          </a:extLst>
        </xdr:cNvPr>
        <xdr:cNvSpPr>
          <a:spLocks noChangeArrowheads="1"/>
        </xdr:cNvSpPr>
      </xdr:nvSpPr>
      <xdr:spPr bwMode="auto">
        <a:xfrm>
          <a:off x="11381090" y="7655557"/>
          <a:ext cx="534398" cy="630614"/>
        </a:xfrm>
        <a:prstGeom prst="homePlate">
          <a:avLst>
            <a:gd name="adj" fmla="val 32088"/>
          </a:avLst>
        </a:prstGeom>
        <a:no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0</xdr:col>
          <xdr:colOff>336550</xdr:colOff>
          <xdr:row>25</xdr:row>
          <xdr:rowOff>69850</xdr:rowOff>
        </xdr:from>
        <xdr:to>
          <xdr:col>3</xdr:col>
          <xdr:colOff>4394200</xdr:colOff>
          <xdr:row>36</xdr:row>
          <xdr:rowOff>228600</xdr:rowOff>
        </xdr:to>
        <xdr:sp macro="" textlink="">
          <xdr:nvSpPr>
            <xdr:cNvPr id="75749" name="Picture 31404" hidden="1">
              <a:extLst>
                <a:ext uri="{63B3BB69-23CF-44E3-9099-C40C66FF867C}">
                  <a14:compatExt spid="_x0000_s75749"/>
                </a:ext>
                <a:ext uri="{FF2B5EF4-FFF2-40B4-BE49-F238E27FC236}">
                  <a16:creationId xmlns:a16="http://schemas.microsoft.com/office/drawing/2014/main" id="{00000000-0008-0000-0400-0000E527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412750</xdr:colOff>
          <xdr:row>25</xdr:row>
          <xdr:rowOff>69850</xdr:rowOff>
        </xdr:from>
        <xdr:to>
          <xdr:col>21</xdr:col>
          <xdr:colOff>107950</xdr:colOff>
          <xdr:row>37</xdr:row>
          <xdr:rowOff>88900</xdr:rowOff>
        </xdr:to>
        <xdr:sp macro="" textlink="">
          <xdr:nvSpPr>
            <xdr:cNvPr id="75750" name="Picture 36572" hidden="1">
              <a:extLst>
                <a:ext uri="{63B3BB69-23CF-44E3-9099-C40C66FF867C}">
                  <a14:compatExt spid="_x0000_s75750"/>
                </a:ext>
                <a:ext uri="{FF2B5EF4-FFF2-40B4-BE49-F238E27FC236}">
                  <a16:creationId xmlns:a16="http://schemas.microsoft.com/office/drawing/2014/main" id="{00000000-0008-0000-0400-0000E627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336550</xdr:colOff>
          <xdr:row>25</xdr:row>
          <xdr:rowOff>69850</xdr:rowOff>
        </xdr:from>
        <xdr:to>
          <xdr:col>28</xdr:col>
          <xdr:colOff>317500</xdr:colOff>
          <xdr:row>37</xdr:row>
          <xdr:rowOff>69850</xdr:rowOff>
        </xdr:to>
        <xdr:sp macro="" textlink="">
          <xdr:nvSpPr>
            <xdr:cNvPr id="75751" name="Picture 36572" hidden="1">
              <a:extLst>
                <a:ext uri="{63B3BB69-23CF-44E3-9099-C40C66FF867C}">
                  <a14:compatExt spid="_x0000_s75751"/>
                </a:ext>
                <a:ext uri="{FF2B5EF4-FFF2-40B4-BE49-F238E27FC236}">
                  <a16:creationId xmlns:a16="http://schemas.microsoft.com/office/drawing/2014/main" id="{00000000-0008-0000-0400-0000E727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266700</xdr:colOff>
          <xdr:row>37</xdr:row>
          <xdr:rowOff>241300</xdr:rowOff>
        </xdr:from>
        <xdr:to>
          <xdr:col>3</xdr:col>
          <xdr:colOff>4495800</xdr:colOff>
          <xdr:row>49</xdr:row>
          <xdr:rowOff>76200</xdr:rowOff>
        </xdr:to>
        <xdr:sp macro="" textlink="">
          <xdr:nvSpPr>
            <xdr:cNvPr id="75752" name="Picture 36575" hidden="1">
              <a:extLst>
                <a:ext uri="{63B3BB69-23CF-44E3-9099-C40C66FF867C}">
                  <a14:compatExt spid="_x0000_s75752"/>
                </a:ext>
                <a:ext uri="{FF2B5EF4-FFF2-40B4-BE49-F238E27FC236}">
                  <a16:creationId xmlns:a16="http://schemas.microsoft.com/office/drawing/2014/main" id="{00000000-0008-0000-0400-0000E827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31750</xdr:colOff>
          <xdr:row>38</xdr:row>
          <xdr:rowOff>38100</xdr:rowOff>
        </xdr:from>
        <xdr:to>
          <xdr:col>14</xdr:col>
          <xdr:colOff>12700</xdr:colOff>
          <xdr:row>49</xdr:row>
          <xdr:rowOff>279400</xdr:rowOff>
        </xdr:to>
        <xdr:sp macro="" textlink="">
          <xdr:nvSpPr>
            <xdr:cNvPr id="75753" name="Picture 36576" hidden="1">
              <a:extLst>
                <a:ext uri="{63B3BB69-23CF-44E3-9099-C40C66FF867C}">
                  <a14:compatExt spid="_x0000_s75753"/>
                </a:ext>
                <a:ext uri="{FF2B5EF4-FFF2-40B4-BE49-F238E27FC236}">
                  <a16:creationId xmlns:a16="http://schemas.microsoft.com/office/drawing/2014/main" id="{00000000-0008-0000-0400-0000E927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260350</xdr:colOff>
          <xdr:row>37</xdr:row>
          <xdr:rowOff>298450</xdr:rowOff>
        </xdr:from>
        <xdr:to>
          <xdr:col>21</xdr:col>
          <xdr:colOff>228600</xdr:colOff>
          <xdr:row>49</xdr:row>
          <xdr:rowOff>298450</xdr:rowOff>
        </xdr:to>
        <xdr:sp macro="" textlink="">
          <xdr:nvSpPr>
            <xdr:cNvPr id="75754" name="Picture 36576" hidden="1">
              <a:extLst>
                <a:ext uri="{63B3BB69-23CF-44E3-9099-C40C66FF867C}">
                  <a14:compatExt spid="_x0000_s75754"/>
                </a:ext>
                <a:ext uri="{FF2B5EF4-FFF2-40B4-BE49-F238E27FC236}">
                  <a16:creationId xmlns:a16="http://schemas.microsoft.com/office/drawing/2014/main" id="{00000000-0008-0000-0400-0000EA27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4641850</xdr:colOff>
          <xdr:row>25</xdr:row>
          <xdr:rowOff>69850</xdr:rowOff>
        </xdr:from>
        <xdr:to>
          <xdr:col>12</xdr:col>
          <xdr:colOff>228600</xdr:colOff>
          <xdr:row>37</xdr:row>
          <xdr:rowOff>69850</xdr:rowOff>
        </xdr:to>
        <xdr:sp macro="" textlink="">
          <xdr:nvSpPr>
            <xdr:cNvPr id="75755" name="Picture 31403" hidden="1">
              <a:extLst>
                <a:ext uri="{63B3BB69-23CF-44E3-9099-C40C66FF867C}">
                  <a14:compatExt spid="_x0000_s75755"/>
                </a:ext>
                <a:ext uri="{FF2B5EF4-FFF2-40B4-BE49-F238E27FC236}">
                  <a16:creationId xmlns:a16="http://schemas.microsoft.com/office/drawing/2014/main" id="{00000000-0008-0000-0400-0000EB27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0</xdr:colOff>
      <xdr:row>35</xdr:row>
      <xdr:rowOff>0</xdr:rowOff>
    </xdr:from>
    <xdr:to>
      <xdr:col>0</xdr:col>
      <xdr:colOff>9525</xdr:colOff>
      <xdr:row>35</xdr:row>
      <xdr:rowOff>9525</xdr:rowOff>
    </xdr:to>
    <xdr:sp macro="" textlink="">
      <xdr:nvSpPr>
        <xdr:cNvPr id="2" name="AutoShape 1">
          <a:extLst>
            <a:ext uri="{FF2B5EF4-FFF2-40B4-BE49-F238E27FC236}">
              <a16:creationId xmlns:a16="http://schemas.microsoft.com/office/drawing/2014/main" id="{00000000-0008-0000-0500-000002000000}"/>
            </a:ext>
          </a:extLst>
        </xdr:cNvPr>
        <xdr:cNvSpPr>
          <a:spLocks noChangeArrowheads="1"/>
        </xdr:cNvSpPr>
      </xdr:nvSpPr>
      <xdr:spPr bwMode="auto">
        <a:xfrm>
          <a:off x="0" y="12334875"/>
          <a:ext cx="9525" cy="9525"/>
        </a:xfrm>
        <a:prstGeom prst="homePlate">
          <a:avLst>
            <a:gd name="adj" fmla="val -2147483648"/>
          </a:avLst>
        </a:prstGeom>
        <a:solidFill>
          <a:srgbClr val="FFFFFF"/>
        </a:solidFill>
        <a:ln w="9525" cmpd="sng">
          <a:solidFill>
            <a:srgbClr val="000000"/>
          </a:solidFill>
          <a:miter lim="800000"/>
          <a:headEnd/>
          <a:tailEnd/>
        </a:ln>
      </xdr:spPr>
      <xdr:txBody>
        <a:bodyPr vertOverflow="clip" wrap="square" lIns="27432" tIns="22860" rIns="27432" bIns="22860" anchor="ctr" upright="1"/>
        <a:lstStyle/>
        <a:p>
          <a:pPr algn="ctr" rtl="0">
            <a:defRPr sz="1000"/>
          </a:pPr>
          <a:r>
            <a:rPr lang="en-US" sz="800" b="0" i="0" strike="noStrike">
              <a:solidFill>
                <a:srgbClr val="000000"/>
              </a:solidFill>
              <a:latin typeface="Arial"/>
              <a:cs typeface="Arial"/>
            </a:rPr>
            <a:t>WW 53</a:t>
          </a:r>
        </a:p>
      </xdr:txBody>
    </xdr:sp>
    <xdr:clientData/>
  </xdr:twoCellAnchor>
  <xdr:twoCellAnchor>
    <xdr:from>
      <xdr:col>7</xdr:col>
      <xdr:colOff>174173</xdr:colOff>
      <xdr:row>14</xdr:row>
      <xdr:rowOff>121102</xdr:rowOff>
    </xdr:from>
    <xdr:to>
      <xdr:col>7</xdr:col>
      <xdr:colOff>459923</xdr:colOff>
      <xdr:row>14</xdr:row>
      <xdr:rowOff>492577</xdr:rowOff>
    </xdr:to>
    <xdr:sp macro="" textlink="">
      <xdr:nvSpPr>
        <xdr:cNvPr id="10" name="AutoShape 179">
          <a:extLst>
            <a:ext uri="{FF2B5EF4-FFF2-40B4-BE49-F238E27FC236}">
              <a16:creationId xmlns:a16="http://schemas.microsoft.com/office/drawing/2014/main" id="{00000000-0008-0000-0500-00000A000000}"/>
            </a:ext>
          </a:extLst>
        </xdr:cNvPr>
        <xdr:cNvSpPr>
          <a:spLocks noChangeArrowheads="1"/>
        </xdr:cNvSpPr>
      </xdr:nvSpPr>
      <xdr:spPr bwMode="auto">
        <a:xfrm>
          <a:off x="6664780" y="5006066"/>
          <a:ext cx="285750" cy="371475"/>
        </a:xfrm>
        <a:prstGeom prst="homePlate">
          <a:avLst>
            <a:gd name="adj" fmla="val 32088"/>
          </a:avLst>
        </a:prstGeom>
        <a:solidFill>
          <a:srgbClr val="FF99FF"/>
        </a:solid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15</xdr:col>
          <xdr:colOff>69850</xdr:colOff>
          <xdr:row>25</xdr:row>
          <xdr:rowOff>190500</xdr:rowOff>
        </xdr:from>
        <xdr:to>
          <xdr:col>23</xdr:col>
          <xdr:colOff>260350</xdr:colOff>
          <xdr:row>36</xdr:row>
          <xdr:rowOff>222250</xdr:rowOff>
        </xdr:to>
        <xdr:sp macro="" textlink="">
          <xdr:nvSpPr>
            <xdr:cNvPr id="17639" name="Picture 36572" hidden="1">
              <a:extLst>
                <a:ext uri="{63B3BB69-23CF-44E3-9099-C40C66FF867C}">
                  <a14:compatExt spid="_x0000_s17639"/>
                </a:ext>
                <a:ext uri="{FF2B5EF4-FFF2-40B4-BE49-F238E27FC236}">
                  <a16:creationId xmlns:a16="http://schemas.microsoft.com/office/drawing/2014/main" id="{00000000-0008-0000-0500-0000E7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50800</xdr:colOff>
          <xdr:row>36</xdr:row>
          <xdr:rowOff>298450</xdr:rowOff>
        </xdr:from>
        <xdr:to>
          <xdr:col>23</xdr:col>
          <xdr:colOff>241300</xdr:colOff>
          <xdr:row>47</xdr:row>
          <xdr:rowOff>76200</xdr:rowOff>
        </xdr:to>
        <xdr:sp macro="" textlink="">
          <xdr:nvSpPr>
            <xdr:cNvPr id="17640" name="Picture 36576" hidden="1">
              <a:extLst>
                <a:ext uri="{63B3BB69-23CF-44E3-9099-C40C66FF867C}">
                  <a14:compatExt spid="_x0000_s17640"/>
                </a:ext>
                <a:ext uri="{FF2B5EF4-FFF2-40B4-BE49-F238E27FC236}">
                  <a16:creationId xmlns:a16="http://schemas.microsoft.com/office/drawing/2014/main" id="{00000000-0008-0000-0500-0000E8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222250</xdr:colOff>
          <xdr:row>25</xdr:row>
          <xdr:rowOff>184150</xdr:rowOff>
        </xdr:from>
        <xdr:to>
          <xdr:col>14</xdr:col>
          <xdr:colOff>260350</xdr:colOff>
          <xdr:row>36</xdr:row>
          <xdr:rowOff>228600</xdr:rowOff>
        </xdr:to>
        <xdr:sp macro="" textlink="">
          <xdr:nvSpPr>
            <xdr:cNvPr id="17642" name="Picture 29413" hidden="1">
              <a:extLst>
                <a:ext uri="{63B3BB69-23CF-44E3-9099-C40C66FF867C}">
                  <a14:compatExt spid="_x0000_s17642"/>
                </a:ext>
                <a:ext uri="{FF2B5EF4-FFF2-40B4-BE49-F238E27FC236}">
                  <a16:creationId xmlns:a16="http://schemas.microsoft.com/office/drawing/2014/main" id="{00000000-0008-0000-0500-0000EA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279400</xdr:colOff>
          <xdr:row>37</xdr:row>
          <xdr:rowOff>76200</xdr:rowOff>
        </xdr:from>
        <xdr:to>
          <xdr:col>14</xdr:col>
          <xdr:colOff>355600</xdr:colOff>
          <xdr:row>47</xdr:row>
          <xdr:rowOff>184150</xdr:rowOff>
        </xdr:to>
        <xdr:sp macro="" textlink="">
          <xdr:nvSpPr>
            <xdr:cNvPr id="17643" name="Picture 29414" hidden="1">
              <a:extLst>
                <a:ext uri="{63B3BB69-23CF-44E3-9099-C40C66FF867C}">
                  <a14:compatExt spid="_x0000_s17643"/>
                </a:ext>
                <a:ext uri="{FF2B5EF4-FFF2-40B4-BE49-F238E27FC236}">
                  <a16:creationId xmlns:a16="http://schemas.microsoft.com/office/drawing/2014/main" id="{00000000-0008-0000-0500-0000EB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31750</xdr:colOff>
          <xdr:row>37</xdr:row>
          <xdr:rowOff>31750</xdr:rowOff>
        </xdr:from>
        <xdr:to>
          <xdr:col>5</xdr:col>
          <xdr:colOff>317500</xdr:colOff>
          <xdr:row>47</xdr:row>
          <xdr:rowOff>184150</xdr:rowOff>
        </xdr:to>
        <xdr:sp macro="" textlink="">
          <xdr:nvSpPr>
            <xdr:cNvPr id="17644" name="Picture 29415" hidden="1">
              <a:extLst>
                <a:ext uri="{63B3BB69-23CF-44E3-9099-C40C66FF867C}">
                  <a14:compatExt spid="_x0000_s17644"/>
                </a:ext>
                <a:ext uri="{FF2B5EF4-FFF2-40B4-BE49-F238E27FC236}">
                  <a16:creationId xmlns:a16="http://schemas.microsoft.com/office/drawing/2014/main" id="{00000000-0008-0000-0500-0000EC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101600</xdr:colOff>
      <xdr:row>14</xdr:row>
      <xdr:rowOff>88900</xdr:rowOff>
    </xdr:from>
    <xdr:to>
      <xdr:col>8</xdr:col>
      <xdr:colOff>521606</xdr:colOff>
      <xdr:row>14</xdr:row>
      <xdr:rowOff>506640</xdr:rowOff>
    </xdr:to>
    <xdr:sp macro="" textlink="">
      <xdr:nvSpPr>
        <xdr:cNvPr id="4" name="AutoShape 179">
          <a:extLst>
            <a:ext uri="{FF2B5EF4-FFF2-40B4-BE49-F238E27FC236}">
              <a16:creationId xmlns:a16="http://schemas.microsoft.com/office/drawing/2014/main" id="{00000000-0008-0000-0500-000004000000}"/>
            </a:ext>
          </a:extLst>
        </xdr:cNvPr>
        <xdr:cNvSpPr>
          <a:spLocks noChangeArrowheads="1"/>
        </xdr:cNvSpPr>
      </xdr:nvSpPr>
      <xdr:spPr bwMode="auto">
        <a:xfrm>
          <a:off x="7778750" y="5727700"/>
          <a:ext cx="420006" cy="41774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5</xdr:col>
      <xdr:colOff>101600</xdr:colOff>
      <xdr:row>15</xdr:row>
      <xdr:rowOff>76200</xdr:rowOff>
    </xdr:from>
    <xdr:to>
      <xdr:col>5</xdr:col>
      <xdr:colOff>521606</xdr:colOff>
      <xdr:row>15</xdr:row>
      <xdr:rowOff>493940</xdr:rowOff>
    </xdr:to>
    <xdr:sp macro="" textlink="">
      <xdr:nvSpPr>
        <xdr:cNvPr id="5" name="AutoShape 179">
          <a:extLst>
            <a:ext uri="{FF2B5EF4-FFF2-40B4-BE49-F238E27FC236}">
              <a16:creationId xmlns:a16="http://schemas.microsoft.com/office/drawing/2014/main" id="{00000000-0008-0000-0500-000005000000}"/>
            </a:ext>
          </a:extLst>
        </xdr:cNvPr>
        <xdr:cNvSpPr>
          <a:spLocks noChangeArrowheads="1"/>
        </xdr:cNvSpPr>
      </xdr:nvSpPr>
      <xdr:spPr bwMode="auto">
        <a:xfrm>
          <a:off x="5378450" y="6381750"/>
          <a:ext cx="420006" cy="417740"/>
        </a:xfrm>
        <a:prstGeom prst="homePlate">
          <a:avLst>
            <a:gd name="adj" fmla="val 32088"/>
          </a:avLst>
        </a:prstGeom>
        <a:solidFill>
          <a:srgbClr val="FF66FF"/>
        </a:solidFill>
        <a:ln w="9525">
          <a:solidFill>
            <a:srgbClr val="000000"/>
          </a:solidFill>
          <a:miter lim="800000"/>
          <a:headEnd/>
          <a:tailEnd/>
        </a:ln>
      </xdr:spPr>
    </xdr:sp>
    <xdr:clientData/>
  </xdr:twoCellAnchor>
  <xdr:twoCellAnchor>
    <xdr:from>
      <xdr:col>5</xdr:col>
      <xdr:colOff>114300</xdr:colOff>
      <xdr:row>16</xdr:row>
      <xdr:rowOff>76200</xdr:rowOff>
    </xdr:from>
    <xdr:to>
      <xdr:col>5</xdr:col>
      <xdr:colOff>534306</xdr:colOff>
      <xdr:row>16</xdr:row>
      <xdr:rowOff>493940</xdr:rowOff>
    </xdr:to>
    <xdr:sp macro="" textlink="">
      <xdr:nvSpPr>
        <xdr:cNvPr id="6" name="AutoShape 179">
          <a:extLst>
            <a:ext uri="{FF2B5EF4-FFF2-40B4-BE49-F238E27FC236}">
              <a16:creationId xmlns:a16="http://schemas.microsoft.com/office/drawing/2014/main" id="{00000000-0008-0000-0500-000006000000}"/>
            </a:ext>
          </a:extLst>
        </xdr:cNvPr>
        <xdr:cNvSpPr>
          <a:spLocks noChangeArrowheads="1"/>
        </xdr:cNvSpPr>
      </xdr:nvSpPr>
      <xdr:spPr bwMode="auto">
        <a:xfrm>
          <a:off x="5391150" y="6972300"/>
          <a:ext cx="420006" cy="417740"/>
        </a:xfrm>
        <a:prstGeom prst="homePlate">
          <a:avLst>
            <a:gd name="adj" fmla="val 32088"/>
          </a:avLst>
        </a:prstGeom>
        <a:solidFill>
          <a:srgbClr val="FF66FF"/>
        </a:solidFill>
        <a:ln w="9525">
          <a:solidFill>
            <a:srgbClr val="000000"/>
          </a:solidFill>
          <a:miter lim="800000"/>
          <a:headEnd/>
          <a:tailEnd/>
        </a:ln>
      </xdr:spPr>
    </xdr:sp>
    <xdr:clientData/>
  </xdr:twoCellAnchor>
  <xdr:twoCellAnchor>
    <xdr:from>
      <xdr:col>5</xdr:col>
      <xdr:colOff>127000</xdr:colOff>
      <xdr:row>17</xdr:row>
      <xdr:rowOff>76200</xdr:rowOff>
    </xdr:from>
    <xdr:to>
      <xdr:col>5</xdr:col>
      <xdr:colOff>547006</xdr:colOff>
      <xdr:row>17</xdr:row>
      <xdr:rowOff>493940</xdr:rowOff>
    </xdr:to>
    <xdr:sp macro="" textlink="">
      <xdr:nvSpPr>
        <xdr:cNvPr id="9" name="AutoShape 179">
          <a:extLst>
            <a:ext uri="{FF2B5EF4-FFF2-40B4-BE49-F238E27FC236}">
              <a16:creationId xmlns:a16="http://schemas.microsoft.com/office/drawing/2014/main" id="{00000000-0008-0000-0500-000009000000}"/>
            </a:ext>
          </a:extLst>
        </xdr:cNvPr>
        <xdr:cNvSpPr>
          <a:spLocks noChangeArrowheads="1"/>
        </xdr:cNvSpPr>
      </xdr:nvSpPr>
      <xdr:spPr bwMode="auto">
        <a:xfrm>
          <a:off x="5403850" y="7734300"/>
          <a:ext cx="420006" cy="417740"/>
        </a:xfrm>
        <a:prstGeom prst="homePlate">
          <a:avLst>
            <a:gd name="adj" fmla="val 32088"/>
          </a:avLst>
        </a:prstGeom>
        <a:solidFill>
          <a:srgbClr val="FF66FF"/>
        </a:solidFill>
        <a:ln w="9525">
          <a:solidFill>
            <a:srgbClr val="000000"/>
          </a:solidFill>
          <a:miter lim="800000"/>
          <a:headEnd/>
          <a:tailEnd/>
        </a:ln>
      </xdr:spPr>
    </xdr:sp>
    <xdr:clientData/>
  </xdr:twoCellAnchor>
  <xdr:twoCellAnchor>
    <xdr:from>
      <xdr:col>7</xdr:col>
      <xdr:colOff>127000</xdr:colOff>
      <xdr:row>18</xdr:row>
      <xdr:rowOff>50800</xdr:rowOff>
    </xdr:from>
    <xdr:to>
      <xdr:col>7</xdr:col>
      <xdr:colOff>547006</xdr:colOff>
      <xdr:row>18</xdr:row>
      <xdr:rowOff>468540</xdr:rowOff>
    </xdr:to>
    <xdr:sp macro="" textlink="">
      <xdr:nvSpPr>
        <xdr:cNvPr id="11" name="AutoShape 179">
          <a:extLst>
            <a:ext uri="{FF2B5EF4-FFF2-40B4-BE49-F238E27FC236}">
              <a16:creationId xmlns:a16="http://schemas.microsoft.com/office/drawing/2014/main" id="{00000000-0008-0000-0500-00000B000000}"/>
            </a:ext>
          </a:extLst>
        </xdr:cNvPr>
        <xdr:cNvSpPr>
          <a:spLocks noChangeArrowheads="1"/>
        </xdr:cNvSpPr>
      </xdr:nvSpPr>
      <xdr:spPr bwMode="auto">
        <a:xfrm>
          <a:off x="7004050" y="8509000"/>
          <a:ext cx="420006" cy="41774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101600</xdr:colOff>
      <xdr:row>19</xdr:row>
      <xdr:rowOff>101600</xdr:rowOff>
    </xdr:from>
    <xdr:to>
      <xdr:col>8</xdr:col>
      <xdr:colOff>521606</xdr:colOff>
      <xdr:row>19</xdr:row>
      <xdr:rowOff>519340</xdr:rowOff>
    </xdr:to>
    <xdr:sp macro="" textlink="">
      <xdr:nvSpPr>
        <xdr:cNvPr id="12" name="AutoShape 179">
          <a:extLst>
            <a:ext uri="{FF2B5EF4-FFF2-40B4-BE49-F238E27FC236}">
              <a16:creationId xmlns:a16="http://schemas.microsoft.com/office/drawing/2014/main" id="{00000000-0008-0000-0500-00000C000000}"/>
            </a:ext>
          </a:extLst>
        </xdr:cNvPr>
        <xdr:cNvSpPr>
          <a:spLocks noChangeArrowheads="1"/>
        </xdr:cNvSpPr>
      </xdr:nvSpPr>
      <xdr:spPr bwMode="auto">
        <a:xfrm>
          <a:off x="7778750" y="9169400"/>
          <a:ext cx="420006" cy="417740"/>
        </a:xfrm>
        <a:prstGeom prst="homePlate">
          <a:avLst>
            <a:gd name="adj" fmla="val 32088"/>
          </a:avLst>
        </a:prstGeom>
        <a:no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2</xdr:col>
          <xdr:colOff>12700</xdr:colOff>
          <xdr:row>25</xdr:row>
          <xdr:rowOff>190500</xdr:rowOff>
        </xdr:from>
        <xdr:to>
          <xdr:col>5</xdr:col>
          <xdr:colOff>336550</xdr:colOff>
          <xdr:row>36</xdr:row>
          <xdr:rowOff>101600</xdr:rowOff>
        </xdr:to>
        <xdr:sp macro="" textlink="">
          <xdr:nvSpPr>
            <xdr:cNvPr id="17645" name="Picture 29412" hidden="1">
              <a:extLst>
                <a:ext uri="{63B3BB69-23CF-44E3-9099-C40C66FF867C}">
                  <a14:compatExt spid="_x0000_s17645"/>
                </a:ext>
                <a:ext uri="{FF2B5EF4-FFF2-40B4-BE49-F238E27FC236}">
                  <a16:creationId xmlns:a16="http://schemas.microsoft.com/office/drawing/2014/main" id="{00000000-0008-0000-0500-0000ED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8</xdr:col>
      <xdr:colOff>106741</xdr:colOff>
      <xdr:row>13</xdr:row>
      <xdr:rowOff>160110</xdr:rowOff>
    </xdr:from>
    <xdr:to>
      <xdr:col>8</xdr:col>
      <xdr:colOff>514047</xdr:colOff>
      <xdr:row>13</xdr:row>
      <xdr:rowOff>577850</xdr:rowOff>
    </xdr:to>
    <xdr:sp macro="" textlink="">
      <xdr:nvSpPr>
        <xdr:cNvPr id="18" name="AutoShape 179">
          <a:extLst>
            <a:ext uri="{FF2B5EF4-FFF2-40B4-BE49-F238E27FC236}">
              <a16:creationId xmlns:a16="http://schemas.microsoft.com/office/drawing/2014/main" id="{00000000-0008-0000-0500-000007000000}"/>
            </a:ext>
          </a:extLst>
        </xdr:cNvPr>
        <xdr:cNvSpPr>
          <a:spLocks noChangeArrowheads="1"/>
        </xdr:cNvSpPr>
      </xdr:nvSpPr>
      <xdr:spPr bwMode="auto">
        <a:xfrm>
          <a:off x="7769074" y="4425193"/>
          <a:ext cx="407306" cy="417740"/>
        </a:xfrm>
        <a:prstGeom prst="homePlate">
          <a:avLst>
            <a:gd name="adj" fmla="val 32088"/>
          </a:avLst>
        </a:prstGeom>
        <a:solidFill>
          <a:srgbClr val="FF66FF"/>
        </a:solidFill>
        <a:ln w="9525">
          <a:solidFill>
            <a:srgbClr val="000000"/>
          </a:solidFill>
          <a:miter lim="800000"/>
          <a:headEnd/>
          <a:tailEnd/>
        </a:ln>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35</xdr:row>
      <xdr:rowOff>0</xdr:rowOff>
    </xdr:from>
    <xdr:to>
      <xdr:col>0</xdr:col>
      <xdr:colOff>9525</xdr:colOff>
      <xdr:row>35</xdr:row>
      <xdr:rowOff>9525</xdr:rowOff>
    </xdr:to>
    <xdr:sp macro="" textlink="">
      <xdr:nvSpPr>
        <xdr:cNvPr id="2" name="AutoShape 1">
          <a:extLst>
            <a:ext uri="{FF2B5EF4-FFF2-40B4-BE49-F238E27FC236}">
              <a16:creationId xmlns:a16="http://schemas.microsoft.com/office/drawing/2014/main" id="{00000000-0008-0000-0600-000002000000}"/>
            </a:ext>
          </a:extLst>
        </xdr:cNvPr>
        <xdr:cNvSpPr>
          <a:spLocks noChangeArrowheads="1"/>
        </xdr:cNvSpPr>
      </xdr:nvSpPr>
      <xdr:spPr bwMode="auto">
        <a:xfrm>
          <a:off x="0" y="12334875"/>
          <a:ext cx="9525" cy="9525"/>
        </a:xfrm>
        <a:prstGeom prst="homePlate">
          <a:avLst>
            <a:gd name="adj" fmla="val -2147483648"/>
          </a:avLst>
        </a:prstGeom>
        <a:solidFill>
          <a:srgbClr val="FFFFFF"/>
        </a:solidFill>
        <a:ln w="9525" cmpd="sng">
          <a:solidFill>
            <a:srgbClr val="000000"/>
          </a:solidFill>
          <a:miter lim="800000"/>
          <a:headEnd/>
          <a:tailEnd/>
        </a:ln>
      </xdr:spPr>
      <xdr:txBody>
        <a:bodyPr vertOverflow="clip" wrap="square" lIns="27432" tIns="22860" rIns="27432" bIns="22860" anchor="ctr" upright="1"/>
        <a:lstStyle/>
        <a:p>
          <a:pPr algn="ctr" rtl="0">
            <a:defRPr sz="1000"/>
          </a:pPr>
          <a:r>
            <a:rPr lang="en-US" sz="800" b="0" i="0" strike="noStrike">
              <a:solidFill>
                <a:srgbClr val="000000"/>
              </a:solidFill>
              <a:latin typeface="Arial"/>
              <a:cs typeface="Arial"/>
            </a:rPr>
            <a:t>WW 53</a:t>
          </a:r>
        </a:p>
      </xdr:txBody>
    </xdr:sp>
    <xdr:clientData/>
  </xdr:twoCellAnchor>
  <xdr:twoCellAnchor>
    <xdr:from>
      <xdr:col>6</xdr:col>
      <xdr:colOff>146957</xdr:colOff>
      <xdr:row>13</xdr:row>
      <xdr:rowOff>131536</xdr:rowOff>
    </xdr:from>
    <xdr:to>
      <xdr:col>6</xdr:col>
      <xdr:colOff>423182</xdr:colOff>
      <xdr:row>13</xdr:row>
      <xdr:rowOff>503011</xdr:rowOff>
    </xdr:to>
    <xdr:sp macro="" textlink="">
      <xdr:nvSpPr>
        <xdr:cNvPr id="29" name="AutoShape 179">
          <a:extLst>
            <a:ext uri="{FF2B5EF4-FFF2-40B4-BE49-F238E27FC236}">
              <a16:creationId xmlns:a16="http://schemas.microsoft.com/office/drawing/2014/main" id="{00000000-0008-0000-0600-00001D000000}"/>
            </a:ext>
          </a:extLst>
        </xdr:cNvPr>
        <xdr:cNvSpPr>
          <a:spLocks noChangeArrowheads="1"/>
        </xdr:cNvSpPr>
      </xdr:nvSpPr>
      <xdr:spPr bwMode="auto">
        <a:xfrm>
          <a:off x="6120493" y="3832679"/>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130327</xdr:colOff>
      <xdr:row>15</xdr:row>
      <xdr:rowOff>211666</xdr:rowOff>
    </xdr:from>
    <xdr:to>
      <xdr:col>6</xdr:col>
      <xdr:colOff>406552</xdr:colOff>
      <xdr:row>15</xdr:row>
      <xdr:rowOff>583141</xdr:rowOff>
    </xdr:to>
    <xdr:sp macro="" textlink="">
      <xdr:nvSpPr>
        <xdr:cNvPr id="31" name="AutoShape 179">
          <a:extLst>
            <a:ext uri="{FF2B5EF4-FFF2-40B4-BE49-F238E27FC236}">
              <a16:creationId xmlns:a16="http://schemas.microsoft.com/office/drawing/2014/main" id="{00000000-0008-0000-0600-00001F000000}"/>
            </a:ext>
          </a:extLst>
        </xdr:cNvPr>
        <xdr:cNvSpPr>
          <a:spLocks noChangeArrowheads="1"/>
        </xdr:cNvSpPr>
      </xdr:nvSpPr>
      <xdr:spPr bwMode="auto">
        <a:xfrm>
          <a:off x="6103863" y="5164666"/>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5</xdr:col>
      <xdr:colOff>133351</xdr:colOff>
      <xdr:row>16</xdr:row>
      <xdr:rowOff>166309</xdr:rowOff>
    </xdr:from>
    <xdr:to>
      <xdr:col>5</xdr:col>
      <xdr:colOff>409576</xdr:colOff>
      <xdr:row>16</xdr:row>
      <xdr:rowOff>537784</xdr:rowOff>
    </xdr:to>
    <xdr:sp macro="" textlink="">
      <xdr:nvSpPr>
        <xdr:cNvPr id="32" name="AutoShape 179">
          <a:extLst>
            <a:ext uri="{FF2B5EF4-FFF2-40B4-BE49-F238E27FC236}">
              <a16:creationId xmlns:a16="http://schemas.microsoft.com/office/drawing/2014/main" id="{00000000-0008-0000-0600-000020000000}"/>
            </a:ext>
          </a:extLst>
        </xdr:cNvPr>
        <xdr:cNvSpPr>
          <a:spLocks noChangeArrowheads="1"/>
        </xdr:cNvSpPr>
      </xdr:nvSpPr>
      <xdr:spPr bwMode="auto">
        <a:xfrm>
          <a:off x="5535387" y="5962952"/>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106136</xdr:colOff>
      <xdr:row>14</xdr:row>
      <xdr:rowOff>113392</xdr:rowOff>
    </xdr:from>
    <xdr:to>
      <xdr:col>6</xdr:col>
      <xdr:colOff>382361</xdr:colOff>
      <xdr:row>14</xdr:row>
      <xdr:rowOff>484867</xdr:rowOff>
    </xdr:to>
    <xdr:sp macro="" textlink="">
      <xdr:nvSpPr>
        <xdr:cNvPr id="33" name="AutoShape 179">
          <a:extLst>
            <a:ext uri="{FF2B5EF4-FFF2-40B4-BE49-F238E27FC236}">
              <a16:creationId xmlns:a16="http://schemas.microsoft.com/office/drawing/2014/main" id="{00000000-0008-0000-0600-000021000000}"/>
            </a:ext>
          </a:extLst>
        </xdr:cNvPr>
        <xdr:cNvSpPr>
          <a:spLocks noChangeArrowheads="1"/>
        </xdr:cNvSpPr>
      </xdr:nvSpPr>
      <xdr:spPr bwMode="auto">
        <a:xfrm>
          <a:off x="6079672" y="4440463"/>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7</xdr:col>
      <xdr:colOff>116416</xdr:colOff>
      <xdr:row>15</xdr:row>
      <xdr:rowOff>232833</xdr:rowOff>
    </xdr:from>
    <xdr:to>
      <xdr:col>7</xdr:col>
      <xdr:colOff>392641</xdr:colOff>
      <xdr:row>15</xdr:row>
      <xdr:rowOff>604308</xdr:rowOff>
    </xdr:to>
    <xdr:sp macro="" textlink="">
      <xdr:nvSpPr>
        <xdr:cNvPr id="7" name="AutoShape 179">
          <a:extLst>
            <a:ext uri="{FF2B5EF4-FFF2-40B4-BE49-F238E27FC236}">
              <a16:creationId xmlns:a16="http://schemas.microsoft.com/office/drawing/2014/main" id="{00000000-0008-0000-0600-000007000000}"/>
            </a:ext>
          </a:extLst>
        </xdr:cNvPr>
        <xdr:cNvSpPr>
          <a:spLocks noChangeArrowheads="1"/>
        </xdr:cNvSpPr>
      </xdr:nvSpPr>
      <xdr:spPr bwMode="auto">
        <a:xfrm>
          <a:off x="6963833" y="5111750"/>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179917</xdr:colOff>
      <xdr:row>15</xdr:row>
      <xdr:rowOff>243417</xdr:rowOff>
    </xdr:from>
    <xdr:to>
      <xdr:col>8</xdr:col>
      <xdr:colOff>456142</xdr:colOff>
      <xdr:row>15</xdr:row>
      <xdr:rowOff>614892</xdr:rowOff>
    </xdr:to>
    <xdr:sp macro="" textlink="">
      <xdr:nvSpPr>
        <xdr:cNvPr id="8" name="AutoShape 179">
          <a:extLst>
            <a:ext uri="{FF2B5EF4-FFF2-40B4-BE49-F238E27FC236}">
              <a16:creationId xmlns:a16="http://schemas.microsoft.com/office/drawing/2014/main" id="{00000000-0008-0000-0600-000008000000}"/>
            </a:ext>
          </a:extLst>
        </xdr:cNvPr>
        <xdr:cNvSpPr>
          <a:spLocks noChangeArrowheads="1"/>
        </xdr:cNvSpPr>
      </xdr:nvSpPr>
      <xdr:spPr bwMode="auto">
        <a:xfrm>
          <a:off x="7620000" y="5122334"/>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133351</xdr:colOff>
      <xdr:row>16</xdr:row>
      <xdr:rowOff>166309</xdr:rowOff>
    </xdr:from>
    <xdr:to>
      <xdr:col>6</xdr:col>
      <xdr:colOff>409576</xdr:colOff>
      <xdr:row>16</xdr:row>
      <xdr:rowOff>537784</xdr:rowOff>
    </xdr:to>
    <xdr:sp macro="" textlink="">
      <xdr:nvSpPr>
        <xdr:cNvPr id="9" name="AutoShape 179">
          <a:extLst>
            <a:ext uri="{FF2B5EF4-FFF2-40B4-BE49-F238E27FC236}">
              <a16:creationId xmlns:a16="http://schemas.microsoft.com/office/drawing/2014/main" id="{00000000-0008-0000-0600-000009000000}"/>
            </a:ext>
          </a:extLst>
        </xdr:cNvPr>
        <xdr:cNvSpPr>
          <a:spLocks noChangeArrowheads="1"/>
        </xdr:cNvSpPr>
      </xdr:nvSpPr>
      <xdr:spPr bwMode="auto">
        <a:xfrm>
          <a:off x="5795434" y="5881309"/>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7</xdr:col>
      <xdr:colOff>133351</xdr:colOff>
      <xdr:row>16</xdr:row>
      <xdr:rowOff>166309</xdr:rowOff>
    </xdr:from>
    <xdr:to>
      <xdr:col>7</xdr:col>
      <xdr:colOff>409576</xdr:colOff>
      <xdr:row>16</xdr:row>
      <xdr:rowOff>537784</xdr:rowOff>
    </xdr:to>
    <xdr:sp macro="" textlink="">
      <xdr:nvSpPr>
        <xdr:cNvPr id="10" name="AutoShape 179">
          <a:extLst>
            <a:ext uri="{FF2B5EF4-FFF2-40B4-BE49-F238E27FC236}">
              <a16:creationId xmlns:a16="http://schemas.microsoft.com/office/drawing/2014/main" id="{00000000-0008-0000-0600-00000A000000}"/>
            </a:ext>
          </a:extLst>
        </xdr:cNvPr>
        <xdr:cNvSpPr>
          <a:spLocks noChangeArrowheads="1"/>
        </xdr:cNvSpPr>
      </xdr:nvSpPr>
      <xdr:spPr bwMode="auto">
        <a:xfrm>
          <a:off x="5795434" y="5881309"/>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133351</xdr:colOff>
      <xdr:row>16</xdr:row>
      <xdr:rowOff>166309</xdr:rowOff>
    </xdr:from>
    <xdr:to>
      <xdr:col>8</xdr:col>
      <xdr:colOff>409576</xdr:colOff>
      <xdr:row>16</xdr:row>
      <xdr:rowOff>537784</xdr:rowOff>
    </xdr:to>
    <xdr:sp macro="" textlink="">
      <xdr:nvSpPr>
        <xdr:cNvPr id="11" name="AutoShape 179">
          <a:extLst>
            <a:ext uri="{FF2B5EF4-FFF2-40B4-BE49-F238E27FC236}">
              <a16:creationId xmlns:a16="http://schemas.microsoft.com/office/drawing/2014/main" id="{00000000-0008-0000-0600-00000B000000}"/>
            </a:ext>
          </a:extLst>
        </xdr:cNvPr>
        <xdr:cNvSpPr>
          <a:spLocks noChangeArrowheads="1"/>
        </xdr:cNvSpPr>
      </xdr:nvSpPr>
      <xdr:spPr bwMode="auto">
        <a:xfrm>
          <a:off x="5795434" y="5881309"/>
          <a:ext cx="276225" cy="371475"/>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9</xdr:col>
      <xdr:colOff>133351</xdr:colOff>
      <xdr:row>16</xdr:row>
      <xdr:rowOff>166309</xdr:rowOff>
    </xdr:from>
    <xdr:to>
      <xdr:col>9</xdr:col>
      <xdr:colOff>409576</xdr:colOff>
      <xdr:row>16</xdr:row>
      <xdr:rowOff>537784</xdr:rowOff>
    </xdr:to>
    <xdr:sp macro="" textlink="">
      <xdr:nvSpPr>
        <xdr:cNvPr id="12" name="AutoShape 179">
          <a:extLst>
            <a:ext uri="{FF2B5EF4-FFF2-40B4-BE49-F238E27FC236}">
              <a16:creationId xmlns:a16="http://schemas.microsoft.com/office/drawing/2014/main" id="{00000000-0008-0000-0600-00000C000000}"/>
            </a:ext>
          </a:extLst>
        </xdr:cNvPr>
        <xdr:cNvSpPr>
          <a:spLocks noChangeArrowheads="1"/>
        </xdr:cNvSpPr>
      </xdr:nvSpPr>
      <xdr:spPr bwMode="auto">
        <a:xfrm>
          <a:off x="5795434" y="5881309"/>
          <a:ext cx="276225" cy="371475"/>
        </a:xfrm>
        <a:prstGeom prst="homePlate">
          <a:avLst>
            <a:gd name="adj" fmla="val 32088"/>
          </a:avLst>
        </a:prstGeom>
        <a:solidFill>
          <a:srgbClr val="FF99FF"/>
        </a:solidFill>
        <a:ln w="9525">
          <a:solidFill>
            <a:srgbClr val="000000"/>
          </a:solidFill>
          <a:miter lim="800000"/>
          <a:headEnd/>
          <a:tailEnd/>
        </a:ln>
      </xdr:spPr>
      <xdr:txBody>
        <a:bodyPr/>
        <a:lstStyle/>
        <a:p>
          <a:endParaRPr lang="en-PH"/>
        </a:p>
      </xdr:txBody>
    </xdr:sp>
    <xdr:clientData/>
  </xdr:twoCellAnchor>
  <xdr:twoCellAnchor>
    <xdr:from>
      <xdr:col>10</xdr:col>
      <xdr:colOff>133351</xdr:colOff>
      <xdr:row>16</xdr:row>
      <xdr:rowOff>166309</xdr:rowOff>
    </xdr:from>
    <xdr:to>
      <xdr:col>10</xdr:col>
      <xdr:colOff>409576</xdr:colOff>
      <xdr:row>16</xdr:row>
      <xdr:rowOff>537784</xdr:rowOff>
    </xdr:to>
    <xdr:sp macro="" textlink="">
      <xdr:nvSpPr>
        <xdr:cNvPr id="13" name="AutoShape 179">
          <a:extLst>
            <a:ext uri="{FF2B5EF4-FFF2-40B4-BE49-F238E27FC236}">
              <a16:creationId xmlns:a16="http://schemas.microsoft.com/office/drawing/2014/main" id="{00000000-0008-0000-0600-00000D000000}"/>
            </a:ext>
          </a:extLst>
        </xdr:cNvPr>
        <xdr:cNvSpPr>
          <a:spLocks noChangeArrowheads="1"/>
        </xdr:cNvSpPr>
      </xdr:nvSpPr>
      <xdr:spPr bwMode="auto">
        <a:xfrm>
          <a:off x="5795434" y="5881309"/>
          <a:ext cx="276225" cy="371475"/>
        </a:xfrm>
        <a:prstGeom prst="homePlate">
          <a:avLst>
            <a:gd name="adj" fmla="val 32088"/>
          </a:avLst>
        </a:prstGeom>
        <a:solidFill>
          <a:srgbClr val="FFFFFF"/>
        </a:solid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2</xdr:col>
          <xdr:colOff>146050</xdr:colOff>
          <xdr:row>26</xdr:row>
          <xdr:rowOff>152400</xdr:rowOff>
        </xdr:from>
        <xdr:to>
          <xdr:col>7</xdr:col>
          <xdr:colOff>107950</xdr:colOff>
          <xdr:row>36</xdr:row>
          <xdr:rowOff>190500</xdr:rowOff>
        </xdr:to>
        <xdr:sp macro="" textlink="">
          <xdr:nvSpPr>
            <xdr:cNvPr id="4156" name="Object 60" hidden="1">
              <a:extLst>
                <a:ext uri="{63B3BB69-23CF-44E3-9099-C40C66FF867C}">
                  <a14:compatExt spid="_x0000_s4156"/>
                </a:ext>
                <a:ext uri="{FF2B5EF4-FFF2-40B4-BE49-F238E27FC236}">
                  <a16:creationId xmlns:a16="http://schemas.microsoft.com/office/drawing/2014/main" id="{00000000-0008-0000-0600-00003C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76200</xdr:colOff>
          <xdr:row>26</xdr:row>
          <xdr:rowOff>190500</xdr:rowOff>
        </xdr:from>
        <xdr:to>
          <xdr:col>25</xdr:col>
          <xdr:colOff>717550</xdr:colOff>
          <xdr:row>36</xdr:row>
          <xdr:rowOff>260350</xdr:rowOff>
        </xdr:to>
        <xdr:sp macro="" textlink="">
          <xdr:nvSpPr>
            <xdr:cNvPr id="4157" name="Object 61" hidden="1">
              <a:extLst>
                <a:ext uri="{63B3BB69-23CF-44E3-9099-C40C66FF867C}">
                  <a14:compatExt spid="_x0000_s4157"/>
                </a:ext>
                <a:ext uri="{FF2B5EF4-FFF2-40B4-BE49-F238E27FC236}">
                  <a16:creationId xmlns:a16="http://schemas.microsoft.com/office/drawing/2014/main" id="{00000000-0008-0000-0600-00003D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107950</xdr:colOff>
          <xdr:row>37</xdr:row>
          <xdr:rowOff>38100</xdr:rowOff>
        </xdr:from>
        <xdr:to>
          <xdr:col>7</xdr:col>
          <xdr:colOff>107950</xdr:colOff>
          <xdr:row>47</xdr:row>
          <xdr:rowOff>38100</xdr:rowOff>
        </xdr:to>
        <xdr:sp macro="" textlink="">
          <xdr:nvSpPr>
            <xdr:cNvPr id="4158" name="Object 62" hidden="1">
              <a:extLst>
                <a:ext uri="{63B3BB69-23CF-44E3-9099-C40C66FF867C}">
                  <a14:compatExt spid="_x0000_s4158"/>
                </a:ext>
                <a:ext uri="{FF2B5EF4-FFF2-40B4-BE49-F238E27FC236}">
                  <a16:creationId xmlns:a16="http://schemas.microsoft.com/office/drawing/2014/main" id="{00000000-0008-0000-0600-00003E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107950</xdr:colOff>
          <xdr:row>37</xdr:row>
          <xdr:rowOff>146050</xdr:rowOff>
        </xdr:from>
        <xdr:to>
          <xdr:col>17</xdr:col>
          <xdr:colOff>527050</xdr:colOff>
          <xdr:row>47</xdr:row>
          <xdr:rowOff>146050</xdr:rowOff>
        </xdr:to>
        <xdr:sp macro="" textlink="">
          <xdr:nvSpPr>
            <xdr:cNvPr id="4159" name="Object 63" hidden="1">
              <a:extLst>
                <a:ext uri="{63B3BB69-23CF-44E3-9099-C40C66FF867C}">
                  <a14:compatExt spid="_x0000_s4159"/>
                </a:ext>
                <a:ext uri="{FF2B5EF4-FFF2-40B4-BE49-F238E27FC236}">
                  <a16:creationId xmlns:a16="http://schemas.microsoft.com/office/drawing/2014/main" id="{00000000-0008-0000-0600-00003F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12700</xdr:colOff>
          <xdr:row>26</xdr:row>
          <xdr:rowOff>203200</xdr:rowOff>
        </xdr:from>
        <xdr:to>
          <xdr:col>17</xdr:col>
          <xdr:colOff>488950</xdr:colOff>
          <xdr:row>36</xdr:row>
          <xdr:rowOff>222250</xdr:rowOff>
        </xdr:to>
        <xdr:sp macro="" textlink="">
          <xdr:nvSpPr>
            <xdr:cNvPr id="4160" name="Object 64" hidden="1">
              <a:extLst>
                <a:ext uri="{63B3BB69-23CF-44E3-9099-C40C66FF867C}">
                  <a14:compatExt spid="_x0000_s4160"/>
                </a:ext>
                <a:ext uri="{FF2B5EF4-FFF2-40B4-BE49-F238E27FC236}">
                  <a16:creationId xmlns:a16="http://schemas.microsoft.com/office/drawing/2014/main" id="{00000000-0008-0000-0600-000040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32</xdr:row>
      <xdr:rowOff>0</xdr:rowOff>
    </xdr:from>
    <xdr:to>
      <xdr:col>0</xdr:col>
      <xdr:colOff>9525</xdr:colOff>
      <xdr:row>32</xdr:row>
      <xdr:rowOff>9525</xdr:rowOff>
    </xdr:to>
    <xdr:sp macro="" textlink="">
      <xdr:nvSpPr>
        <xdr:cNvPr id="2" name="AutoShape 1">
          <a:extLst>
            <a:ext uri="{FF2B5EF4-FFF2-40B4-BE49-F238E27FC236}">
              <a16:creationId xmlns:a16="http://schemas.microsoft.com/office/drawing/2014/main" id="{00000000-0008-0000-0700-000002000000}"/>
            </a:ext>
          </a:extLst>
        </xdr:cNvPr>
        <xdr:cNvSpPr>
          <a:spLocks noChangeArrowheads="1"/>
        </xdr:cNvSpPr>
      </xdr:nvSpPr>
      <xdr:spPr bwMode="auto">
        <a:xfrm>
          <a:off x="0" y="12334875"/>
          <a:ext cx="9525" cy="9525"/>
        </a:xfrm>
        <a:prstGeom prst="homePlate">
          <a:avLst>
            <a:gd name="adj" fmla="val -2147483648"/>
          </a:avLst>
        </a:prstGeom>
        <a:solidFill>
          <a:srgbClr val="FFFFFF"/>
        </a:solidFill>
        <a:ln w="9525" cmpd="sng">
          <a:solidFill>
            <a:srgbClr val="000000"/>
          </a:solidFill>
          <a:miter lim="800000"/>
          <a:headEnd/>
          <a:tailEnd/>
        </a:ln>
      </xdr:spPr>
      <xdr:txBody>
        <a:bodyPr vertOverflow="clip" wrap="square" lIns="27432" tIns="22860" rIns="27432" bIns="22860" anchor="ctr" upright="1"/>
        <a:lstStyle/>
        <a:p>
          <a:pPr algn="ctr" rtl="0">
            <a:defRPr sz="1000"/>
          </a:pPr>
          <a:r>
            <a:rPr lang="en-US" sz="800" b="0" i="0" strike="noStrike">
              <a:solidFill>
                <a:srgbClr val="000000"/>
              </a:solidFill>
              <a:latin typeface="Arial"/>
              <a:cs typeface="Arial"/>
            </a:rPr>
            <a:t>WW 53</a:t>
          </a:r>
        </a:p>
      </xdr:txBody>
    </xdr:sp>
    <xdr:clientData/>
  </xdr:twoCellAnchor>
  <xdr:twoCellAnchor>
    <xdr:from>
      <xdr:col>7</xdr:col>
      <xdr:colOff>38100</xdr:colOff>
      <xdr:row>13</xdr:row>
      <xdr:rowOff>352425</xdr:rowOff>
    </xdr:from>
    <xdr:to>
      <xdr:col>7</xdr:col>
      <xdr:colOff>339634</xdr:colOff>
      <xdr:row>13</xdr:row>
      <xdr:rowOff>718185</xdr:rowOff>
    </xdr:to>
    <xdr:sp macro="" textlink="">
      <xdr:nvSpPr>
        <xdr:cNvPr id="10" name="AutoShape 179">
          <a:extLst>
            <a:ext uri="{FF2B5EF4-FFF2-40B4-BE49-F238E27FC236}">
              <a16:creationId xmlns:a16="http://schemas.microsoft.com/office/drawing/2014/main" id="{00000000-0008-0000-0700-00000A000000}"/>
            </a:ext>
          </a:extLst>
        </xdr:cNvPr>
        <xdr:cNvSpPr>
          <a:spLocks noChangeArrowheads="1"/>
        </xdr:cNvSpPr>
      </xdr:nvSpPr>
      <xdr:spPr bwMode="auto">
        <a:xfrm>
          <a:off x="4524375" y="354330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10</xdr:col>
      <xdr:colOff>47625</xdr:colOff>
      <xdr:row>13</xdr:row>
      <xdr:rowOff>371475</xdr:rowOff>
    </xdr:from>
    <xdr:to>
      <xdr:col>10</xdr:col>
      <xdr:colOff>349159</xdr:colOff>
      <xdr:row>13</xdr:row>
      <xdr:rowOff>737235</xdr:rowOff>
    </xdr:to>
    <xdr:sp macro="" textlink="">
      <xdr:nvSpPr>
        <xdr:cNvPr id="12" name="AutoShape 179">
          <a:extLst>
            <a:ext uri="{FF2B5EF4-FFF2-40B4-BE49-F238E27FC236}">
              <a16:creationId xmlns:a16="http://schemas.microsoft.com/office/drawing/2014/main" id="{00000000-0008-0000-0700-00000C000000}"/>
            </a:ext>
          </a:extLst>
        </xdr:cNvPr>
        <xdr:cNvSpPr>
          <a:spLocks noChangeArrowheads="1"/>
        </xdr:cNvSpPr>
      </xdr:nvSpPr>
      <xdr:spPr bwMode="auto">
        <a:xfrm>
          <a:off x="5619750" y="356235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13</xdr:col>
      <xdr:colOff>47625</xdr:colOff>
      <xdr:row>13</xdr:row>
      <xdr:rowOff>371475</xdr:rowOff>
    </xdr:from>
    <xdr:to>
      <xdr:col>13</xdr:col>
      <xdr:colOff>349159</xdr:colOff>
      <xdr:row>13</xdr:row>
      <xdr:rowOff>737235</xdr:rowOff>
    </xdr:to>
    <xdr:sp macro="" textlink="">
      <xdr:nvSpPr>
        <xdr:cNvPr id="13" name="AutoShape 179">
          <a:extLst>
            <a:ext uri="{FF2B5EF4-FFF2-40B4-BE49-F238E27FC236}">
              <a16:creationId xmlns:a16="http://schemas.microsoft.com/office/drawing/2014/main" id="{00000000-0008-0000-0700-00000D000000}"/>
            </a:ext>
          </a:extLst>
        </xdr:cNvPr>
        <xdr:cNvSpPr>
          <a:spLocks noChangeArrowheads="1"/>
        </xdr:cNvSpPr>
      </xdr:nvSpPr>
      <xdr:spPr bwMode="auto">
        <a:xfrm>
          <a:off x="5619750" y="356235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16</xdr:col>
      <xdr:colOff>47625</xdr:colOff>
      <xdr:row>13</xdr:row>
      <xdr:rowOff>371475</xdr:rowOff>
    </xdr:from>
    <xdr:to>
      <xdr:col>16</xdr:col>
      <xdr:colOff>349159</xdr:colOff>
      <xdr:row>13</xdr:row>
      <xdr:rowOff>737235</xdr:rowOff>
    </xdr:to>
    <xdr:sp macro="" textlink="">
      <xdr:nvSpPr>
        <xdr:cNvPr id="14" name="AutoShape 179">
          <a:extLst>
            <a:ext uri="{FF2B5EF4-FFF2-40B4-BE49-F238E27FC236}">
              <a16:creationId xmlns:a16="http://schemas.microsoft.com/office/drawing/2014/main" id="{00000000-0008-0000-0700-00000E000000}"/>
            </a:ext>
          </a:extLst>
        </xdr:cNvPr>
        <xdr:cNvSpPr>
          <a:spLocks noChangeArrowheads="1"/>
        </xdr:cNvSpPr>
      </xdr:nvSpPr>
      <xdr:spPr bwMode="auto">
        <a:xfrm>
          <a:off x="6705600" y="356235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7</xdr:col>
      <xdr:colOff>38100</xdr:colOff>
      <xdr:row>14</xdr:row>
      <xdr:rowOff>371475</xdr:rowOff>
    </xdr:from>
    <xdr:to>
      <xdr:col>7</xdr:col>
      <xdr:colOff>339634</xdr:colOff>
      <xdr:row>14</xdr:row>
      <xdr:rowOff>737235</xdr:rowOff>
    </xdr:to>
    <xdr:sp macro="" textlink="">
      <xdr:nvSpPr>
        <xdr:cNvPr id="15" name="AutoShape 179">
          <a:extLst>
            <a:ext uri="{FF2B5EF4-FFF2-40B4-BE49-F238E27FC236}">
              <a16:creationId xmlns:a16="http://schemas.microsoft.com/office/drawing/2014/main" id="{00000000-0008-0000-0700-00000F000000}"/>
            </a:ext>
          </a:extLst>
        </xdr:cNvPr>
        <xdr:cNvSpPr>
          <a:spLocks noChangeArrowheads="1"/>
        </xdr:cNvSpPr>
      </xdr:nvSpPr>
      <xdr:spPr bwMode="auto">
        <a:xfrm>
          <a:off x="4524375" y="458152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10</xdr:col>
      <xdr:colOff>47625</xdr:colOff>
      <xdr:row>14</xdr:row>
      <xdr:rowOff>390525</xdr:rowOff>
    </xdr:from>
    <xdr:to>
      <xdr:col>10</xdr:col>
      <xdr:colOff>349159</xdr:colOff>
      <xdr:row>14</xdr:row>
      <xdr:rowOff>756285</xdr:rowOff>
    </xdr:to>
    <xdr:sp macro="" textlink="">
      <xdr:nvSpPr>
        <xdr:cNvPr id="16" name="AutoShape 179">
          <a:extLst>
            <a:ext uri="{FF2B5EF4-FFF2-40B4-BE49-F238E27FC236}">
              <a16:creationId xmlns:a16="http://schemas.microsoft.com/office/drawing/2014/main" id="{00000000-0008-0000-0700-000010000000}"/>
            </a:ext>
          </a:extLst>
        </xdr:cNvPr>
        <xdr:cNvSpPr>
          <a:spLocks noChangeArrowheads="1"/>
        </xdr:cNvSpPr>
      </xdr:nvSpPr>
      <xdr:spPr bwMode="auto">
        <a:xfrm>
          <a:off x="5619750" y="46005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13</xdr:col>
      <xdr:colOff>47625</xdr:colOff>
      <xdr:row>14</xdr:row>
      <xdr:rowOff>390525</xdr:rowOff>
    </xdr:from>
    <xdr:to>
      <xdr:col>13</xdr:col>
      <xdr:colOff>349159</xdr:colOff>
      <xdr:row>14</xdr:row>
      <xdr:rowOff>756285</xdr:rowOff>
    </xdr:to>
    <xdr:sp macro="" textlink="">
      <xdr:nvSpPr>
        <xdr:cNvPr id="17" name="AutoShape 179">
          <a:extLst>
            <a:ext uri="{FF2B5EF4-FFF2-40B4-BE49-F238E27FC236}">
              <a16:creationId xmlns:a16="http://schemas.microsoft.com/office/drawing/2014/main" id="{00000000-0008-0000-0700-000011000000}"/>
            </a:ext>
          </a:extLst>
        </xdr:cNvPr>
        <xdr:cNvSpPr>
          <a:spLocks noChangeArrowheads="1"/>
        </xdr:cNvSpPr>
      </xdr:nvSpPr>
      <xdr:spPr bwMode="auto">
        <a:xfrm>
          <a:off x="6705600" y="46005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16</xdr:col>
      <xdr:colOff>47625</xdr:colOff>
      <xdr:row>14</xdr:row>
      <xdr:rowOff>390525</xdr:rowOff>
    </xdr:from>
    <xdr:to>
      <xdr:col>16</xdr:col>
      <xdr:colOff>349159</xdr:colOff>
      <xdr:row>14</xdr:row>
      <xdr:rowOff>756285</xdr:rowOff>
    </xdr:to>
    <xdr:sp macro="" textlink="">
      <xdr:nvSpPr>
        <xdr:cNvPr id="18" name="AutoShape 179">
          <a:extLst>
            <a:ext uri="{FF2B5EF4-FFF2-40B4-BE49-F238E27FC236}">
              <a16:creationId xmlns:a16="http://schemas.microsoft.com/office/drawing/2014/main" id="{00000000-0008-0000-0700-000012000000}"/>
            </a:ext>
          </a:extLst>
        </xdr:cNvPr>
        <xdr:cNvSpPr>
          <a:spLocks noChangeArrowheads="1"/>
        </xdr:cNvSpPr>
      </xdr:nvSpPr>
      <xdr:spPr bwMode="auto">
        <a:xfrm>
          <a:off x="7791450" y="46005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7</xdr:col>
      <xdr:colOff>38100</xdr:colOff>
      <xdr:row>13</xdr:row>
      <xdr:rowOff>352425</xdr:rowOff>
    </xdr:from>
    <xdr:to>
      <xdr:col>7</xdr:col>
      <xdr:colOff>339634</xdr:colOff>
      <xdr:row>13</xdr:row>
      <xdr:rowOff>718185</xdr:rowOff>
    </xdr:to>
    <xdr:sp macro="" textlink="">
      <xdr:nvSpPr>
        <xdr:cNvPr id="3" name="AutoShape 179">
          <a:extLst>
            <a:ext uri="{FF2B5EF4-FFF2-40B4-BE49-F238E27FC236}">
              <a16:creationId xmlns:a16="http://schemas.microsoft.com/office/drawing/2014/main" id="{00000000-0008-0000-0700-000003000000}"/>
            </a:ext>
          </a:extLst>
        </xdr:cNvPr>
        <xdr:cNvSpPr>
          <a:spLocks noChangeArrowheads="1"/>
        </xdr:cNvSpPr>
      </xdr:nvSpPr>
      <xdr:spPr bwMode="auto">
        <a:xfrm>
          <a:off x="6692900" y="540702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10</xdr:col>
      <xdr:colOff>47625</xdr:colOff>
      <xdr:row>13</xdr:row>
      <xdr:rowOff>371475</xdr:rowOff>
    </xdr:from>
    <xdr:to>
      <xdr:col>10</xdr:col>
      <xdr:colOff>349159</xdr:colOff>
      <xdr:row>13</xdr:row>
      <xdr:rowOff>737235</xdr:rowOff>
    </xdr:to>
    <xdr:sp macro="" textlink="">
      <xdr:nvSpPr>
        <xdr:cNvPr id="4" name="AutoShape 179">
          <a:extLst>
            <a:ext uri="{FF2B5EF4-FFF2-40B4-BE49-F238E27FC236}">
              <a16:creationId xmlns:a16="http://schemas.microsoft.com/office/drawing/2014/main" id="{00000000-0008-0000-0700-000004000000}"/>
            </a:ext>
          </a:extLst>
        </xdr:cNvPr>
        <xdr:cNvSpPr>
          <a:spLocks noChangeArrowheads="1"/>
        </xdr:cNvSpPr>
      </xdr:nvSpPr>
      <xdr:spPr bwMode="auto">
        <a:xfrm>
          <a:off x="8493125" y="54260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13</xdr:col>
      <xdr:colOff>47625</xdr:colOff>
      <xdr:row>13</xdr:row>
      <xdr:rowOff>371475</xdr:rowOff>
    </xdr:from>
    <xdr:to>
      <xdr:col>13</xdr:col>
      <xdr:colOff>349159</xdr:colOff>
      <xdr:row>13</xdr:row>
      <xdr:rowOff>737235</xdr:rowOff>
    </xdr:to>
    <xdr:sp macro="" textlink="">
      <xdr:nvSpPr>
        <xdr:cNvPr id="5" name="AutoShape 179">
          <a:extLst>
            <a:ext uri="{FF2B5EF4-FFF2-40B4-BE49-F238E27FC236}">
              <a16:creationId xmlns:a16="http://schemas.microsoft.com/office/drawing/2014/main" id="{00000000-0008-0000-0700-000005000000}"/>
            </a:ext>
          </a:extLst>
        </xdr:cNvPr>
        <xdr:cNvSpPr>
          <a:spLocks noChangeArrowheads="1"/>
        </xdr:cNvSpPr>
      </xdr:nvSpPr>
      <xdr:spPr bwMode="auto">
        <a:xfrm>
          <a:off x="10283825" y="54260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16</xdr:col>
      <xdr:colOff>47625</xdr:colOff>
      <xdr:row>13</xdr:row>
      <xdr:rowOff>371475</xdr:rowOff>
    </xdr:from>
    <xdr:to>
      <xdr:col>16</xdr:col>
      <xdr:colOff>349159</xdr:colOff>
      <xdr:row>13</xdr:row>
      <xdr:rowOff>737235</xdr:rowOff>
    </xdr:to>
    <xdr:sp macro="" textlink="">
      <xdr:nvSpPr>
        <xdr:cNvPr id="6" name="AutoShape 179">
          <a:extLst>
            <a:ext uri="{FF2B5EF4-FFF2-40B4-BE49-F238E27FC236}">
              <a16:creationId xmlns:a16="http://schemas.microsoft.com/office/drawing/2014/main" id="{00000000-0008-0000-0700-000006000000}"/>
            </a:ext>
          </a:extLst>
        </xdr:cNvPr>
        <xdr:cNvSpPr>
          <a:spLocks noChangeArrowheads="1"/>
        </xdr:cNvSpPr>
      </xdr:nvSpPr>
      <xdr:spPr bwMode="auto">
        <a:xfrm>
          <a:off x="12074525" y="54260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7</xdr:col>
      <xdr:colOff>38100</xdr:colOff>
      <xdr:row>14</xdr:row>
      <xdr:rowOff>371475</xdr:rowOff>
    </xdr:from>
    <xdr:to>
      <xdr:col>7</xdr:col>
      <xdr:colOff>339634</xdr:colOff>
      <xdr:row>14</xdr:row>
      <xdr:rowOff>737235</xdr:rowOff>
    </xdr:to>
    <xdr:sp macro="" textlink="">
      <xdr:nvSpPr>
        <xdr:cNvPr id="7" name="AutoShape 179">
          <a:extLst>
            <a:ext uri="{FF2B5EF4-FFF2-40B4-BE49-F238E27FC236}">
              <a16:creationId xmlns:a16="http://schemas.microsoft.com/office/drawing/2014/main" id="{00000000-0008-0000-0700-000007000000}"/>
            </a:ext>
          </a:extLst>
        </xdr:cNvPr>
        <xdr:cNvSpPr>
          <a:spLocks noChangeArrowheads="1"/>
        </xdr:cNvSpPr>
      </xdr:nvSpPr>
      <xdr:spPr bwMode="auto">
        <a:xfrm>
          <a:off x="6692900" y="644842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10</xdr:col>
      <xdr:colOff>47625</xdr:colOff>
      <xdr:row>14</xdr:row>
      <xdr:rowOff>390525</xdr:rowOff>
    </xdr:from>
    <xdr:to>
      <xdr:col>10</xdr:col>
      <xdr:colOff>349159</xdr:colOff>
      <xdr:row>14</xdr:row>
      <xdr:rowOff>756285</xdr:rowOff>
    </xdr:to>
    <xdr:sp macro="" textlink="">
      <xdr:nvSpPr>
        <xdr:cNvPr id="8" name="AutoShape 179">
          <a:extLst>
            <a:ext uri="{FF2B5EF4-FFF2-40B4-BE49-F238E27FC236}">
              <a16:creationId xmlns:a16="http://schemas.microsoft.com/office/drawing/2014/main" id="{00000000-0008-0000-0700-000008000000}"/>
            </a:ext>
          </a:extLst>
        </xdr:cNvPr>
        <xdr:cNvSpPr>
          <a:spLocks noChangeArrowheads="1"/>
        </xdr:cNvSpPr>
      </xdr:nvSpPr>
      <xdr:spPr bwMode="auto">
        <a:xfrm>
          <a:off x="8493125" y="64674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13</xdr:col>
      <xdr:colOff>47625</xdr:colOff>
      <xdr:row>14</xdr:row>
      <xdr:rowOff>390525</xdr:rowOff>
    </xdr:from>
    <xdr:to>
      <xdr:col>13</xdr:col>
      <xdr:colOff>349159</xdr:colOff>
      <xdr:row>14</xdr:row>
      <xdr:rowOff>756285</xdr:rowOff>
    </xdr:to>
    <xdr:sp macro="" textlink="">
      <xdr:nvSpPr>
        <xdr:cNvPr id="9" name="AutoShape 179">
          <a:extLst>
            <a:ext uri="{FF2B5EF4-FFF2-40B4-BE49-F238E27FC236}">
              <a16:creationId xmlns:a16="http://schemas.microsoft.com/office/drawing/2014/main" id="{00000000-0008-0000-0700-000009000000}"/>
            </a:ext>
          </a:extLst>
        </xdr:cNvPr>
        <xdr:cNvSpPr>
          <a:spLocks noChangeArrowheads="1"/>
        </xdr:cNvSpPr>
      </xdr:nvSpPr>
      <xdr:spPr bwMode="auto">
        <a:xfrm>
          <a:off x="10283825" y="64674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16</xdr:col>
      <xdr:colOff>47625</xdr:colOff>
      <xdr:row>14</xdr:row>
      <xdr:rowOff>390525</xdr:rowOff>
    </xdr:from>
    <xdr:to>
      <xdr:col>16</xdr:col>
      <xdr:colOff>349159</xdr:colOff>
      <xdr:row>14</xdr:row>
      <xdr:rowOff>756285</xdr:rowOff>
    </xdr:to>
    <xdr:sp macro="" textlink="">
      <xdr:nvSpPr>
        <xdr:cNvPr id="11" name="AutoShape 179">
          <a:extLst>
            <a:ext uri="{FF2B5EF4-FFF2-40B4-BE49-F238E27FC236}">
              <a16:creationId xmlns:a16="http://schemas.microsoft.com/office/drawing/2014/main" id="{00000000-0008-0000-0700-00000B000000}"/>
            </a:ext>
          </a:extLst>
        </xdr:cNvPr>
        <xdr:cNvSpPr>
          <a:spLocks noChangeArrowheads="1"/>
        </xdr:cNvSpPr>
      </xdr:nvSpPr>
      <xdr:spPr bwMode="auto">
        <a:xfrm>
          <a:off x="12074525" y="64674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1</xdr:col>
          <xdr:colOff>50800</xdr:colOff>
          <xdr:row>22</xdr:row>
          <xdr:rowOff>76200</xdr:rowOff>
        </xdr:from>
        <xdr:to>
          <xdr:col>6</xdr:col>
          <xdr:colOff>317500</xdr:colOff>
          <xdr:row>33</xdr:row>
          <xdr:rowOff>31750</xdr:rowOff>
        </xdr:to>
        <xdr:sp macro="" textlink="">
          <xdr:nvSpPr>
            <xdr:cNvPr id="9258" name="Picture 29412" hidden="1">
              <a:extLst>
                <a:ext uri="{63B3BB69-23CF-44E3-9099-C40C66FF867C}">
                  <a14:compatExt spid="_x0000_s9258"/>
                </a:ext>
                <a:ext uri="{FF2B5EF4-FFF2-40B4-BE49-F238E27FC236}">
                  <a16:creationId xmlns:a16="http://schemas.microsoft.com/office/drawing/2014/main" id="{00000000-0008-0000-0700-00002A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222250</xdr:colOff>
          <xdr:row>22</xdr:row>
          <xdr:rowOff>114300</xdr:rowOff>
        </xdr:from>
        <xdr:to>
          <xdr:col>17</xdr:col>
          <xdr:colOff>317500</xdr:colOff>
          <xdr:row>33</xdr:row>
          <xdr:rowOff>38100</xdr:rowOff>
        </xdr:to>
        <xdr:sp macro="" textlink="">
          <xdr:nvSpPr>
            <xdr:cNvPr id="9259" name="Object 43" hidden="1">
              <a:extLst>
                <a:ext uri="{63B3BB69-23CF-44E3-9099-C40C66FF867C}">
                  <a14:compatExt spid="_x0000_s9259"/>
                </a:ext>
                <a:ext uri="{FF2B5EF4-FFF2-40B4-BE49-F238E27FC236}">
                  <a16:creationId xmlns:a16="http://schemas.microsoft.com/office/drawing/2014/main" id="{00000000-0008-0000-0700-00002B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7</xdr:col>
      <xdr:colOff>38100</xdr:colOff>
      <xdr:row>13</xdr:row>
      <xdr:rowOff>352425</xdr:rowOff>
    </xdr:from>
    <xdr:to>
      <xdr:col>7</xdr:col>
      <xdr:colOff>339634</xdr:colOff>
      <xdr:row>13</xdr:row>
      <xdr:rowOff>718185</xdr:rowOff>
    </xdr:to>
    <xdr:sp macro="" textlink="">
      <xdr:nvSpPr>
        <xdr:cNvPr id="19" name="AutoShape 179">
          <a:extLst>
            <a:ext uri="{FF2B5EF4-FFF2-40B4-BE49-F238E27FC236}">
              <a16:creationId xmlns:a16="http://schemas.microsoft.com/office/drawing/2014/main" id="{00000000-0008-0000-0700-000013000000}"/>
            </a:ext>
          </a:extLst>
        </xdr:cNvPr>
        <xdr:cNvSpPr>
          <a:spLocks noChangeArrowheads="1"/>
        </xdr:cNvSpPr>
      </xdr:nvSpPr>
      <xdr:spPr bwMode="auto">
        <a:xfrm>
          <a:off x="6657975" y="5410200"/>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10</xdr:col>
      <xdr:colOff>47625</xdr:colOff>
      <xdr:row>13</xdr:row>
      <xdr:rowOff>371475</xdr:rowOff>
    </xdr:from>
    <xdr:to>
      <xdr:col>10</xdr:col>
      <xdr:colOff>349159</xdr:colOff>
      <xdr:row>13</xdr:row>
      <xdr:rowOff>737235</xdr:rowOff>
    </xdr:to>
    <xdr:sp macro="" textlink="">
      <xdr:nvSpPr>
        <xdr:cNvPr id="20" name="AutoShape 179">
          <a:extLst>
            <a:ext uri="{FF2B5EF4-FFF2-40B4-BE49-F238E27FC236}">
              <a16:creationId xmlns:a16="http://schemas.microsoft.com/office/drawing/2014/main" id="{00000000-0008-0000-0700-000014000000}"/>
            </a:ext>
          </a:extLst>
        </xdr:cNvPr>
        <xdr:cNvSpPr>
          <a:spLocks noChangeArrowheads="1"/>
        </xdr:cNvSpPr>
      </xdr:nvSpPr>
      <xdr:spPr bwMode="auto">
        <a:xfrm>
          <a:off x="8382000" y="542925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13</xdr:col>
      <xdr:colOff>47625</xdr:colOff>
      <xdr:row>13</xdr:row>
      <xdr:rowOff>371475</xdr:rowOff>
    </xdr:from>
    <xdr:to>
      <xdr:col>13</xdr:col>
      <xdr:colOff>349159</xdr:colOff>
      <xdr:row>13</xdr:row>
      <xdr:rowOff>737235</xdr:rowOff>
    </xdr:to>
    <xdr:sp macro="" textlink="">
      <xdr:nvSpPr>
        <xdr:cNvPr id="21" name="AutoShape 179">
          <a:extLst>
            <a:ext uri="{FF2B5EF4-FFF2-40B4-BE49-F238E27FC236}">
              <a16:creationId xmlns:a16="http://schemas.microsoft.com/office/drawing/2014/main" id="{00000000-0008-0000-0700-000015000000}"/>
            </a:ext>
          </a:extLst>
        </xdr:cNvPr>
        <xdr:cNvSpPr>
          <a:spLocks noChangeArrowheads="1"/>
        </xdr:cNvSpPr>
      </xdr:nvSpPr>
      <xdr:spPr bwMode="auto">
        <a:xfrm>
          <a:off x="10096500" y="542925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16</xdr:col>
      <xdr:colOff>47625</xdr:colOff>
      <xdr:row>13</xdr:row>
      <xdr:rowOff>371475</xdr:rowOff>
    </xdr:from>
    <xdr:to>
      <xdr:col>16</xdr:col>
      <xdr:colOff>349159</xdr:colOff>
      <xdr:row>13</xdr:row>
      <xdr:rowOff>737235</xdr:rowOff>
    </xdr:to>
    <xdr:sp macro="" textlink="">
      <xdr:nvSpPr>
        <xdr:cNvPr id="22" name="AutoShape 179">
          <a:extLst>
            <a:ext uri="{FF2B5EF4-FFF2-40B4-BE49-F238E27FC236}">
              <a16:creationId xmlns:a16="http://schemas.microsoft.com/office/drawing/2014/main" id="{00000000-0008-0000-0700-000016000000}"/>
            </a:ext>
          </a:extLst>
        </xdr:cNvPr>
        <xdr:cNvSpPr>
          <a:spLocks noChangeArrowheads="1"/>
        </xdr:cNvSpPr>
      </xdr:nvSpPr>
      <xdr:spPr bwMode="auto">
        <a:xfrm>
          <a:off x="11811000" y="542925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7</xdr:col>
      <xdr:colOff>38100</xdr:colOff>
      <xdr:row>14</xdr:row>
      <xdr:rowOff>371475</xdr:rowOff>
    </xdr:from>
    <xdr:to>
      <xdr:col>7</xdr:col>
      <xdr:colOff>339634</xdr:colOff>
      <xdr:row>14</xdr:row>
      <xdr:rowOff>737235</xdr:rowOff>
    </xdr:to>
    <xdr:sp macro="" textlink="">
      <xdr:nvSpPr>
        <xdr:cNvPr id="23" name="AutoShape 179">
          <a:extLst>
            <a:ext uri="{FF2B5EF4-FFF2-40B4-BE49-F238E27FC236}">
              <a16:creationId xmlns:a16="http://schemas.microsoft.com/office/drawing/2014/main" id="{00000000-0008-0000-0700-000017000000}"/>
            </a:ext>
          </a:extLst>
        </xdr:cNvPr>
        <xdr:cNvSpPr>
          <a:spLocks noChangeArrowheads="1"/>
        </xdr:cNvSpPr>
      </xdr:nvSpPr>
      <xdr:spPr bwMode="auto">
        <a:xfrm>
          <a:off x="6657975" y="6448425"/>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10</xdr:col>
      <xdr:colOff>47625</xdr:colOff>
      <xdr:row>14</xdr:row>
      <xdr:rowOff>390525</xdr:rowOff>
    </xdr:from>
    <xdr:to>
      <xdr:col>10</xdr:col>
      <xdr:colOff>349159</xdr:colOff>
      <xdr:row>14</xdr:row>
      <xdr:rowOff>756285</xdr:rowOff>
    </xdr:to>
    <xdr:sp macro="" textlink="">
      <xdr:nvSpPr>
        <xdr:cNvPr id="24" name="AutoShape 179">
          <a:extLst>
            <a:ext uri="{FF2B5EF4-FFF2-40B4-BE49-F238E27FC236}">
              <a16:creationId xmlns:a16="http://schemas.microsoft.com/office/drawing/2014/main" id="{00000000-0008-0000-0700-000018000000}"/>
            </a:ext>
          </a:extLst>
        </xdr:cNvPr>
        <xdr:cNvSpPr>
          <a:spLocks noChangeArrowheads="1"/>
        </xdr:cNvSpPr>
      </xdr:nvSpPr>
      <xdr:spPr bwMode="auto">
        <a:xfrm>
          <a:off x="8382000" y="64674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13</xdr:col>
      <xdr:colOff>47625</xdr:colOff>
      <xdr:row>14</xdr:row>
      <xdr:rowOff>390525</xdr:rowOff>
    </xdr:from>
    <xdr:to>
      <xdr:col>13</xdr:col>
      <xdr:colOff>349159</xdr:colOff>
      <xdr:row>14</xdr:row>
      <xdr:rowOff>756285</xdr:rowOff>
    </xdr:to>
    <xdr:sp macro="" textlink="">
      <xdr:nvSpPr>
        <xdr:cNvPr id="25" name="AutoShape 179">
          <a:extLst>
            <a:ext uri="{FF2B5EF4-FFF2-40B4-BE49-F238E27FC236}">
              <a16:creationId xmlns:a16="http://schemas.microsoft.com/office/drawing/2014/main" id="{00000000-0008-0000-0700-000019000000}"/>
            </a:ext>
          </a:extLst>
        </xdr:cNvPr>
        <xdr:cNvSpPr>
          <a:spLocks noChangeArrowheads="1"/>
        </xdr:cNvSpPr>
      </xdr:nvSpPr>
      <xdr:spPr bwMode="auto">
        <a:xfrm>
          <a:off x="10096500" y="64674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16</xdr:col>
      <xdr:colOff>47625</xdr:colOff>
      <xdr:row>14</xdr:row>
      <xdr:rowOff>390525</xdr:rowOff>
    </xdr:from>
    <xdr:to>
      <xdr:col>16</xdr:col>
      <xdr:colOff>349159</xdr:colOff>
      <xdr:row>14</xdr:row>
      <xdr:rowOff>756285</xdr:rowOff>
    </xdr:to>
    <xdr:sp macro="" textlink="">
      <xdr:nvSpPr>
        <xdr:cNvPr id="26" name="AutoShape 179">
          <a:extLst>
            <a:ext uri="{FF2B5EF4-FFF2-40B4-BE49-F238E27FC236}">
              <a16:creationId xmlns:a16="http://schemas.microsoft.com/office/drawing/2014/main" id="{00000000-0008-0000-0700-00001A000000}"/>
            </a:ext>
          </a:extLst>
        </xdr:cNvPr>
        <xdr:cNvSpPr>
          <a:spLocks noChangeArrowheads="1"/>
        </xdr:cNvSpPr>
      </xdr:nvSpPr>
      <xdr:spPr bwMode="auto">
        <a:xfrm>
          <a:off x="11811000" y="64674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5</xdr:col>
      <xdr:colOff>136071</xdr:colOff>
      <xdr:row>13</xdr:row>
      <xdr:rowOff>380999</xdr:rowOff>
    </xdr:from>
    <xdr:to>
      <xdr:col>5</xdr:col>
      <xdr:colOff>437605</xdr:colOff>
      <xdr:row>13</xdr:row>
      <xdr:rowOff>746759</xdr:rowOff>
    </xdr:to>
    <xdr:sp macro="" textlink="">
      <xdr:nvSpPr>
        <xdr:cNvPr id="27" name="AutoShape 179">
          <a:extLst>
            <a:ext uri="{FF2B5EF4-FFF2-40B4-BE49-F238E27FC236}">
              <a16:creationId xmlns:a16="http://schemas.microsoft.com/office/drawing/2014/main" id="{00000000-0008-0000-0700-00001B000000}"/>
            </a:ext>
          </a:extLst>
        </xdr:cNvPr>
        <xdr:cNvSpPr>
          <a:spLocks noChangeArrowheads="1"/>
        </xdr:cNvSpPr>
      </xdr:nvSpPr>
      <xdr:spPr bwMode="auto">
        <a:xfrm>
          <a:off x="5612946" y="5438774"/>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5</xdr:col>
      <xdr:colOff>136071</xdr:colOff>
      <xdr:row>14</xdr:row>
      <xdr:rowOff>400049</xdr:rowOff>
    </xdr:from>
    <xdr:to>
      <xdr:col>5</xdr:col>
      <xdr:colOff>437605</xdr:colOff>
      <xdr:row>14</xdr:row>
      <xdr:rowOff>765809</xdr:rowOff>
    </xdr:to>
    <xdr:sp macro="" textlink="">
      <xdr:nvSpPr>
        <xdr:cNvPr id="28" name="AutoShape 179">
          <a:extLst>
            <a:ext uri="{FF2B5EF4-FFF2-40B4-BE49-F238E27FC236}">
              <a16:creationId xmlns:a16="http://schemas.microsoft.com/office/drawing/2014/main" id="{00000000-0008-0000-0700-00001C000000}"/>
            </a:ext>
          </a:extLst>
        </xdr:cNvPr>
        <xdr:cNvSpPr>
          <a:spLocks noChangeArrowheads="1"/>
        </xdr:cNvSpPr>
      </xdr:nvSpPr>
      <xdr:spPr bwMode="auto">
        <a:xfrm>
          <a:off x="5612946" y="6476999"/>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136072</xdr:colOff>
      <xdr:row>13</xdr:row>
      <xdr:rowOff>353786</xdr:rowOff>
    </xdr:from>
    <xdr:to>
      <xdr:col>6</xdr:col>
      <xdr:colOff>437606</xdr:colOff>
      <xdr:row>13</xdr:row>
      <xdr:rowOff>719546</xdr:rowOff>
    </xdr:to>
    <xdr:sp macro="" textlink="">
      <xdr:nvSpPr>
        <xdr:cNvPr id="29" name="AutoShape 179">
          <a:extLst>
            <a:ext uri="{FF2B5EF4-FFF2-40B4-BE49-F238E27FC236}">
              <a16:creationId xmlns:a16="http://schemas.microsoft.com/office/drawing/2014/main" id="{00000000-0008-0000-0700-00001D000000}"/>
            </a:ext>
          </a:extLst>
        </xdr:cNvPr>
        <xdr:cNvSpPr>
          <a:spLocks noChangeArrowheads="1"/>
        </xdr:cNvSpPr>
      </xdr:nvSpPr>
      <xdr:spPr bwMode="auto">
        <a:xfrm>
          <a:off x="6184447" y="5411561"/>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6</xdr:col>
      <xdr:colOff>136072</xdr:colOff>
      <xdr:row>14</xdr:row>
      <xdr:rowOff>372836</xdr:rowOff>
    </xdr:from>
    <xdr:to>
      <xdr:col>6</xdr:col>
      <xdr:colOff>437606</xdr:colOff>
      <xdr:row>14</xdr:row>
      <xdr:rowOff>738596</xdr:rowOff>
    </xdr:to>
    <xdr:sp macro="" textlink="">
      <xdr:nvSpPr>
        <xdr:cNvPr id="30" name="AutoShape 179">
          <a:extLst>
            <a:ext uri="{FF2B5EF4-FFF2-40B4-BE49-F238E27FC236}">
              <a16:creationId xmlns:a16="http://schemas.microsoft.com/office/drawing/2014/main" id="{00000000-0008-0000-0700-00001E000000}"/>
            </a:ext>
          </a:extLst>
        </xdr:cNvPr>
        <xdr:cNvSpPr>
          <a:spLocks noChangeArrowheads="1"/>
        </xdr:cNvSpPr>
      </xdr:nvSpPr>
      <xdr:spPr bwMode="auto">
        <a:xfrm>
          <a:off x="6184447" y="6449786"/>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149679</xdr:colOff>
      <xdr:row>13</xdr:row>
      <xdr:rowOff>367393</xdr:rowOff>
    </xdr:from>
    <xdr:to>
      <xdr:col>8</xdr:col>
      <xdr:colOff>451213</xdr:colOff>
      <xdr:row>13</xdr:row>
      <xdr:rowOff>733153</xdr:rowOff>
    </xdr:to>
    <xdr:sp macro="" textlink="">
      <xdr:nvSpPr>
        <xdr:cNvPr id="31" name="AutoShape 179">
          <a:extLst>
            <a:ext uri="{FF2B5EF4-FFF2-40B4-BE49-F238E27FC236}">
              <a16:creationId xmlns:a16="http://schemas.microsoft.com/office/drawing/2014/main" id="{00000000-0008-0000-0700-00001F000000}"/>
            </a:ext>
          </a:extLst>
        </xdr:cNvPr>
        <xdr:cNvSpPr>
          <a:spLocks noChangeArrowheads="1"/>
        </xdr:cNvSpPr>
      </xdr:nvSpPr>
      <xdr:spPr bwMode="auto">
        <a:xfrm>
          <a:off x="7341054" y="5425168"/>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8</xdr:col>
      <xdr:colOff>149679</xdr:colOff>
      <xdr:row>14</xdr:row>
      <xdr:rowOff>386443</xdr:rowOff>
    </xdr:from>
    <xdr:to>
      <xdr:col>8</xdr:col>
      <xdr:colOff>451213</xdr:colOff>
      <xdr:row>14</xdr:row>
      <xdr:rowOff>752203</xdr:rowOff>
    </xdr:to>
    <xdr:sp macro="" textlink="">
      <xdr:nvSpPr>
        <xdr:cNvPr id="9248" name="AutoShape 179">
          <a:extLst>
            <a:ext uri="{FF2B5EF4-FFF2-40B4-BE49-F238E27FC236}">
              <a16:creationId xmlns:a16="http://schemas.microsoft.com/office/drawing/2014/main" id="{00000000-0008-0000-0700-000020240000}"/>
            </a:ext>
          </a:extLst>
        </xdr:cNvPr>
        <xdr:cNvSpPr>
          <a:spLocks noChangeArrowheads="1"/>
        </xdr:cNvSpPr>
      </xdr:nvSpPr>
      <xdr:spPr bwMode="auto">
        <a:xfrm>
          <a:off x="7341054" y="6463393"/>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9</xdr:col>
      <xdr:colOff>136071</xdr:colOff>
      <xdr:row>13</xdr:row>
      <xdr:rowOff>381000</xdr:rowOff>
    </xdr:from>
    <xdr:to>
      <xdr:col>9</xdr:col>
      <xdr:colOff>437605</xdr:colOff>
      <xdr:row>13</xdr:row>
      <xdr:rowOff>746760</xdr:rowOff>
    </xdr:to>
    <xdr:sp macro="" textlink="">
      <xdr:nvSpPr>
        <xdr:cNvPr id="9249" name="AutoShape 179">
          <a:extLst>
            <a:ext uri="{FF2B5EF4-FFF2-40B4-BE49-F238E27FC236}">
              <a16:creationId xmlns:a16="http://schemas.microsoft.com/office/drawing/2014/main" id="{00000000-0008-0000-0700-000021240000}"/>
            </a:ext>
          </a:extLst>
        </xdr:cNvPr>
        <xdr:cNvSpPr>
          <a:spLocks noChangeArrowheads="1"/>
        </xdr:cNvSpPr>
      </xdr:nvSpPr>
      <xdr:spPr bwMode="auto">
        <a:xfrm>
          <a:off x="7898946" y="5438775"/>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9</xdr:col>
      <xdr:colOff>136071</xdr:colOff>
      <xdr:row>14</xdr:row>
      <xdr:rowOff>400050</xdr:rowOff>
    </xdr:from>
    <xdr:to>
      <xdr:col>9</xdr:col>
      <xdr:colOff>437605</xdr:colOff>
      <xdr:row>14</xdr:row>
      <xdr:rowOff>765810</xdr:rowOff>
    </xdr:to>
    <xdr:sp macro="" textlink="">
      <xdr:nvSpPr>
        <xdr:cNvPr id="9250" name="AutoShape 179">
          <a:extLst>
            <a:ext uri="{FF2B5EF4-FFF2-40B4-BE49-F238E27FC236}">
              <a16:creationId xmlns:a16="http://schemas.microsoft.com/office/drawing/2014/main" id="{00000000-0008-0000-0700-000022240000}"/>
            </a:ext>
          </a:extLst>
        </xdr:cNvPr>
        <xdr:cNvSpPr>
          <a:spLocks noChangeArrowheads="1"/>
        </xdr:cNvSpPr>
      </xdr:nvSpPr>
      <xdr:spPr bwMode="auto">
        <a:xfrm>
          <a:off x="7898946" y="6477000"/>
          <a:ext cx="301534" cy="365760"/>
        </a:xfrm>
        <a:prstGeom prst="homePlate">
          <a:avLst>
            <a:gd name="adj" fmla="val 32088"/>
          </a:avLst>
        </a:prstGeom>
        <a:solidFill>
          <a:srgbClr val="FF99FF"/>
        </a:solidFill>
        <a:ln w="9525">
          <a:solidFill>
            <a:srgbClr val="000000"/>
          </a:solidFill>
          <a:miter lim="800000"/>
          <a:headEnd/>
          <a:tailEnd/>
        </a:ln>
      </xdr:spPr>
    </xdr:sp>
    <xdr:clientData/>
  </xdr:twoCellAnchor>
  <xdr:twoCellAnchor>
    <xdr:from>
      <xdr:col>11</xdr:col>
      <xdr:colOff>136071</xdr:colOff>
      <xdr:row>13</xdr:row>
      <xdr:rowOff>394607</xdr:rowOff>
    </xdr:from>
    <xdr:to>
      <xdr:col>11</xdr:col>
      <xdr:colOff>437605</xdr:colOff>
      <xdr:row>13</xdr:row>
      <xdr:rowOff>760367</xdr:rowOff>
    </xdr:to>
    <xdr:sp macro="" textlink="">
      <xdr:nvSpPr>
        <xdr:cNvPr id="9251" name="AutoShape 179">
          <a:extLst>
            <a:ext uri="{FF2B5EF4-FFF2-40B4-BE49-F238E27FC236}">
              <a16:creationId xmlns:a16="http://schemas.microsoft.com/office/drawing/2014/main" id="{00000000-0008-0000-0700-000023240000}"/>
            </a:ext>
          </a:extLst>
        </xdr:cNvPr>
        <xdr:cNvSpPr>
          <a:spLocks noChangeArrowheads="1"/>
        </xdr:cNvSpPr>
      </xdr:nvSpPr>
      <xdr:spPr bwMode="auto">
        <a:xfrm>
          <a:off x="9041946" y="5452382"/>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11</xdr:col>
      <xdr:colOff>136071</xdr:colOff>
      <xdr:row>14</xdr:row>
      <xdr:rowOff>413657</xdr:rowOff>
    </xdr:from>
    <xdr:to>
      <xdr:col>11</xdr:col>
      <xdr:colOff>437605</xdr:colOff>
      <xdr:row>14</xdr:row>
      <xdr:rowOff>779417</xdr:rowOff>
    </xdr:to>
    <xdr:sp macro="" textlink="">
      <xdr:nvSpPr>
        <xdr:cNvPr id="9252" name="AutoShape 179">
          <a:extLst>
            <a:ext uri="{FF2B5EF4-FFF2-40B4-BE49-F238E27FC236}">
              <a16:creationId xmlns:a16="http://schemas.microsoft.com/office/drawing/2014/main" id="{00000000-0008-0000-0700-000024240000}"/>
            </a:ext>
          </a:extLst>
        </xdr:cNvPr>
        <xdr:cNvSpPr>
          <a:spLocks noChangeArrowheads="1"/>
        </xdr:cNvSpPr>
      </xdr:nvSpPr>
      <xdr:spPr bwMode="auto">
        <a:xfrm>
          <a:off x="9041946" y="6490607"/>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12</xdr:col>
      <xdr:colOff>136072</xdr:colOff>
      <xdr:row>13</xdr:row>
      <xdr:rowOff>381000</xdr:rowOff>
    </xdr:from>
    <xdr:to>
      <xdr:col>12</xdr:col>
      <xdr:colOff>437606</xdr:colOff>
      <xdr:row>13</xdr:row>
      <xdr:rowOff>746760</xdr:rowOff>
    </xdr:to>
    <xdr:sp macro="" textlink="">
      <xdr:nvSpPr>
        <xdr:cNvPr id="9253" name="AutoShape 179">
          <a:extLst>
            <a:ext uri="{FF2B5EF4-FFF2-40B4-BE49-F238E27FC236}">
              <a16:creationId xmlns:a16="http://schemas.microsoft.com/office/drawing/2014/main" id="{00000000-0008-0000-0700-000025240000}"/>
            </a:ext>
          </a:extLst>
        </xdr:cNvPr>
        <xdr:cNvSpPr>
          <a:spLocks noChangeArrowheads="1"/>
        </xdr:cNvSpPr>
      </xdr:nvSpPr>
      <xdr:spPr bwMode="auto">
        <a:xfrm>
          <a:off x="9613447" y="54387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12</xdr:col>
      <xdr:colOff>136072</xdr:colOff>
      <xdr:row>14</xdr:row>
      <xdr:rowOff>400050</xdr:rowOff>
    </xdr:from>
    <xdr:to>
      <xdr:col>12</xdr:col>
      <xdr:colOff>437606</xdr:colOff>
      <xdr:row>14</xdr:row>
      <xdr:rowOff>765810</xdr:rowOff>
    </xdr:to>
    <xdr:sp macro="" textlink="">
      <xdr:nvSpPr>
        <xdr:cNvPr id="9254" name="AutoShape 179">
          <a:extLst>
            <a:ext uri="{FF2B5EF4-FFF2-40B4-BE49-F238E27FC236}">
              <a16:creationId xmlns:a16="http://schemas.microsoft.com/office/drawing/2014/main" id="{00000000-0008-0000-0700-000026240000}"/>
            </a:ext>
          </a:extLst>
        </xdr:cNvPr>
        <xdr:cNvSpPr>
          <a:spLocks noChangeArrowheads="1"/>
        </xdr:cNvSpPr>
      </xdr:nvSpPr>
      <xdr:spPr bwMode="auto">
        <a:xfrm>
          <a:off x="9613447" y="647700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14</xdr:col>
      <xdr:colOff>149679</xdr:colOff>
      <xdr:row>13</xdr:row>
      <xdr:rowOff>381000</xdr:rowOff>
    </xdr:from>
    <xdr:to>
      <xdr:col>14</xdr:col>
      <xdr:colOff>451213</xdr:colOff>
      <xdr:row>13</xdr:row>
      <xdr:rowOff>746760</xdr:rowOff>
    </xdr:to>
    <xdr:sp macro="" textlink="">
      <xdr:nvSpPr>
        <xdr:cNvPr id="9255" name="AutoShape 179">
          <a:extLst>
            <a:ext uri="{FF2B5EF4-FFF2-40B4-BE49-F238E27FC236}">
              <a16:creationId xmlns:a16="http://schemas.microsoft.com/office/drawing/2014/main" id="{00000000-0008-0000-0700-000027240000}"/>
            </a:ext>
          </a:extLst>
        </xdr:cNvPr>
        <xdr:cNvSpPr>
          <a:spLocks noChangeArrowheads="1"/>
        </xdr:cNvSpPr>
      </xdr:nvSpPr>
      <xdr:spPr bwMode="auto">
        <a:xfrm>
          <a:off x="10770054" y="5438775"/>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14</xdr:col>
      <xdr:colOff>149679</xdr:colOff>
      <xdr:row>14</xdr:row>
      <xdr:rowOff>400050</xdr:rowOff>
    </xdr:from>
    <xdr:to>
      <xdr:col>14</xdr:col>
      <xdr:colOff>451213</xdr:colOff>
      <xdr:row>14</xdr:row>
      <xdr:rowOff>765810</xdr:rowOff>
    </xdr:to>
    <xdr:sp macro="" textlink="">
      <xdr:nvSpPr>
        <xdr:cNvPr id="9256" name="AutoShape 179">
          <a:extLst>
            <a:ext uri="{FF2B5EF4-FFF2-40B4-BE49-F238E27FC236}">
              <a16:creationId xmlns:a16="http://schemas.microsoft.com/office/drawing/2014/main" id="{00000000-0008-0000-0700-000028240000}"/>
            </a:ext>
          </a:extLst>
        </xdr:cNvPr>
        <xdr:cNvSpPr>
          <a:spLocks noChangeArrowheads="1"/>
        </xdr:cNvSpPr>
      </xdr:nvSpPr>
      <xdr:spPr bwMode="auto">
        <a:xfrm>
          <a:off x="10770054" y="6477000"/>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15</xdr:col>
      <xdr:colOff>136071</xdr:colOff>
      <xdr:row>13</xdr:row>
      <xdr:rowOff>367392</xdr:rowOff>
    </xdr:from>
    <xdr:to>
      <xdr:col>15</xdr:col>
      <xdr:colOff>437605</xdr:colOff>
      <xdr:row>13</xdr:row>
      <xdr:rowOff>733152</xdr:rowOff>
    </xdr:to>
    <xdr:sp macro="" textlink="">
      <xdr:nvSpPr>
        <xdr:cNvPr id="9257" name="AutoShape 179">
          <a:extLst>
            <a:ext uri="{FF2B5EF4-FFF2-40B4-BE49-F238E27FC236}">
              <a16:creationId xmlns:a16="http://schemas.microsoft.com/office/drawing/2014/main" id="{00000000-0008-0000-0700-000029240000}"/>
            </a:ext>
          </a:extLst>
        </xdr:cNvPr>
        <xdr:cNvSpPr>
          <a:spLocks noChangeArrowheads="1"/>
        </xdr:cNvSpPr>
      </xdr:nvSpPr>
      <xdr:spPr bwMode="auto">
        <a:xfrm>
          <a:off x="11327946" y="5425167"/>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twoCellAnchor>
    <xdr:from>
      <xdr:col>15</xdr:col>
      <xdr:colOff>136071</xdr:colOff>
      <xdr:row>14</xdr:row>
      <xdr:rowOff>386442</xdr:rowOff>
    </xdr:from>
    <xdr:to>
      <xdr:col>15</xdr:col>
      <xdr:colOff>437605</xdr:colOff>
      <xdr:row>14</xdr:row>
      <xdr:rowOff>752202</xdr:rowOff>
    </xdr:to>
    <xdr:sp macro="" textlink="">
      <xdr:nvSpPr>
        <xdr:cNvPr id="9260" name="AutoShape 179">
          <a:extLst>
            <a:ext uri="{FF2B5EF4-FFF2-40B4-BE49-F238E27FC236}">
              <a16:creationId xmlns:a16="http://schemas.microsoft.com/office/drawing/2014/main" id="{00000000-0008-0000-0700-00002C240000}"/>
            </a:ext>
          </a:extLst>
        </xdr:cNvPr>
        <xdr:cNvSpPr>
          <a:spLocks noChangeArrowheads="1"/>
        </xdr:cNvSpPr>
      </xdr:nvSpPr>
      <xdr:spPr bwMode="auto">
        <a:xfrm>
          <a:off x="11327946" y="6463392"/>
          <a:ext cx="301534" cy="365760"/>
        </a:xfrm>
        <a:prstGeom prst="homePlate">
          <a:avLst>
            <a:gd name="adj" fmla="val 32088"/>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AD56\Ace%20Folder\%3f%3f%3f%3f\%3f%3f\VEC%3f%3f\DK3x9%3f%3f1%3f%3f%3fD9712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ad3\data%20folder\HDD2.5%20FOLDER\AMBET%20Folder\materials%20stock%20computa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AD56\Ace%20Folder\WINNT\TEMP\C.Lotus.Notes.Data\Parts_Databa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q-yez-a180\IQC2006-2007\Documents%20and%20Settings\YEZ-A191\&#12487;&#12473;&#12463;&#12488;&#12483;&#12503;\15%20%202006&#24180;&#21463;&#20837;&#26908;&#26619;&#23653;&#27508;\10&#26376;~\&#26032;&#12398;&#21463;&#20837;&#23653;&#27508;\&#37467;&#28961;&#12356;\CT\CT1898-11.21B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ad3\data%20folder\Documents%20and%20Settings\HondaTestuya\My%20Documents\%3f%3f%3f%3f%3f\%3f%3f%3f%3f%3f%3f%3f%3f\PMI%3f(03.2.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ad75\Python\WINNT\TEMP\C.Lotus.Notes.Data\Parts_Databas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ad24\SOL'S%20FOLDER\C577%20PNL%20Preparation%20Mtg._PMI\Rodel%20D%20Capule\Christine's%20Work\Other%20Customer\Epson\EPPI\C582\JONA\AYGRAB~1\QCFLOW~1\EPSON\ME2_File_Folder\Mhond_Ramos\Epson\QF\C418\FINAL\TSDOCPR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ad75\Python\Documents%20and%20Settings\HondaTestuya\My%20Documents\&#12522;&#12540;&#12473;&#38306;&#20418;\&#19977;&#20117;&#20303;&#21451;&#37504;&#12522;&#12540;&#12473;\PMI&#9313;(03.2.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marcruz\AppData\Local\Microsoft\Windows\Temporary%20Internet%20Files\Content.Outlook\O7X6OZWT\Key%2014%20AP%202013%20Company%20Wide%20January%2020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ad75\Python\&#25991;&#26360;&#36039;&#26009;\&#21407;&#20385;\VEC&#38306;&#36899;\DK3x9&#37096;&#21697;1&#65423;&#65400;&#65435;D9712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AD56\Ace%20Folder\&#25991;&#26360;&#36039;&#26009;\&#21407;&#20385;\VEC&#38306;&#36899;\DK3x9&#37096;&#21697;1&#65423;&#65400;&#65435;D9712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ad3\data%20folder\Documents%20and%20Settings\HondaTestuya\My%20Documents\&#12522;&#12540;&#12473;&#38306;&#20418;\&#19977;&#20117;&#20303;&#21451;&#37504;&#12522;&#12540;&#12473;\PMI&#9313;(03.2.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ocuments%20and%20Settings\HondaTestuya\My%20Documents\&#12522;&#12540;&#12473;&#38306;&#20418;\&#19977;&#20117;&#20303;&#21451;&#37504;&#12522;&#12540;&#12473;\PMI&#9313;(03.2.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s%20and%20Settings\linadum\Local%20Settings\Temporary%20Internet%20Files\OLK25\WIP%20&amp;%20%20FGS%20Valuation%20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mylsiba\AppData\Local\Temp\Documents%20and%20Settings\yoshihiro-fukushima.PC07042\Local%20Settings\Temporary%20Internet%20Files\OLK44\291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Users\mylsiba\AppData\Local\Temp\Documents%20and%20Settings\yoshihiro-fukushima.PC07042\Local%20Settings\Temporary%20Internet%20Files\OLK44\291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ad75\Python\Documents%20and%20Settings\dorymisa\Local%20Settings\Temporary%20Internet%20Files\OLK28\Consolidation%20reporting%20package%20file1%20MAR2004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cba2\FROM%20MAM%20SAL\Shelyne\My%20SAT%20studies\Episode%20III%20(under%20construction%20pa,%20for%20intranet)\panasonic%20lsu\eol\Kyomita_A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ad3\data%20folder\Documents%20and%20Settings\EANejal\Local%20Settings\Temporary%20Internet%20Files\OLK6\Ver2002.03%3f%3f%3f%3f%3f%3f%3f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shared\Daily%20report%20needed%20to%20accomplished\Production%20machine%20loading\Prod'n.%20Mach.%20Loading%20as%20November'2011\TS-CN%20Molding%20Machine%20Loading%20November%2006,%20201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ared\Daily%20report%20needed%20to%20accomplished\Production%20machine%20loading\Prod'n.%20Mach.%20Loading%20as%20November'2011\TS-CN%20Molding%20Machine%20Loading%20November%2006,%20201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J:\PRICON\EXCEL\2006%20Budget%20Worksheets%20Nov%2005%20Actu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KEY%231%20-%20CLEANING%20&amp;%20ORGANIZING%20(4S)\FY2011%20Key%231%20-%204S\Key%201%20FY11%20AP%20Report\Jun%20'11\Key%201~10%20AP%20Report-June%20201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KEY%252525231%20-%20CLEANING%20&amp;%20ORGANIZING%20(4S)\FY2011%20Key%252525231%20-%204S\Key%201%20FY11%20AP%20Report\Jun%20'11\Key%201~10%20AP%20Report-June%20201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KEY%252525231%20-%20CLEANING%20&amp;%20ORGANIZING%20(4S)\FY2011%20Key%252525231%20-%204S\Key%201%20FY11%20AP%20Report\Jun%20'11\Key%201~10%20AP%20Report-June%20201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KEY%2525252525252525231%20-%20CLEANING%20&amp;%20ORGANIZING%20(4S)\FY2011%20Key%2525252525252525231%20-%204S\Key%201%20FY11%20AP%20Report\Jun%20'11\Key%201~10%20AP%20Report-June%2020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KEY%2525252525252525231%20-%20CLEANING%20&amp;%20ORGANIZING%20(4S)\FY2011%20Key%2525252525252525231%20-%204S\Key%201%20FY11%20AP%20Report\Jun%20'11\Key%201~10%20AP%20Report-June%20201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KEY%25252525252525231%20-%20CLEANING%20&amp;%20ORGANIZING%20(4S)\FY2011%20Key%25252525252525231%20-%204S\Key%201%20FY11%20AP%20Report\Jun%20'11\Key%201~10%20AP%20Report-June%20201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KEY%25252525252525231%20-%20CLEANING%20&amp;%20ORGANIZING%20(4S)\FY2011%20Key%25252525252525231%20-%204S\Key%201%20FY11%20AP%20Report\Jun%20'11\Key%201~10%20AP%20Report-June%20201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KEY%252525252525231%20-%20CLEANING%20&amp;%20ORGANIZING%20(4S)\FY2011%20Key%252525252525231%20-%204S\Key%201%20FY11%20AP%20Report\Jun%20'11\Key%201~10%20AP%20Report-June%20201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KEY%252525252525231%20-%20CLEANING%20&amp;%20ORGANIZING%20(4S)\FY2011%20Key%252525252525231%20-%204S\Key%201%20FY11%20AP%20Report\Jun%20'11\Key%201~10%20AP%20Report-June%20201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PPORF%202009\For%20Nov.%20perf\PPORF%20Nov.%20Perf\TS-Molding%20Key%209%20%20AP%20Nov%20%20updat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PPORF%202009\For%20Nov.%20perf\PPORF%20Nov.%20Perf\TS-Molding%20Key%209%20%20AP%20Nov%20%20update.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PPORF%202009\For%20Nov.%20perf\PPORF%20Nov.%20Perf\TS-Molding%20Key%209%20%20AP%20Nov%20%20updat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shared\Daily%20report%20needed%20to%20accomplished\PPORF%20Activities\FY2011%20PPROF%20Activities\TS-CN%20Key%200%201%20(PPORF)\Progrees%20Report%20for%20Key%2001\Key%201%20TS-CN%20Progress%20Report%20-April%20'1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shared\Daily%20report%20needed%20to%20accomplished\PPORF%20Activities\FY2011%20PPROF%20Activities\TS-CN%20Key%200%201%20(PPORF)\Progrees%20Report%20for%20Key%2001\Key%201%20TS-CN%20Progress%20Report%20-April%20'1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PRICON\EXCEL\2006%20Budget%20Worksheets%20Nov%2005%20Actua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Users\terrada.PRICON\AppData\Local\Microsoft\Windows\Temporary%20Internet%20Files\Content.Outlook\09CCMSC2\Key%2001%20TS-CN%20Progress%20Report%20(January'12%20Update'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Documents%20and%20Settings\babgale\Local%20Settings\Temporary%20Internet%20Files\OLK70\July\Mfg-operation_Unannounced_July2012_FO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Documents%20and%20Settings\babgale\Local%20Settings\Temporary%20Internet%20Files\OLK70\July\Mfg-operation_Unannounced_July2012_FO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Users\dormarm\AppData\Local\Microsoft\Windows\Temporary%20Internet%20Files\OLKA7D3\Key%201%20FY12%20Co.%20Wide%20AP%20Report%20-Mar%20'1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Documents%20and%20Settings\rmpacheco\Local%20Settings\Temporary%20Internet%20Files\OLK6\ADMIN_QADTricolor%20january%20key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Pad75\Python\Documents%20and%20Settings\EANejal\Local%20Settings\Temporary%20Internet%20Files\OLK6\Ver2002.03&#36899;&#32080;&#12497;&#12483;&#12465;&#12540;&#12472;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pad-a1\LQC%20Files\Documents%20and%20Settings\HondaTestuya\My%20Documents\%3f%3f%3f%3f%3f\%3f%3f%3f%3f%3f%3f%3f%3f\PMI%3f(03.2.2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Documents%20and%20Settings\linadum\Local%20Settings\Temporary%20Internet%20Files\OLK25\WIP%20&amp;%20%20FGS%20Valuation%20200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pad-a4\PPORF\Documents%20and%20Settings\linadum\Local%20Settings\Temporary%20Internet%20Files\OLK25\WIP%20&amp;%20%20FGS%20Valuation%20200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Documents%20and%20Settings\vcrelativo\Local%20Settings\Temporary%20Internet%20Files\OLK3\Key%207%20AP%20TEMPLATE%2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Documents%20and%20Settings\vcrelativo\Local%20Settings\Temporary%20Internet%20Files\OLK3\Key%207%20AP%20TEMPLATE%2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ocuments%20and%20Settings\vcrelativo\Local%20Settings\Temporary%20Internet%20Files\OLK3\Key%207%20AP%20TEMPLATE%2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Users\arnoldm\Desktop\PPORF%20Jan.2011\Documents%20and%20Settings\lcmondok.PRICON.000\Desktop\WIP%20&amp;%20%20FGS%20Valuation%20200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Users\arnoldm\Desktop\PPORF%20Jan.2011\Documents%20and%20Settings\lcmondok.PRICON.000\Desktop\WIP%20&amp;%20%20FGS%20Valuation%2020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EA1%20FO\Purchasing\Projects\PCB_Conveyor\Costing\220604%20Purchasing_Partslist_PCB_conveyo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Y:\EA1%20FO\Purchasing\Projects\PCB_Conveyor\Costing\220604%20Purchasing_Partslist_PCB_conveyo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Pad3\data%20folder\Documents%20and%20Settings\dorymisa\Local%20Settings\Temporary%20Internet%20Files\OLK28\Consolidation%20reporting%20package%20file1%20MAR2004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Pad3\data%20folder\Documents%20and%20Settings\EANejal\Local%20Settings\Temporary%20Internet%20Files\OLK6\Ver2002.03&#36899;&#32080;&#12497;&#12483;&#12465;&#12540;&#12472;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Documents%20and%20Settings\HondaTestuya\My%20Documents\&#12522;&#12540;&#12473;&#38306;&#20418;\&#19977;&#20117;&#20303;&#21451;&#37504;&#12522;&#12540;&#12473;\PMI&#9313;(03.2.2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pad-a1\LQC%20Files\Documents%20and%20Settings\rmpacheco\Local%20Settings\Temporary%20Internet%20Files\OLK6\Key%209%20Action%20Plan%20(Company%20Wide)%20February%202007%20Performanc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KEY%231%20-%20CLEANING%20&amp;%20ORGANIZING%20(4S)\FY2012%20Key%231%20-%204S\FY'12%20Key1%20AP%20Report\Dec%20'12\Key%207%20AP%20TEMPLATE%2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KEY%231%20-%20CLEANING%20&amp;%20ORGANIZING%20(4S)\FY2012%20Key%231%20-%204S\FY'12%20Key1%20AP%20Report\Dec%20'12\Key%207%20AP%20TEMPLATE%2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KEY%231%20-%20CLEANING%20&amp;%20ORGANIZING%20(4S)\FY2012%20Key%231%20-%204S\FY'12%20Key1%20AP%20Report\Dec%20'12\YF%20AP%20%20(K1-K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KEY%231%20-%20CLEANING%20&amp;%20ORGANIZING%20(4S)\FY2012%20Key%231%20-%204S\FY'12%20Key1%20AP%20Report\Dec%20'12\YF%20AP%20%20(K1-K5).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E:\BUSINESS%20PLANNING\Planning%20Session%20FY%202013\Plans%20&amp;%20Programs%20FY%202013\Copy%20of%20CN_Production%20Performance%20Indices_FY2012%20(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Connector%20Solution\FY'13%20CN%20Production%20Thing\FY'13%20Plans%20&amp;%20Programs\Y2012\CN_Labor%20Efficiency_Monitoring_Apr12_adjstd_05281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Users\jpzabaza\Downloads\Key%2011%20SG%20A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_____"/>
      <sheetName val="#REF"/>
      <sheetName val="???????"/>
    </sheetNames>
    <sheetDataSet>
      <sheetData sheetId="0" refreshError="1"/>
      <sheetData sheetId="1" refreshError="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REF!"/>
    </sheetNames>
    <sheetDataSet>
      <sheetData sheetId="0"/>
      <sheetData sheetId="1"/>
      <sheetData sheetId="2" refreshError="1"/>
      <sheetData sheetId="3" refreshError="1"/>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_Data"/>
      <sheetName val="Parts_Master"/>
      <sheetName val="Parts_Master (2)"/>
      <sheetName val="Diff_Data"/>
      <sheetName val="Diff_Data _2_"/>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項目2"/>
      <sheetName val="項目-5小"/>
      <sheetName val="項目-6大"/>
      <sheetName val="項目-6小"/>
      <sheetName val="項目-7大"/>
      <sheetName val="項目-7小"/>
      <sheetName val="項目-9大"/>
      <sheetName val="項目-9小"/>
      <sheetName val="項目-10大"/>
      <sheetName val="項目-10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1"/>
      <sheetName val="Key 14 SG Action Plan -'13"/>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_Data"/>
      <sheetName val="Parts_Master"/>
      <sheetName val="Parts_Master (2)"/>
      <sheetName val="Diff_Data"/>
      <sheetName val="Diff_Data _2_"/>
      <sheetName val="ODW allocation(WK48)"/>
      <sheetName val="Python Demand Yr 2005"/>
      <sheetName val="DEFINITION1"/>
      <sheetName val="PR"/>
      <sheetName val="DEFINITION"/>
      <sheetName val="機構部品ﾘｽﾄ"/>
      <sheetName val="回路部品ﾘｽﾄ"/>
      <sheetName val="#REF!"/>
      <sheetName val="k2 "/>
      <sheetName val="Key 7"/>
      <sheetName val="RULE SA05-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fication form"/>
      <sheetName val="annex1 history changes"/>
      <sheetName val="annex2 procedure"/>
      <sheetName val="annex3 work instruction"/>
      <sheetName val="annex4 cover QC flowchart"/>
      <sheetName val="annex5 QC flowchart form"/>
      <sheetName val="HISTORY OF CHANGES SA05-09"/>
      <sheetName val="RULE SA05-09"/>
      <sheetName val="L3 BOT"/>
      <sheetName val="L7 BOT "/>
      <sheetName val="L11 BOT"/>
      <sheetName val="L11 TOP"/>
      <sheetName val="Sheet1"/>
      <sheetName val="#REF!"/>
      <sheetName val="RULE SA05_09"/>
      <sheetName val="SALES &amp; LOSS COST-EDI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1"/>
      <sheetName val="ＩＮＤＥＸ"/>
      <sheetName val="Attachment(1)"/>
      <sheetName val="Attachment(2)(3)"/>
      <sheetName val="Attachment(4)"/>
      <sheetName val="Attachment(5)"/>
      <sheetName val="Attachment(6)"/>
      <sheetName val="Attachment(7)(R)"/>
      <sheetName val="Attachment(8）"/>
      <sheetName val="Attachment(9)"/>
      <sheetName val="Attachment(10)"/>
      <sheetName val="Attachment(11)"/>
      <sheetName val="Attachment(12)"/>
      <sheetName val="Attachment（13)(14)(15)"/>
      <sheetName val="Attachment(16)"/>
      <sheetName val="Attachment(17)"/>
      <sheetName val="Attachment(18)"/>
      <sheetName val="Attachment(19)"/>
      <sheetName val="Attachment(20)"/>
      <sheetName val="Attachment(R)(20)"/>
      <sheetName val="Attachment(21)"/>
      <sheetName val="Attachment(22)"/>
      <sheetName val="Attachment(23)"/>
      <sheetName val="Attachment(24)"/>
      <sheetName val="Attachment(25)"/>
      <sheetName val="Attach__nt(7)(R)"/>
      <sheetName val="Attach"/>
      <sheetName val="#REF!"/>
      <sheetName val="Key 7"/>
      <sheetName val="k2 "/>
      <sheetName val="Attach_x005f_x0000__x005f_x0000_nt(7)(R)"/>
      <sheetName val="Attach_x0000__x0000_nt(7)(R)"/>
      <sheetName val="Attach??nt(7)(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14 Company Action Plan -'13"/>
      <sheetName val="Data"/>
      <sheetName val="SGA Rating Reference"/>
      <sheetName val="Evaluation Factor"/>
      <sheetName val="CN"/>
      <sheetName val="TS-PPS"/>
      <sheetName val="YF"/>
      <sheetName val="SG"/>
    </sheetNames>
    <sheetDataSet>
      <sheetData sheetId="0"/>
      <sheetData sheetId="1"/>
      <sheetData sheetId="2"/>
      <sheetData sheetId="3"/>
      <sheetData sheetId="4">
        <row r="1">
          <cell r="A1">
            <v>0.95</v>
          </cell>
          <cell r="B1" t="str">
            <v>Action Plan</v>
          </cell>
          <cell r="E1" t="str">
            <v>Division / Section:</v>
          </cell>
          <cell r="H1" t="str">
            <v>CN Section</v>
          </cell>
          <cell r="S1" t="str">
            <v>Ref. No.:</v>
          </cell>
          <cell r="U1">
            <v>1</v>
          </cell>
          <cell r="W1" t="str">
            <v>Approved (sign)</v>
          </cell>
        </row>
        <row r="2">
          <cell r="A2" t="str">
            <v>Key 14</v>
          </cell>
          <cell r="B2" t="str">
            <v>Theme</v>
          </cell>
          <cell r="E2" t="str">
            <v>Responsible Person</v>
          </cell>
          <cell r="I2" t="str">
            <v>Team Members</v>
          </cell>
          <cell r="S2" t="str">
            <v>Preparation:</v>
          </cell>
          <cell r="U2">
            <v>41316</v>
          </cell>
          <cell r="W2" t="str">
            <v>JCP</v>
          </cell>
        </row>
        <row r="3">
          <cell r="B3" t="str">
            <v>Empowering workers to make improvements</v>
          </cell>
          <cell r="E3" t="str">
            <v>Ram A</v>
          </cell>
          <cell r="I3" t="str">
            <v>Paul B, Eric S, Miko E, Alex S, Cecille A, Helen V, Jo C</v>
          </cell>
          <cell r="S3" t="str">
            <v>Approval:</v>
          </cell>
          <cell r="U3" t="str">
            <v>JCV/ MIC</v>
          </cell>
        </row>
        <row r="4">
          <cell r="A4" t="str">
            <v>Aiming for Improvement</v>
          </cell>
          <cell r="B4" t="str">
            <v>Slogan</v>
          </cell>
          <cell r="E4" t="str">
            <v>Area</v>
          </cell>
          <cell r="I4" t="str">
            <v>Objective</v>
          </cell>
          <cell r="S4" t="str">
            <v>Evaluation Factor 1: Cost Reduction</v>
          </cell>
          <cell r="U4" t="str">
            <v>Evaluation Factor 2: In-house Fabrication</v>
          </cell>
          <cell r="W4" t="str">
            <v>Evaluation Factor 3: SGA Projects</v>
          </cell>
          <cell r="Y4" t="str">
            <v>Evaluation Factor 4: Localization</v>
          </cell>
          <cell r="AA4" t="str">
            <v>Evaluation Factor 5: Buss Process Imp</v>
          </cell>
        </row>
        <row r="5">
          <cell r="B5" t="str">
            <v>Idea realization through improvement corners</v>
          </cell>
          <cell r="E5" t="str">
            <v>CN Section</v>
          </cell>
          <cell r="I5" t="str">
            <v>1. Cost reduction (OSE/IDM/FSE/R&amp;M) of 15%2. Internal fabrication of 2 per month or 24 per year3. SGA (4proj / year / team)4. Localization (based on Plans and Programs target)</v>
          </cell>
          <cell r="S5" t="str">
            <v>FY 2012</v>
          </cell>
          <cell r="T5" t="str">
            <v>FY 2013</v>
          </cell>
          <cell r="U5" t="str">
            <v>FY 2012</v>
          </cell>
          <cell r="V5" t="str">
            <v>FY 2013</v>
          </cell>
          <cell r="W5" t="str">
            <v>FY 2012</v>
          </cell>
          <cell r="X5" t="str">
            <v>FY 2013</v>
          </cell>
          <cell r="Y5" t="str">
            <v>FY 2012</v>
          </cell>
          <cell r="Z5" t="str">
            <v>FY 2013</v>
          </cell>
          <cell r="AA5" t="str">
            <v>FY 2012</v>
          </cell>
          <cell r="AB5" t="str">
            <v>FY 2013</v>
          </cell>
        </row>
        <row r="6">
          <cell r="S6">
            <v>3.6200000000000003E-2</v>
          </cell>
          <cell r="T6">
            <v>3.0800000000000001E-2</v>
          </cell>
          <cell r="U6" t="str">
            <v>-</v>
          </cell>
          <cell r="V6">
            <v>24</v>
          </cell>
          <cell r="W6" t="str">
            <v>-</v>
          </cell>
          <cell r="X6">
            <v>6</v>
          </cell>
          <cell r="Y6" t="str">
            <v>-</v>
          </cell>
          <cell r="Z6">
            <v>46</v>
          </cell>
          <cell r="AA6" t="str">
            <v>-</v>
          </cell>
          <cell r="AB6">
            <v>2</v>
          </cell>
        </row>
        <row r="8">
          <cell r="A8" t="str">
            <v>No.</v>
          </cell>
          <cell r="B8" t="str">
            <v xml:space="preserve">Action </v>
          </cell>
          <cell r="E8" t="str">
            <v>Person</v>
          </cell>
          <cell r="F8" t="str">
            <v>Apr</v>
          </cell>
          <cell r="G8" t="str">
            <v>May</v>
          </cell>
          <cell r="H8" t="str">
            <v>Jun</v>
          </cell>
          <cell r="I8" t="str">
            <v>Jul</v>
          </cell>
          <cell r="J8" t="str">
            <v>Aug</v>
          </cell>
          <cell r="K8" t="str">
            <v>Sep</v>
          </cell>
          <cell r="L8" t="str">
            <v>Oct</v>
          </cell>
          <cell r="M8" t="str">
            <v>Nov</v>
          </cell>
          <cell r="N8" t="str">
            <v>Dec</v>
          </cell>
          <cell r="O8" t="str">
            <v>Jan</v>
          </cell>
          <cell r="P8" t="str">
            <v>Feb</v>
          </cell>
          <cell r="Q8" t="str">
            <v>Mar</v>
          </cell>
          <cell r="S8" t="str">
            <v>Follow-up by Responsible Person</v>
          </cell>
          <cell r="W8" t="str">
            <v>Comments from Team Leader</v>
          </cell>
        </row>
        <row r="9">
          <cell r="A9">
            <v>1</v>
          </cell>
          <cell r="B9" t="str">
            <v>Target setting for new evaluation factors</v>
          </cell>
          <cell r="E9" t="str">
            <v>K14 Group</v>
          </cell>
          <cell r="S9" t="str">
            <v>Aug</v>
          </cell>
          <cell r="T9" t="str">
            <v>add'l 20 parts being localized; 7 items were internally fabricated (re-grinding/parts modification)</v>
          </cell>
          <cell r="W9" t="str">
            <v>SCR/JCV</v>
          </cell>
          <cell r="X9" t="str">
            <v>Intensify SGA projects progress to address needed improvements in the line</v>
          </cell>
        </row>
        <row r="10">
          <cell r="A10">
            <v>2</v>
          </cell>
          <cell r="B10" t="str">
            <v>Monthly awarding of "Best Kaizen Project" per Section</v>
          </cell>
          <cell r="E10" t="str">
            <v>K14 Group</v>
          </cell>
          <cell r="S10" t="str">
            <v>Sep</v>
          </cell>
          <cell r="T10" t="str">
            <v>Additiional of 9 parts were localized; 5 items were locally fabricated(re-grinding/parts modification)</v>
          </cell>
          <cell r="W10" t="str">
            <v>JCV</v>
          </cell>
          <cell r="X10" t="str">
            <v xml:space="preserve">In-house fabrication was mobilized achieving 93% of the target for October. Intensify further completion of SGA projects' technical reports. </v>
          </cell>
        </row>
        <row r="11">
          <cell r="A11">
            <v>3</v>
          </cell>
          <cell r="B11" t="str">
            <v>Benchmarking of Kaizen project thru ASEMEP</v>
          </cell>
          <cell r="E11" t="str">
            <v>K14 Group</v>
          </cell>
          <cell r="S11" t="str">
            <v>Oct</v>
          </cell>
          <cell r="T11" t="str">
            <v>13 items were fabricated in-house for Sept</v>
          </cell>
          <cell r="W11" t="str">
            <v>JCV</v>
          </cell>
          <cell r="X11" t="str">
            <v>Corrected target no. of SGA projects from Team 2 (PPC WH) and add evaluation factor "business process improvement" from PPC WH also</v>
          </cell>
        </row>
        <row r="12">
          <cell r="A12">
            <v>4</v>
          </cell>
          <cell r="B12" t="str">
            <v>Attend exhibit (additional suppliers for localization project)</v>
          </cell>
          <cell r="E12" t="str">
            <v>K14 Group</v>
          </cell>
          <cell r="S12" t="str">
            <v>Nov</v>
          </cell>
          <cell r="T12" t="str">
            <v>14 items were fabricated in-house for Sept</v>
          </cell>
          <cell r="W12" t="str">
            <v>JCV</v>
          </cell>
          <cell r="X12" t="str">
            <v>Corrected target no. of SGA projects from Team 2 (PPC WH) and add evaluation factor "business process improvement" from PPC WH also</v>
          </cell>
        </row>
        <row r="13">
          <cell r="A13">
            <v>5</v>
          </cell>
          <cell r="B13" t="str">
            <v>Centralization of OSE/FSE/IDM</v>
          </cell>
          <cell r="E13" t="str">
            <v>K14 Group</v>
          </cell>
          <cell r="S13" t="str">
            <v>Dec</v>
          </cell>
          <cell r="T13" t="str">
            <v>Follow up completion of batch 3 SGA projects</v>
          </cell>
          <cell r="W13" t="str">
            <v>JCV</v>
          </cell>
          <cell r="X13" t="str">
            <v>Corrected target no. of SGA projects from Team 2 (PPC WH) and add evaluation factor "business process improvement" from PPC WH also</v>
          </cell>
        </row>
        <row r="14">
          <cell r="A14">
            <v>6</v>
          </cell>
          <cell r="B14" t="str">
            <v>Launching of YB In-house fabrication System</v>
          </cell>
          <cell r="E14" t="str">
            <v>K14 Group</v>
          </cell>
          <cell r="S14" t="str">
            <v>Jan</v>
          </cell>
          <cell r="T14" t="str">
            <v>Start up of batch 4 project from PPC team</v>
          </cell>
          <cell r="W14" t="str">
            <v>JCV</v>
          </cell>
          <cell r="X14" t="str">
            <v>Start identifying machine parts that we will target for localication for FY 2014. Identify the list of CN manual product lines that will undergo process improvement, proper line balancing with no inventory in between processes.</v>
          </cell>
        </row>
        <row r="15">
          <cell r="A15">
            <v>7</v>
          </cell>
          <cell r="B15" t="str">
            <v>Implementation of Kaizen Card</v>
          </cell>
          <cell r="E15" t="str">
            <v>K14 Group</v>
          </cell>
        </row>
        <row r="16">
          <cell r="A16">
            <v>8</v>
          </cell>
          <cell r="B16" t="str">
            <v>Quarter review of Kaizen Card Implementation</v>
          </cell>
          <cell r="E16" t="str">
            <v>K14 Group</v>
          </cell>
        </row>
        <row r="17">
          <cell r="A17">
            <v>9</v>
          </cell>
          <cell r="B17" t="str">
            <v xml:space="preserve">Launching of SGA </v>
          </cell>
          <cell r="E17" t="str">
            <v>K14 Group</v>
          </cell>
        </row>
        <row r="18">
          <cell r="A18">
            <v>10</v>
          </cell>
          <cell r="B18" t="str">
            <v>Awarding of Best SGA Projects (Quarterly)</v>
          </cell>
          <cell r="E18" t="str">
            <v>K14 Group</v>
          </cell>
        </row>
        <row r="19">
          <cell r="A19">
            <v>11</v>
          </cell>
        </row>
        <row r="20">
          <cell r="A20">
            <v>12</v>
          </cell>
        </row>
      </sheetData>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回路部品ﾘｽﾄ"/>
      <sheetName val="機構部品ﾘｽﾄ"/>
      <sheetName val="#REF!"/>
      <sheetName val="RULE SA05-09"/>
      <sheetName val="DEFINITION1"/>
      <sheetName val="Table1"/>
      <sheetName val="k2 "/>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回路部品ﾘｽﾄ"/>
      <sheetName val="機構部品ﾘｽﾄ"/>
      <sheetName val="#REF!"/>
      <sheetName val="Key7"/>
      <sheetName val="Table1"/>
      <sheetName val="Module1"/>
      <sheetName val="DEFINITION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1"/>
      <sheetName val="ＩＮＤＥＸ"/>
      <sheetName val="Attachment(1)"/>
      <sheetName val="Attachment(2)(3)"/>
      <sheetName val="Attachment(4)"/>
      <sheetName val="Attachment(5)"/>
      <sheetName val="Attachment(6)"/>
      <sheetName val="Attachment(7)(R)"/>
      <sheetName val="Attachment(8）"/>
      <sheetName val="Attachment(9)"/>
      <sheetName val="Attachment(10)"/>
      <sheetName val="Attachment(11)"/>
      <sheetName val="Attachment(12)"/>
      <sheetName val="Attachment（13)(14)(15)"/>
      <sheetName val="Attachment(16)"/>
      <sheetName val="Attachment(17)"/>
      <sheetName val="Attachment(18)"/>
      <sheetName val="Attachment(19)"/>
      <sheetName val="Attachment(20)"/>
      <sheetName val="Attachment(R)(20)"/>
      <sheetName val="Attachment(21)"/>
      <sheetName val="Attachment(22)"/>
      <sheetName val="Attachment(23)"/>
      <sheetName val="Attachment(24)"/>
      <sheetName val="Attachment(25)"/>
      <sheetName val="#REF!"/>
      <sheetName val="k2 "/>
      <sheetName val="Key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1"/>
      <sheetName val="ＩＮＤＥＸ"/>
      <sheetName val="Attachment(1)"/>
      <sheetName val="Attachment(2)(3)"/>
      <sheetName val="Attachment(4)"/>
      <sheetName val="Attachment(5)"/>
      <sheetName val="Attachment(6)"/>
      <sheetName val="Attachment(7)(R)"/>
      <sheetName val="Attachment(8）"/>
      <sheetName val="Attachment(9)"/>
      <sheetName val="Attachment(10)"/>
      <sheetName val="Attachment(11)"/>
      <sheetName val="Attachment(12)"/>
      <sheetName val="Attachment（13)(14)(15)"/>
      <sheetName val="Attachment(16)"/>
      <sheetName val="Attachment(17)"/>
      <sheetName val="Attachment(18)"/>
      <sheetName val="Attachment(19)"/>
      <sheetName val="Attachment(20)"/>
      <sheetName val="Attachment(R)(20)"/>
      <sheetName val="Attachment(21)"/>
      <sheetName val="Attachment(22)"/>
      <sheetName val="Attachment(23)"/>
      <sheetName val="Attachment(24)"/>
      <sheetName val="Attachment(25)"/>
      <sheetName val="RULE SA05-09"/>
      <sheetName val="Table1"/>
      <sheetName val="Module1"/>
      <sheetName val="DEFINITION"/>
      <sheetName val="PR"/>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FGS Valuation"/>
      <sheetName val="WIP-FGS Valuation (2)"/>
      <sheetName val="FOH Alloc.Bgt Sales06 (2)"/>
      <sheetName val="#REF"/>
      <sheetName val="#REF!"/>
      <sheetName val="ACTION PLAN"/>
    </sheetNames>
    <sheetDataSet>
      <sheetData sheetId="0"/>
      <sheetData sheetId="1"/>
      <sheetData sheetId="2"/>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Key 14 SG Action Plan -'13"/>
      <sheetName val="別紙1－1測定データ"/>
      <sheetName val="別紙1－2ヒストグラム"/>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Key 14 SG Action Plan -'13"/>
      <sheetName val="別紙1－1測定データ"/>
      <sheetName val="別紙1－2ヒストグラム"/>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S1-1"/>
      <sheetName val="S1-2"/>
      <sheetName val="S2"/>
      <sheetName val="S3"/>
      <sheetName val="S4"/>
      <sheetName val="S5-1"/>
      <sheetName val="S5-2"/>
      <sheetName val="S6-1"/>
      <sheetName val="S6-2"/>
      <sheetName val="S6-3"/>
      <sheetName val="S6-4"/>
      <sheetName val="S6-5"/>
      <sheetName val="S8-1"/>
      <sheetName val="S8-2"/>
      <sheetName val="Table"/>
      <sheetName val="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2">
          <cell r="C2">
            <v>38077</v>
          </cell>
        </row>
        <row r="4">
          <cell r="B4" t="str">
            <v/>
          </cell>
          <cell r="C4" t="str">
            <v>PRICON</v>
          </cell>
        </row>
        <row r="5">
          <cell r="B5" t="str">
            <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Parts Prep-OB"/>
      <sheetName val="Parts Prep"/>
      <sheetName val="rev00-OB"/>
      <sheetName val="rev00"/>
      <sheetName val="EOL-OB"/>
      <sheetName val=" EOL"/>
      <sheetName val="prop1-OB"/>
      <sheetName val="prop1"/>
      <sheetName val="prop2-OB"/>
      <sheetName val="prop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
    </sheetNames>
    <sheetDataSet>
      <sheetData sheetId="0" refreshError="1">
        <row r="1">
          <cell r="A1" t="str">
            <v>0000</v>
          </cell>
          <cell r="B1" t="str">
            <v>???</v>
          </cell>
        </row>
        <row r="2">
          <cell r="A2">
            <v>1000</v>
          </cell>
          <cell r="B2" t="str">
            <v>??</v>
          </cell>
        </row>
        <row r="3">
          <cell r="A3">
            <v>1010</v>
          </cell>
          <cell r="B3" t="str">
            <v>??</v>
          </cell>
        </row>
        <row r="4">
          <cell r="A4">
            <v>1011</v>
          </cell>
          <cell r="B4" t="str">
            <v>??(????????</v>
          </cell>
        </row>
        <row r="5">
          <cell r="A5">
            <v>1020</v>
          </cell>
          <cell r="B5" t="str">
            <v>????</v>
          </cell>
        </row>
        <row r="6">
          <cell r="A6">
            <v>1021</v>
          </cell>
          <cell r="B6" t="str">
            <v>??????</v>
          </cell>
        </row>
        <row r="7">
          <cell r="A7">
            <v>1022</v>
          </cell>
          <cell r="B7" t="str">
            <v>?????</v>
          </cell>
        </row>
        <row r="8">
          <cell r="A8">
            <v>1023</v>
          </cell>
          <cell r="B8" t="str">
            <v>???????</v>
          </cell>
        </row>
        <row r="9">
          <cell r="A9">
            <v>1040</v>
          </cell>
          <cell r="B9" t="str">
            <v>???????</v>
          </cell>
        </row>
        <row r="10">
          <cell r="A10">
            <v>1041</v>
          </cell>
          <cell r="B10" t="str">
            <v>?????????</v>
          </cell>
        </row>
        <row r="11">
          <cell r="A11">
            <v>1042</v>
          </cell>
          <cell r="B11" t="str">
            <v>????????</v>
          </cell>
        </row>
        <row r="12">
          <cell r="A12">
            <v>1043</v>
          </cell>
          <cell r="B12" t="str">
            <v>??????????</v>
          </cell>
        </row>
        <row r="13">
          <cell r="A13">
            <v>1050</v>
          </cell>
          <cell r="B13" t="str">
            <v>???</v>
          </cell>
        </row>
        <row r="14">
          <cell r="A14">
            <v>1051</v>
          </cell>
          <cell r="B14" t="str">
            <v>?????</v>
          </cell>
        </row>
        <row r="15">
          <cell r="A15">
            <v>1052</v>
          </cell>
          <cell r="B15" t="str">
            <v>????</v>
          </cell>
        </row>
        <row r="16">
          <cell r="A16">
            <v>1053</v>
          </cell>
          <cell r="B16" t="str">
            <v>??????</v>
          </cell>
        </row>
        <row r="17">
          <cell r="A17">
            <v>1060</v>
          </cell>
          <cell r="B17" t="str">
            <v>????</v>
          </cell>
        </row>
        <row r="18">
          <cell r="A18">
            <v>1061</v>
          </cell>
          <cell r="B18" t="str">
            <v>?????????????</v>
          </cell>
        </row>
        <row r="19">
          <cell r="A19">
            <v>1080</v>
          </cell>
          <cell r="B19" t="str">
            <v>?????</v>
          </cell>
        </row>
        <row r="20">
          <cell r="A20">
            <v>1090</v>
          </cell>
          <cell r="B20" t="str">
            <v>???????</v>
          </cell>
        </row>
        <row r="21">
          <cell r="A21">
            <v>1100</v>
          </cell>
          <cell r="B21" t="str">
            <v>???</v>
          </cell>
        </row>
        <row r="22">
          <cell r="A22">
            <v>1110</v>
          </cell>
          <cell r="B22" t="str">
            <v>???</v>
          </cell>
        </row>
        <row r="23">
          <cell r="A23">
            <v>1115</v>
          </cell>
          <cell r="B23" t="str">
            <v>???</v>
          </cell>
        </row>
        <row r="24">
          <cell r="A24">
            <v>1120</v>
          </cell>
          <cell r="B24" t="str">
            <v>???</v>
          </cell>
        </row>
        <row r="25">
          <cell r="A25">
            <v>1121</v>
          </cell>
          <cell r="B25" t="str">
            <v>?????</v>
          </cell>
        </row>
        <row r="26">
          <cell r="A26">
            <v>1122</v>
          </cell>
          <cell r="B26" t="str">
            <v>????</v>
          </cell>
        </row>
        <row r="27">
          <cell r="A27">
            <v>1123</v>
          </cell>
          <cell r="B27" t="str">
            <v>??????</v>
          </cell>
        </row>
        <row r="28">
          <cell r="A28">
            <v>1130</v>
          </cell>
          <cell r="B28" t="str">
            <v>????</v>
          </cell>
        </row>
        <row r="29">
          <cell r="A29">
            <v>1131</v>
          </cell>
          <cell r="B29" t="str">
            <v>??????</v>
          </cell>
        </row>
        <row r="30">
          <cell r="A30">
            <v>1132</v>
          </cell>
          <cell r="B30" t="str">
            <v>?????</v>
          </cell>
        </row>
        <row r="31">
          <cell r="A31">
            <v>1133</v>
          </cell>
          <cell r="B31" t="str">
            <v>???????</v>
          </cell>
        </row>
        <row r="32">
          <cell r="A32">
            <v>1140</v>
          </cell>
          <cell r="B32" t="str">
            <v>????</v>
          </cell>
        </row>
        <row r="33">
          <cell r="A33">
            <v>1141</v>
          </cell>
          <cell r="B33" t="str">
            <v>??????</v>
          </cell>
        </row>
        <row r="34">
          <cell r="A34">
            <v>1142</v>
          </cell>
          <cell r="B34" t="str">
            <v>?????</v>
          </cell>
        </row>
        <row r="35">
          <cell r="A35">
            <v>1143</v>
          </cell>
          <cell r="B35" t="str">
            <v>???????</v>
          </cell>
        </row>
        <row r="36">
          <cell r="A36">
            <v>1150</v>
          </cell>
          <cell r="B36" t="str">
            <v>?????</v>
          </cell>
        </row>
        <row r="37">
          <cell r="A37">
            <v>1160</v>
          </cell>
          <cell r="B37" t="str">
            <v>????</v>
          </cell>
        </row>
        <row r="38">
          <cell r="A38">
            <v>1161</v>
          </cell>
          <cell r="B38" t="str">
            <v>??????</v>
          </cell>
        </row>
        <row r="39">
          <cell r="A39">
            <v>1162</v>
          </cell>
          <cell r="B39" t="str">
            <v>?????</v>
          </cell>
        </row>
        <row r="40">
          <cell r="A40">
            <v>1163</v>
          </cell>
          <cell r="B40" t="str">
            <v>???????</v>
          </cell>
        </row>
        <row r="41">
          <cell r="A41">
            <v>1170</v>
          </cell>
          <cell r="B41" t="str">
            <v>?????</v>
          </cell>
        </row>
        <row r="42">
          <cell r="A42">
            <v>1171</v>
          </cell>
          <cell r="B42" t="str">
            <v>???????</v>
          </cell>
        </row>
        <row r="43">
          <cell r="A43">
            <v>1172</v>
          </cell>
          <cell r="B43" t="str">
            <v>??????</v>
          </cell>
        </row>
        <row r="44">
          <cell r="A44">
            <v>1173</v>
          </cell>
          <cell r="B44" t="str">
            <v>????????</v>
          </cell>
        </row>
        <row r="45">
          <cell r="A45">
            <v>1180</v>
          </cell>
          <cell r="B45" t="str">
            <v>???????????</v>
          </cell>
        </row>
        <row r="46">
          <cell r="A46">
            <v>1181</v>
          </cell>
          <cell r="B46" t="str">
            <v>?????????????</v>
          </cell>
        </row>
        <row r="47">
          <cell r="A47">
            <v>1182</v>
          </cell>
          <cell r="B47" t="str">
            <v>????????????</v>
          </cell>
        </row>
        <row r="48">
          <cell r="A48">
            <v>1183</v>
          </cell>
          <cell r="B48" t="str">
            <v>???????????</v>
          </cell>
        </row>
        <row r="49">
          <cell r="A49">
            <v>1190</v>
          </cell>
          <cell r="B49" t="str">
            <v>???</v>
          </cell>
        </row>
        <row r="50">
          <cell r="A50">
            <v>1200</v>
          </cell>
          <cell r="B50" t="str">
            <v>???</v>
          </cell>
        </row>
        <row r="51">
          <cell r="A51">
            <v>1201</v>
          </cell>
          <cell r="B51" t="str">
            <v>?????</v>
          </cell>
        </row>
        <row r="52">
          <cell r="A52">
            <v>1202</v>
          </cell>
          <cell r="B52" t="str">
            <v>????</v>
          </cell>
        </row>
        <row r="53">
          <cell r="A53">
            <v>1203</v>
          </cell>
          <cell r="B53" t="str">
            <v>??????</v>
          </cell>
        </row>
        <row r="54">
          <cell r="A54">
            <v>1210</v>
          </cell>
          <cell r="B54" t="str">
            <v>???</v>
          </cell>
        </row>
        <row r="55">
          <cell r="A55">
            <v>1220</v>
          </cell>
          <cell r="B55" t="str">
            <v>??????</v>
          </cell>
        </row>
        <row r="56">
          <cell r="A56">
            <v>1230</v>
          </cell>
          <cell r="B56" t="str">
            <v>???????</v>
          </cell>
        </row>
        <row r="57">
          <cell r="A57">
            <v>1231</v>
          </cell>
          <cell r="B57" t="str">
            <v>?????????</v>
          </cell>
        </row>
        <row r="58">
          <cell r="A58">
            <v>1232</v>
          </cell>
          <cell r="B58" t="str">
            <v>????????</v>
          </cell>
        </row>
        <row r="59">
          <cell r="A59">
            <v>1233</v>
          </cell>
          <cell r="B59" t="str">
            <v>??????????</v>
          </cell>
        </row>
        <row r="60">
          <cell r="A60">
            <v>1240</v>
          </cell>
          <cell r="B60" t="str">
            <v>?????</v>
          </cell>
        </row>
        <row r="61">
          <cell r="A61">
            <v>1241</v>
          </cell>
          <cell r="B61" t="str">
            <v>???????</v>
          </cell>
        </row>
        <row r="62">
          <cell r="A62">
            <v>1242</v>
          </cell>
          <cell r="B62" t="str">
            <v>??????</v>
          </cell>
        </row>
        <row r="63">
          <cell r="A63">
            <v>1243</v>
          </cell>
          <cell r="B63" t="str">
            <v>????????</v>
          </cell>
        </row>
        <row r="64">
          <cell r="A64">
            <v>1250</v>
          </cell>
          <cell r="B64" t="str">
            <v>??????</v>
          </cell>
        </row>
        <row r="65">
          <cell r="A65">
            <v>1260</v>
          </cell>
          <cell r="B65" t="str">
            <v>????????</v>
          </cell>
        </row>
        <row r="66">
          <cell r="A66">
            <v>1270</v>
          </cell>
          <cell r="B66" t="str">
            <v>?????????</v>
          </cell>
        </row>
        <row r="67">
          <cell r="A67">
            <v>1280</v>
          </cell>
          <cell r="B67" t="str">
            <v>????</v>
          </cell>
        </row>
        <row r="68">
          <cell r="A68">
            <v>1990</v>
          </cell>
          <cell r="B68" t="str">
            <v>????????</v>
          </cell>
        </row>
        <row r="69">
          <cell r="A69">
            <v>2000</v>
          </cell>
          <cell r="B69" t="str">
            <v>??????</v>
          </cell>
        </row>
        <row r="70">
          <cell r="A70">
            <v>2010</v>
          </cell>
          <cell r="B70" t="str">
            <v>?????????</v>
          </cell>
        </row>
        <row r="71">
          <cell r="A71">
            <v>2020</v>
          </cell>
          <cell r="B71" t="str">
            <v>????</v>
          </cell>
        </row>
        <row r="72">
          <cell r="A72">
            <v>2030</v>
          </cell>
          <cell r="B72" t="str">
            <v>???????</v>
          </cell>
        </row>
        <row r="73">
          <cell r="A73">
            <v>2040</v>
          </cell>
          <cell r="B73" t="str">
            <v>??????????</v>
          </cell>
        </row>
        <row r="74">
          <cell r="A74">
            <v>2050</v>
          </cell>
          <cell r="B74" t="str">
            <v>?????</v>
          </cell>
        </row>
        <row r="75">
          <cell r="A75">
            <v>2060</v>
          </cell>
          <cell r="B75" t="str">
            <v>????????</v>
          </cell>
        </row>
        <row r="76">
          <cell r="A76">
            <v>2070</v>
          </cell>
          <cell r="B76" t="str">
            <v>???????????</v>
          </cell>
        </row>
        <row r="77">
          <cell r="A77">
            <v>2080</v>
          </cell>
          <cell r="B77" t="str">
            <v>??????</v>
          </cell>
        </row>
        <row r="78">
          <cell r="A78">
            <v>2090</v>
          </cell>
          <cell r="B78" t="str">
            <v>?????????</v>
          </cell>
        </row>
        <row r="79">
          <cell r="A79">
            <v>2100</v>
          </cell>
          <cell r="B79" t="str">
            <v>????????????</v>
          </cell>
        </row>
        <row r="80">
          <cell r="A80">
            <v>2110</v>
          </cell>
          <cell r="B80" t="str">
            <v>???????</v>
          </cell>
        </row>
        <row r="81">
          <cell r="A81">
            <v>2120</v>
          </cell>
          <cell r="B81" t="str">
            <v>??????????</v>
          </cell>
        </row>
        <row r="82">
          <cell r="A82">
            <v>2130</v>
          </cell>
          <cell r="B82" t="str">
            <v>?????????????</v>
          </cell>
        </row>
        <row r="83">
          <cell r="A83">
            <v>2140</v>
          </cell>
          <cell r="B83" t="str">
            <v>????????</v>
          </cell>
        </row>
        <row r="84">
          <cell r="A84">
            <v>2150</v>
          </cell>
          <cell r="B84" t="str">
            <v>??</v>
          </cell>
        </row>
        <row r="85">
          <cell r="A85">
            <v>2160</v>
          </cell>
          <cell r="B85" t="str">
            <v>?????</v>
          </cell>
        </row>
        <row r="86">
          <cell r="A86">
            <v>2190</v>
          </cell>
          <cell r="B86" t="str">
            <v>?????????)</v>
          </cell>
        </row>
        <row r="87">
          <cell r="A87">
            <v>2200</v>
          </cell>
          <cell r="B87" t="str">
            <v>???</v>
          </cell>
        </row>
        <row r="88">
          <cell r="A88">
            <v>2210</v>
          </cell>
          <cell r="B88" t="str">
            <v>???</v>
          </cell>
        </row>
        <row r="89">
          <cell r="A89">
            <v>2220</v>
          </cell>
          <cell r="B89" t="str">
            <v>??????</v>
          </cell>
        </row>
        <row r="90">
          <cell r="A90">
            <v>2225</v>
          </cell>
          <cell r="B90" t="str">
            <v>??????</v>
          </cell>
        </row>
        <row r="91">
          <cell r="A91">
            <v>2230</v>
          </cell>
          <cell r="B91" t="str">
            <v>?????????</v>
          </cell>
        </row>
        <row r="92">
          <cell r="A92">
            <v>2290</v>
          </cell>
          <cell r="B92" t="str">
            <v>(??????)</v>
          </cell>
        </row>
        <row r="93">
          <cell r="A93">
            <v>2300</v>
          </cell>
          <cell r="B93" t="str">
            <v>??????</v>
          </cell>
        </row>
        <row r="94">
          <cell r="A94">
            <v>2310</v>
          </cell>
          <cell r="B94" t="str">
            <v>??????</v>
          </cell>
        </row>
        <row r="95">
          <cell r="A95">
            <v>2311</v>
          </cell>
          <cell r="B95" t="str">
            <v>????????</v>
          </cell>
        </row>
        <row r="96">
          <cell r="A96">
            <v>2312</v>
          </cell>
          <cell r="B96" t="str">
            <v>???????</v>
          </cell>
        </row>
        <row r="97">
          <cell r="A97">
            <v>2313</v>
          </cell>
          <cell r="B97" t="str">
            <v>?????????</v>
          </cell>
        </row>
        <row r="98">
          <cell r="A98">
            <v>2320</v>
          </cell>
          <cell r="B98" t="str">
            <v>???</v>
          </cell>
        </row>
        <row r="99">
          <cell r="A99">
            <v>2321</v>
          </cell>
          <cell r="B99" t="str">
            <v>?????</v>
          </cell>
        </row>
        <row r="100">
          <cell r="A100">
            <v>2322</v>
          </cell>
          <cell r="B100" t="str">
            <v>????</v>
          </cell>
        </row>
        <row r="101">
          <cell r="A101">
            <v>2323</v>
          </cell>
          <cell r="B101" t="str">
            <v>??????</v>
          </cell>
        </row>
        <row r="102">
          <cell r="A102">
            <v>2330</v>
          </cell>
          <cell r="B102" t="str">
            <v>?????</v>
          </cell>
        </row>
        <row r="103">
          <cell r="A103">
            <v>2331</v>
          </cell>
          <cell r="B103" t="str">
            <v>???????</v>
          </cell>
        </row>
        <row r="104">
          <cell r="A104">
            <v>2332</v>
          </cell>
          <cell r="B104" t="str">
            <v>??????</v>
          </cell>
        </row>
        <row r="105">
          <cell r="A105">
            <v>2333</v>
          </cell>
          <cell r="B105" t="str">
            <v>????????</v>
          </cell>
        </row>
        <row r="106">
          <cell r="A106">
            <v>2340</v>
          </cell>
          <cell r="B106" t="str">
            <v>??????</v>
          </cell>
        </row>
        <row r="107">
          <cell r="A107">
            <v>2341</v>
          </cell>
          <cell r="B107" t="str">
            <v>????????</v>
          </cell>
        </row>
        <row r="108">
          <cell r="A108">
            <v>2342</v>
          </cell>
          <cell r="B108" t="str">
            <v>???????</v>
          </cell>
        </row>
        <row r="109">
          <cell r="A109">
            <v>2343</v>
          </cell>
          <cell r="B109" t="str">
            <v>?????????</v>
          </cell>
        </row>
        <row r="110">
          <cell r="A110">
            <v>2350</v>
          </cell>
          <cell r="B110" t="str">
            <v>?????</v>
          </cell>
        </row>
        <row r="111">
          <cell r="A111">
            <v>2360</v>
          </cell>
          <cell r="B111" t="str">
            <v>?????</v>
          </cell>
        </row>
        <row r="112">
          <cell r="A112">
            <v>2370</v>
          </cell>
          <cell r="B112" t="str">
            <v>??????</v>
          </cell>
        </row>
        <row r="113">
          <cell r="A113">
            <v>2390</v>
          </cell>
          <cell r="B113" t="str">
            <v>??????</v>
          </cell>
        </row>
        <row r="114">
          <cell r="A114">
            <v>2400</v>
          </cell>
          <cell r="B114" t="str">
            <v>?????</v>
          </cell>
        </row>
        <row r="115">
          <cell r="A115">
            <v>2410</v>
          </cell>
          <cell r="B115" t="str">
            <v>??????</v>
          </cell>
        </row>
        <row r="116">
          <cell r="A116">
            <v>2415</v>
          </cell>
          <cell r="B116" t="str">
            <v>????????</v>
          </cell>
        </row>
        <row r="117">
          <cell r="A117">
            <v>2420</v>
          </cell>
          <cell r="B117" t="str">
            <v>???????</v>
          </cell>
        </row>
        <row r="118">
          <cell r="A118">
            <v>2421</v>
          </cell>
          <cell r="B118" t="str">
            <v>?????????</v>
          </cell>
        </row>
        <row r="119">
          <cell r="A119">
            <v>2422</v>
          </cell>
          <cell r="B119" t="str">
            <v>????????</v>
          </cell>
        </row>
        <row r="120">
          <cell r="A120">
            <v>2423</v>
          </cell>
          <cell r="B120" t="str">
            <v>??????????</v>
          </cell>
        </row>
        <row r="121">
          <cell r="A121">
            <v>2490</v>
          </cell>
          <cell r="B121" t="str">
            <v>???????????)</v>
          </cell>
        </row>
        <row r="122">
          <cell r="A122">
            <v>2499</v>
          </cell>
          <cell r="B122" t="str">
            <v>????????</v>
          </cell>
        </row>
        <row r="123">
          <cell r="A123">
            <v>2500</v>
          </cell>
          <cell r="B123" t="str">
            <v>?????</v>
          </cell>
        </row>
        <row r="124">
          <cell r="A124">
            <v>2510</v>
          </cell>
          <cell r="B124" t="str">
            <v>?????</v>
          </cell>
        </row>
        <row r="125">
          <cell r="A125">
            <v>2520</v>
          </cell>
          <cell r="B125" t="str">
            <v>??????</v>
          </cell>
        </row>
        <row r="126">
          <cell r="A126">
            <v>2530</v>
          </cell>
          <cell r="B126" t="str">
            <v>?????</v>
          </cell>
        </row>
        <row r="127">
          <cell r="A127">
            <v>2540</v>
          </cell>
          <cell r="B127" t="str">
            <v>???????</v>
          </cell>
        </row>
        <row r="128">
          <cell r="A128">
            <v>2590</v>
          </cell>
          <cell r="B128" t="str">
            <v>????????</v>
          </cell>
        </row>
        <row r="129">
          <cell r="A129">
            <v>2900</v>
          </cell>
          <cell r="B129" t="str">
            <v>??????</v>
          </cell>
        </row>
        <row r="130">
          <cell r="A130">
            <v>2910</v>
          </cell>
          <cell r="B130" t="str">
            <v>????????</v>
          </cell>
        </row>
        <row r="131">
          <cell r="A131">
            <v>2990</v>
          </cell>
          <cell r="B131" t="str">
            <v>(?????</v>
          </cell>
        </row>
        <row r="132">
          <cell r="A132">
            <v>3000</v>
          </cell>
          <cell r="B132" t="str">
            <v>????</v>
          </cell>
        </row>
        <row r="133">
          <cell r="A133">
            <v>3001</v>
          </cell>
          <cell r="B133" t="str">
            <v>??????</v>
          </cell>
        </row>
        <row r="134">
          <cell r="A134">
            <v>3002</v>
          </cell>
          <cell r="B134" t="str">
            <v>?????</v>
          </cell>
        </row>
        <row r="135">
          <cell r="A135">
            <v>3003</v>
          </cell>
          <cell r="B135" t="str">
            <v>???????</v>
          </cell>
        </row>
        <row r="136">
          <cell r="A136">
            <v>3010</v>
          </cell>
          <cell r="B136" t="str">
            <v>???</v>
          </cell>
        </row>
        <row r="137">
          <cell r="A137">
            <v>3011</v>
          </cell>
          <cell r="B137" t="str">
            <v>?????</v>
          </cell>
        </row>
        <row r="138">
          <cell r="A138">
            <v>3012</v>
          </cell>
          <cell r="B138" t="str">
            <v>????</v>
          </cell>
        </row>
        <row r="139">
          <cell r="A139">
            <v>3013</v>
          </cell>
          <cell r="B139" t="str">
            <v>??????</v>
          </cell>
        </row>
        <row r="140">
          <cell r="A140">
            <v>3020</v>
          </cell>
          <cell r="B140" t="str">
            <v>?????</v>
          </cell>
        </row>
        <row r="141">
          <cell r="A141">
            <v>3021</v>
          </cell>
          <cell r="B141" t="str">
            <v>???????</v>
          </cell>
        </row>
        <row r="142">
          <cell r="A142">
            <v>3022</v>
          </cell>
          <cell r="B142" t="str">
            <v>??????</v>
          </cell>
        </row>
        <row r="143">
          <cell r="A143">
            <v>3023</v>
          </cell>
          <cell r="B143" t="str">
            <v>????????</v>
          </cell>
        </row>
        <row r="144">
          <cell r="A144">
            <v>3030</v>
          </cell>
          <cell r="B144" t="str">
            <v>???????????</v>
          </cell>
        </row>
        <row r="145">
          <cell r="A145">
            <v>3031</v>
          </cell>
          <cell r="B145" t="str">
            <v>?????????????</v>
          </cell>
        </row>
        <row r="146">
          <cell r="A146">
            <v>3032</v>
          </cell>
          <cell r="B146" t="str">
            <v>????????????</v>
          </cell>
        </row>
        <row r="147">
          <cell r="A147">
            <v>3033</v>
          </cell>
          <cell r="B147" t="str">
            <v>??????????????</v>
          </cell>
        </row>
        <row r="148">
          <cell r="A148">
            <v>3040</v>
          </cell>
          <cell r="B148" t="str">
            <v>????????</v>
          </cell>
        </row>
        <row r="149">
          <cell r="A149">
            <v>3050</v>
          </cell>
          <cell r="B149" t="str">
            <v>????????????</v>
          </cell>
        </row>
        <row r="150">
          <cell r="A150">
            <v>3060</v>
          </cell>
          <cell r="B150" t="str">
            <v>??????</v>
          </cell>
        </row>
        <row r="151">
          <cell r="A151">
            <v>3061</v>
          </cell>
          <cell r="B151" t="str">
            <v>????????</v>
          </cell>
        </row>
        <row r="152">
          <cell r="A152">
            <v>3062</v>
          </cell>
          <cell r="B152" t="str">
            <v>???????</v>
          </cell>
        </row>
        <row r="153">
          <cell r="A153">
            <v>3063</v>
          </cell>
          <cell r="B153" t="str">
            <v>?????????</v>
          </cell>
        </row>
        <row r="154">
          <cell r="A154">
            <v>3070</v>
          </cell>
          <cell r="B154" t="str">
            <v>???</v>
          </cell>
        </row>
        <row r="155">
          <cell r="A155">
            <v>3071</v>
          </cell>
          <cell r="B155" t="str">
            <v>?????</v>
          </cell>
        </row>
        <row r="156">
          <cell r="A156">
            <v>3072</v>
          </cell>
          <cell r="B156" t="str">
            <v>????</v>
          </cell>
        </row>
        <row r="157">
          <cell r="A157">
            <v>3073</v>
          </cell>
          <cell r="B157" t="str">
            <v>??????</v>
          </cell>
        </row>
        <row r="158">
          <cell r="A158">
            <v>3080</v>
          </cell>
          <cell r="B158" t="str">
            <v>?????</v>
          </cell>
        </row>
        <row r="159">
          <cell r="A159">
            <v>3090</v>
          </cell>
          <cell r="B159" t="str">
            <v>???????????</v>
          </cell>
        </row>
        <row r="160">
          <cell r="A160">
            <v>3091</v>
          </cell>
          <cell r="B160" t="str">
            <v>?????????????</v>
          </cell>
        </row>
        <row r="161">
          <cell r="A161">
            <v>3092</v>
          </cell>
          <cell r="B161" t="str">
            <v>????????????</v>
          </cell>
        </row>
        <row r="162">
          <cell r="A162">
            <v>3093</v>
          </cell>
          <cell r="B162" t="str">
            <v>??????????????</v>
          </cell>
        </row>
        <row r="163">
          <cell r="A163">
            <v>3100</v>
          </cell>
          <cell r="B163" t="str">
            <v>????</v>
          </cell>
        </row>
        <row r="164">
          <cell r="A164">
            <v>3101</v>
          </cell>
          <cell r="B164" t="str">
            <v>??????</v>
          </cell>
        </row>
        <row r="165">
          <cell r="A165">
            <v>3102</v>
          </cell>
          <cell r="B165" t="str">
            <v>?????</v>
          </cell>
        </row>
        <row r="166">
          <cell r="A166">
            <v>3103</v>
          </cell>
          <cell r="B166" t="str">
            <v>???????</v>
          </cell>
        </row>
        <row r="167">
          <cell r="A167">
            <v>3110</v>
          </cell>
          <cell r="B167" t="str">
            <v>???</v>
          </cell>
        </row>
        <row r="168">
          <cell r="A168">
            <v>3111</v>
          </cell>
          <cell r="B168" t="str">
            <v>?????</v>
          </cell>
        </row>
        <row r="169">
          <cell r="A169">
            <v>3112</v>
          </cell>
          <cell r="B169" t="str">
            <v>????</v>
          </cell>
        </row>
        <row r="170">
          <cell r="A170">
            <v>3113</v>
          </cell>
          <cell r="B170" t="str">
            <v>??????</v>
          </cell>
        </row>
        <row r="171">
          <cell r="A171">
            <v>3120</v>
          </cell>
          <cell r="B171" t="str">
            <v>????</v>
          </cell>
        </row>
        <row r="172">
          <cell r="A172">
            <v>3121</v>
          </cell>
          <cell r="B172" t="str">
            <v>??????</v>
          </cell>
        </row>
        <row r="173">
          <cell r="A173">
            <v>3122</v>
          </cell>
          <cell r="B173" t="str">
            <v>?????</v>
          </cell>
        </row>
        <row r="174">
          <cell r="A174">
            <v>3123</v>
          </cell>
          <cell r="B174" t="str">
            <v>???????</v>
          </cell>
        </row>
        <row r="175">
          <cell r="A175">
            <v>3130</v>
          </cell>
          <cell r="B175" t="str">
            <v>???</v>
          </cell>
        </row>
        <row r="176">
          <cell r="A176">
            <v>3140</v>
          </cell>
          <cell r="B176" t="str">
            <v>??????</v>
          </cell>
        </row>
        <row r="177">
          <cell r="A177">
            <v>3150</v>
          </cell>
          <cell r="B177" t="str">
            <v>???</v>
          </cell>
        </row>
        <row r="178">
          <cell r="A178">
            <v>3170</v>
          </cell>
          <cell r="B178" t="str">
            <v>?????</v>
          </cell>
        </row>
        <row r="179">
          <cell r="A179">
            <v>3180</v>
          </cell>
          <cell r="B179" t="str">
            <v>??????</v>
          </cell>
        </row>
        <row r="180">
          <cell r="A180">
            <v>3190</v>
          </cell>
          <cell r="B180" t="str">
            <v>??????</v>
          </cell>
        </row>
        <row r="181">
          <cell r="A181">
            <v>3200</v>
          </cell>
          <cell r="B181" t="str">
            <v>?????</v>
          </cell>
        </row>
        <row r="182">
          <cell r="A182">
            <v>3210</v>
          </cell>
          <cell r="B182" t="str">
            <v>??????</v>
          </cell>
        </row>
        <row r="183">
          <cell r="A183">
            <v>3220</v>
          </cell>
          <cell r="B183" t="str">
            <v>???????</v>
          </cell>
        </row>
        <row r="184">
          <cell r="A184">
            <v>3221</v>
          </cell>
          <cell r="B184" t="str">
            <v>?????????</v>
          </cell>
        </row>
        <row r="185">
          <cell r="A185">
            <v>3222</v>
          </cell>
          <cell r="B185" t="str">
            <v>????????</v>
          </cell>
        </row>
        <row r="186">
          <cell r="A186">
            <v>3223</v>
          </cell>
          <cell r="B186" t="str">
            <v>??????????</v>
          </cell>
        </row>
        <row r="187">
          <cell r="A187">
            <v>3230</v>
          </cell>
          <cell r="B187" t="str">
            <v>?????????</v>
          </cell>
        </row>
        <row r="188">
          <cell r="A188">
            <v>3990</v>
          </cell>
          <cell r="B188" t="str">
            <v>????????</v>
          </cell>
        </row>
        <row r="189">
          <cell r="A189">
            <v>4000</v>
          </cell>
          <cell r="B189" t="str">
            <v>?????</v>
          </cell>
        </row>
        <row r="190">
          <cell r="A190">
            <v>4001</v>
          </cell>
          <cell r="B190" t="str">
            <v>???????</v>
          </cell>
        </row>
        <row r="191">
          <cell r="A191">
            <v>4002</v>
          </cell>
          <cell r="B191" t="str">
            <v>??????</v>
          </cell>
        </row>
        <row r="192">
          <cell r="A192">
            <v>4003</v>
          </cell>
          <cell r="B192" t="str">
            <v>????????</v>
          </cell>
        </row>
        <row r="193">
          <cell r="A193">
            <v>4010</v>
          </cell>
          <cell r="B193" t="str">
            <v>??</v>
          </cell>
        </row>
        <row r="194">
          <cell r="A194">
            <v>4020</v>
          </cell>
          <cell r="B194" t="str">
            <v>???????</v>
          </cell>
        </row>
        <row r="195">
          <cell r="A195">
            <v>4021</v>
          </cell>
          <cell r="B195" t="str">
            <v>?????????</v>
          </cell>
        </row>
        <row r="196">
          <cell r="A196">
            <v>4022</v>
          </cell>
          <cell r="B196" t="str">
            <v>????????</v>
          </cell>
        </row>
        <row r="197">
          <cell r="A197">
            <v>4023</v>
          </cell>
          <cell r="B197" t="str">
            <v>??????????</v>
          </cell>
        </row>
        <row r="198">
          <cell r="A198">
            <v>4030</v>
          </cell>
          <cell r="B198" t="str">
            <v>???????</v>
          </cell>
        </row>
        <row r="199">
          <cell r="A199">
            <v>4040</v>
          </cell>
          <cell r="B199" t="str">
            <v>?????</v>
          </cell>
        </row>
        <row r="200">
          <cell r="A200">
            <v>4050</v>
          </cell>
          <cell r="B200" t="str">
            <v>??????</v>
          </cell>
        </row>
        <row r="201">
          <cell r="A201">
            <v>4055</v>
          </cell>
          <cell r="B201" t="str">
            <v>????????</v>
          </cell>
        </row>
        <row r="202">
          <cell r="A202">
            <v>4060</v>
          </cell>
          <cell r="B202" t="str">
            <v>???????</v>
          </cell>
        </row>
        <row r="203">
          <cell r="A203">
            <v>4061</v>
          </cell>
          <cell r="B203" t="str">
            <v>?????????</v>
          </cell>
        </row>
        <row r="204">
          <cell r="A204">
            <v>4062</v>
          </cell>
          <cell r="B204" t="str">
            <v>????????</v>
          </cell>
        </row>
        <row r="205">
          <cell r="A205">
            <v>4063</v>
          </cell>
          <cell r="B205" t="str">
            <v>??????????</v>
          </cell>
        </row>
        <row r="206">
          <cell r="A206">
            <v>4090</v>
          </cell>
          <cell r="B206" t="str">
            <v>????????</v>
          </cell>
        </row>
        <row r="207">
          <cell r="A207">
            <v>4900</v>
          </cell>
          <cell r="B207" t="str">
            <v>??????</v>
          </cell>
        </row>
        <row r="208">
          <cell r="A208">
            <v>4990</v>
          </cell>
          <cell r="B208" t="str">
            <v>??????</v>
          </cell>
        </row>
        <row r="209">
          <cell r="A209">
            <v>5000</v>
          </cell>
          <cell r="B209" t="str">
            <v>???</v>
          </cell>
        </row>
        <row r="210">
          <cell r="A210">
            <v>5010</v>
          </cell>
          <cell r="B210" t="str">
            <v>??????</v>
          </cell>
        </row>
        <row r="211">
          <cell r="A211">
            <v>5020</v>
          </cell>
          <cell r="B211" t="str">
            <v>?????</v>
          </cell>
        </row>
        <row r="212">
          <cell r="A212">
            <v>5030</v>
          </cell>
          <cell r="B212" t="str">
            <v>?????</v>
          </cell>
        </row>
        <row r="213">
          <cell r="A213">
            <v>5040</v>
          </cell>
          <cell r="B213" t="str">
            <v>??????</v>
          </cell>
        </row>
        <row r="214">
          <cell r="A214">
            <v>5090</v>
          </cell>
          <cell r="B214" t="str">
            <v>??????</v>
          </cell>
        </row>
        <row r="215">
          <cell r="A215">
            <v>5990</v>
          </cell>
          <cell r="B215" t="str">
            <v>?????????</v>
          </cell>
        </row>
        <row r="216">
          <cell r="A216">
            <v>6000</v>
          </cell>
          <cell r="B216" t="str">
            <v>???</v>
          </cell>
        </row>
        <row r="217">
          <cell r="A217">
            <v>6001</v>
          </cell>
          <cell r="B217" t="str">
            <v>???????</v>
          </cell>
        </row>
        <row r="218">
          <cell r="A218">
            <v>6002</v>
          </cell>
          <cell r="B218" t="str">
            <v>????????</v>
          </cell>
        </row>
        <row r="219">
          <cell r="A219">
            <v>6003</v>
          </cell>
          <cell r="B219" t="str">
            <v>???????</v>
          </cell>
        </row>
        <row r="220">
          <cell r="A220">
            <v>6004</v>
          </cell>
          <cell r="B220" t="str">
            <v>???????</v>
          </cell>
        </row>
        <row r="221">
          <cell r="A221">
            <v>6005</v>
          </cell>
          <cell r="B221" t="str">
            <v>????????</v>
          </cell>
        </row>
        <row r="222">
          <cell r="A222">
            <v>6010</v>
          </cell>
          <cell r="B222" t="str">
            <v>????</v>
          </cell>
        </row>
        <row r="223">
          <cell r="A223">
            <v>6015</v>
          </cell>
          <cell r="B223" t="str">
            <v>?????????</v>
          </cell>
        </row>
        <row r="224">
          <cell r="A224">
            <v>6020</v>
          </cell>
          <cell r="B224" t="str">
            <v>???????</v>
          </cell>
        </row>
        <row r="225">
          <cell r="A225">
            <v>7000</v>
          </cell>
          <cell r="B225" t="str">
            <v>????</v>
          </cell>
        </row>
        <row r="226">
          <cell r="A226">
            <v>7001</v>
          </cell>
          <cell r="B226" t="str">
            <v>????????????</v>
          </cell>
        </row>
        <row r="227">
          <cell r="A227">
            <v>7010</v>
          </cell>
          <cell r="B227" t="str">
            <v>????</v>
          </cell>
        </row>
        <row r="228">
          <cell r="A228">
            <v>7020</v>
          </cell>
          <cell r="B228" t="str">
            <v>?????</v>
          </cell>
        </row>
        <row r="229">
          <cell r="A229">
            <v>7030</v>
          </cell>
          <cell r="B229" t="str">
            <v>?????</v>
          </cell>
        </row>
        <row r="230">
          <cell r="A230">
            <v>7040</v>
          </cell>
          <cell r="B230" t="str">
            <v>????????</v>
          </cell>
        </row>
        <row r="231">
          <cell r="A231">
            <v>7050</v>
          </cell>
          <cell r="B231" t="str">
            <v>???</v>
          </cell>
        </row>
        <row r="232">
          <cell r="A232">
            <v>7060</v>
          </cell>
          <cell r="B232" t="str">
            <v>??????????</v>
          </cell>
        </row>
        <row r="233">
          <cell r="A233">
            <v>7070</v>
          </cell>
          <cell r="B233" t="str">
            <v>????</v>
          </cell>
        </row>
        <row r="234">
          <cell r="A234">
            <v>7080</v>
          </cell>
          <cell r="B234" t="str">
            <v>????????</v>
          </cell>
        </row>
        <row r="235">
          <cell r="A235">
            <v>7090</v>
          </cell>
          <cell r="B235" t="str">
            <v>?????</v>
          </cell>
        </row>
        <row r="236">
          <cell r="A236">
            <v>7100</v>
          </cell>
          <cell r="B236" t="str">
            <v>?????</v>
          </cell>
        </row>
        <row r="237">
          <cell r="A237">
            <v>7110</v>
          </cell>
          <cell r="B237" t="str">
            <v>?????</v>
          </cell>
        </row>
        <row r="238">
          <cell r="A238">
            <v>7120</v>
          </cell>
          <cell r="B238" t="str">
            <v>?????</v>
          </cell>
        </row>
        <row r="239">
          <cell r="A239">
            <v>7130</v>
          </cell>
          <cell r="B239" t="str">
            <v>?????</v>
          </cell>
        </row>
        <row r="240">
          <cell r="A240">
            <v>7140</v>
          </cell>
          <cell r="B240" t="str">
            <v>???</v>
          </cell>
        </row>
        <row r="241">
          <cell r="A241">
            <v>7150</v>
          </cell>
          <cell r="B241" t="str">
            <v>????????</v>
          </cell>
        </row>
        <row r="242">
          <cell r="A242">
            <v>7160</v>
          </cell>
          <cell r="B242" t="str">
            <v>???????????</v>
          </cell>
        </row>
        <row r="243">
          <cell r="A243">
            <v>7170</v>
          </cell>
          <cell r="B243" t="str">
            <v>????</v>
          </cell>
        </row>
        <row r="244">
          <cell r="A244">
            <v>7180</v>
          </cell>
          <cell r="B244" t="str">
            <v>???</v>
          </cell>
        </row>
        <row r="245">
          <cell r="A245">
            <v>7190</v>
          </cell>
          <cell r="B245" t="str">
            <v>?????</v>
          </cell>
        </row>
        <row r="246">
          <cell r="A246">
            <v>7200</v>
          </cell>
          <cell r="B246" t="str">
            <v>???</v>
          </cell>
        </row>
        <row r="247">
          <cell r="A247">
            <v>7210</v>
          </cell>
          <cell r="B247" t="str">
            <v>???</v>
          </cell>
        </row>
        <row r="248">
          <cell r="A248">
            <v>7220</v>
          </cell>
          <cell r="B248" t="str">
            <v>?????</v>
          </cell>
        </row>
        <row r="249">
          <cell r="A249">
            <v>7230</v>
          </cell>
          <cell r="B249" t="str">
            <v>???</v>
          </cell>
        </row>
        <row r="250">
          <cell r="A250">
            <v>7240</v>
          </cell>
          <cell r="B250" t="str">
            <v>???</v>
          </cell>
        </row>
        <row r="251">
          <cell r="A251">
            <v>7250</v>
          </cell>
          <cell r="B251" t="str">
            <v>???</v>
          </cell>
        </row>
        <row r="252">
          <cell r="A252">
            <v>7260</v>
          </cell>
          <cell r="B252" t="str">
            <v>?????</v>
          </cell>
        </row>
        <row r="253">
          <cell r="A253">
            <v>7270</v>
          </cell>
          <cell r="B253" t="str">
            <v>?????</v>
          </cell>
        </row>
        <row r="254">
          <cell r="A254">
            <v>7280</v>
          </cell>
          <cell r="B254" t="str">
            <v>?????</v>
          </cell>
        </row>
        <row r="255">
          <cell r="A255">
            <v>7290</v>
          </cell>
          <cell r="B255" t="str">
            <v>?????</v>
          </cell>
        </row>
        <row r="256">
          <cell r="A256">
            <v>7300</v>
          </cell>
          <cell r="B256" t="str">
            <v>?????????</v>
          </cell>
        </row>
        <row r="257">
          <cell r="A257">
            <v>7310</v>
          </cell>
          <cell r="B257" t="str">
            <v>?????</v>
          </cell>
        </row>
        <row r="258">
          <cell r="A258">
            <v>7320</v>
          </cell>
          <cell r="B258" t="str">
            <v>???</v>
          </cell>
        </row>
        <row r="259">
          <cell r="A259">
            <v>7330</v>
          </cell>
          <cell r="B259" t="str">
            <v>???</v>
          </cell>
        </row>
        <row r="260">
          <cell r="A260">
            <v>7340</v>
          </cell>
          <cell r="B260" t="str">
            <v>????</v>
          </cell>
        </row>
        <row r="261">
          <cell r="A261">
            <v>7350</v>
          </cell>
          <cell r="B261" t="str">
            <v>???</v>
          </cell>
        </row>
        <row r="262">
          <cell r="A262">
            <v>7360</v>
          </cell>
          <cell r="B262" t="str">
            <v>???????</v>
          </cell>
        </row>
        <row r="263">
          <cell r="A263">
            <v>7370</v>
          </cell>
          <cell r="B263" t="str">
            <v>????????</v>
          </cell>
        </row>
        <row r="264">
          <cell r="A264">
            <v>7380</v>
          </cell>
          <cell r="B264" t="str">
            <v>?????????</v>
          </cell>
        </row>
        <row r="265">
          <cell r="A265">
            <v>7390</v>
          </cell>
          <cell r="B265" t="str">
            <v>??????????</v>
          </cell>
        </row>
        <row r="266">
          <cell r="A266">
            <v>7400</v>
          </cell>
          <cell r="B266" t="str">
            <v>???????????</v>
          </cell>
        </row>
        <row r="267">
          <cell r="A267">
            <v>7410</v>
          </cell>
          <cell r="B267" t="str">
            <v>??????</v>
          </cell>
        </row>
        <row r="268">
          <cell r="A268">
            <v>7420</v>
          </cell>
          <cell r="B268" t="str">
            <v>?????????</v>
          </cell>
        </row>
        <row r="269">
          <cell r="A269">
            <v>7430</v>
          </cell>
          <cell r="B269" t="str">
            <v>????????????</v>
          </cell>
        </row>
        <row r="270">
          <cell r="A270">
            <v>7440</v>
          </cell>
          <cell r="B270" t="str">
            <v>?????????</v>
          </cell>
        </row>
        <row r="271">
          <cell r="A271">
            <v>7450</v>
          </cell>
          <cell r="B271" t="str">
            <v>????????</v>
          </cell>
        </row>
        <row r="272">
          <cell r="A272">
            <v>7460</v>
          </cell>
          <cell r="B272" t="str">
            <v>???</v>
          </cell>
        </row>
        <row r="273">
          <cell r="A273">
            <v>7470</v>
          </cell>
          <cell r="B273" t="str">
            <v>???</v>
          </cell>
        </row>
        <row r="274">
          <cell r="A274">
            <v>7480</v>
          </cell>
          <cell r="B274" t="str">
            <v>????</v>
          </cell>
        </row>
        <row r="275">
          <cell r="A275">
            <v>7490</v>
          </cell>
          <cell r="B275" t="str">
            <v>??????</v>
          </cell>
        </row>
        <row r="276">
          <cell r="A276">
            <v>7500</v>
          </cell>
          <cell r="B276" t="str">
            <v>?????</v>
          </cell>
        </row>
        <row r="277">
          <cell r="A277">
            <v>7510</v>
          </cell>
          <cell r="B277" t="str">
            <v>?????</v>
          </cell>
        </row>
        <row r="278">
          <cell r="A278">
            <v>7520</v>
          </cell>
          <cell r="B278" t="str">
            <v>??</v>
          </cell>
        </row>
        <row r="279">
          <cell r="A279">
            <v>7890</v>
          </cell>
          <cell r="B279" t="str">
            <v>????????????</v>
          </cell>
        </row>
        <row r="280">
          <cell r="A280">
            <v>7990</v>
          </cell>
          <cell r="B280" t="str">
            <v>??????</v>
          </cell>
        </row>
        <row r="281">
          <cell r="A281">
            <v>8000</v>
          </cell>
          <cell r="B281" t="str">
            <v>????</v>
          </cell>
        </row>
        <row r="282">
          <cell r="A282">
            <v>8010</v>
          </cell>
          <cell r="B282" t="str">
            <v>??????</v>
          </cell>
        </row>
        <row r="283">
          <cell r="A283">
            <v>8020</v>
          </cell>
          <cell r="B283" t="str">
            <v>?????</v>
          </cell>
        </row>
        <row r="284">
          <cell r="A284">
            <v>8030</v>
          </cell>
          <cell r="B284" t="str">
            <v>????</v>
          </cell>
        </row>
        <row r="285">
          <cell r="A285">
            <v>8040</v>
          </cell>
          <cell r="B285" t="str">
            <v>????????</v>
          </cell>
        </row>
        <row r="286">
          <cell r="A286">
            <v>8050</v>
          </cell>
          <cell r="B286" t="str">
            <v>???????</v>
          </cell>
        </row>
        <row r="287">
          <cell r="A287">
            <v>8060</v>
          </cell>
          <cell r="B287" t="str">
            <v>????</v>
          </cell>
        </row>
        <row r="288">
          <cell r="A288">
            <v>8070</v>
          </cell>
          <cell r="B288" t="str">
            <v>???????</v>
          </cell>
        </row>
        <row r="289">
          <cell r="A289">
            <v>8080</v>
          </cell>
          <cell r="B289" t="str">
            <v>???</v>
          </cell>
        </row>
        <row r="290">
          <cell r="A290">
            <v>8090</v>
          </cell>
          <cell r="B290" t="str">
            <v>?????????</v>
          </cell>
        </row>
        <row r="291">
          <cell r="A291">
            <v>8100</v>
          </cell>
          <cell r="B291" t="str">
            <v>?????????</v>
          </cell>
        </row>
        <row r="292">
          <cell r="A292">
            <v>8110</v>
          </cell>
          <cell r="B292" t="str">
            <v>????</v>
          </cell>
        </row>
        <row r="293">
          <cell r="A293">
            <v>8120</v>
          </cell>
          <cell r="B293" t="str">
            <v>????</v>
          </cell>
        </row>
        <row r="294">
          <cell r="A294">
            <v>8130</v>
          </cell>
          <cell r="B294" t="str">
            <v>?????????</v>
          </cell>
        </row>
        <row r="295">
          <cell r="A295">
            <v>8140</v>
          </cell>
          <cell r="B295" t="str">
            <v>???????</v>
          </cell>
        </row>
        <row r="296">
          <cell r="A296">
            <v>8150</v>
          </cell>
          <cell r="B296" t="str">
            <v>??????????</v>
          </cell>
        </row>
        <row r="297">
          <cell r="A297">
            <v>8160</v>
          </cell>
          <cell r="B297" t="str">
            <v>????</v>
          </cell>
        </row>
        <row r="298">
          <cell r="A298">
            <v>8170</v>
          </cell>
          <cell r="B298" t="str">
            <v>???????</v>
          </cell>
        </row>
        <row r="299">
          <cell r="A299">
            <v>8180</v>
          </cell>
          <cell r="B299" t="str">
            <v>???????</v>
          </cell>
        </row>
        <row r="300">
          <cell r="A300">
            <v>8190</v>
          </cell>
          <cell r="B300" t="str">
            <v>???</v>
          </cell>
        </row>
        <row r="301">
          <cell r="A301">
            <v>8290</v>
          </cell>
          <cell r="B301" t="str">
            <v>?????????</v>
          </cell>
        </row>
        <row r="302">
          <cell r="A302">
            <v>8390</v>
          </cell>
          <cell r="B302" t="str">
            <v>??????</v>
          </cell>
        </row>
        <row r="303">
          <cell r="A303">
            <v>8400</v>
          </cell>
          <cell r="B303" t="str">
            <v>???????</v>
          </cell>
        </row>
        <row r="304">
          <cell r="A304">
            <v>8410</v>
          </cell>
          <cell r="B304" t="str">
            <v>?????????</v>
          </cell>
        </row>
        <row r="305">
          <cell r="A305">
            <v>8420</v>
          </cell>
          <cell r="B305" t="str">
            <v>?????????</v>
          </cell>
        </row>
        <row r="306">
          <cell r="A306">
            <v>8430</v>
          </cell>
          <cell r="B306" t="str">
            <v>?????</v>
          </cell>
        </row>
        <row r="307">
          <cell r="A307">
            <v>8435</v>
          </cell>
          <cell r="B307" t="str">
            <v>????????</v>
          </cell>
        </row>
        <row r="308">
          <cell r="A308">
            <v>8440</v>
          </cell>
          <cell r="B308" t="str">
            <v>????????</v>
          </cell>
        </row>
        <row r="309">
          <cell r="A309">
            <v>8445</v>
          </cell>
          <cell r="B309" t="str">
            <v>??????????</v>
          </cell>
        </row>
        <row r="310">
          <cell r="A310">
            <v>8450</v>
          </cell>
          <cell r="B310" t="str">
            <v>???????</v>
          </cell>
        </row>
        <row r="311">
          <cell r="A311">
            <v>8460</v>
          </cell>
          <cell r="B311" t="str">
            <v>???????</v>
          </cell>
        </row>
        <row r="312">
          <cell r="A312">
            <v>8490</v>
          </cell>
          <cell r="B312" t="str">
            <v>????????</v>
          </cell>
        </row>
        <row r="313">
          <cell r="A313">
            <v>8500</v>
          </cell>
          <cell r="B313" t="str">
            <v>???????</v>
          </cell>
        </row>
        <row r="314">
          <cell r="A314">
            <v>8510</v>
          </cell>
          <cell r="B314" t="str">
            <v>???????</v>
          </cell>
        </row>
        <row r="315">
          <cell r="A315">
            <v>8520</v>
          </cell>
          <cell r="B315" t="str">
            <v>?????????</v>
          </cell>
        </row>
        <row r="316">
          <cell r="A316">
            <v>8530</v>
          </cell>
          <cell r="B316" t="str">
            <v>?????????</v>
          </cell>
        </row>
        <row r="317">
          <cell r="A317">
            <v>8540</v>
          </cell>
          <cell r="B317" t="str">
            <v>?????????</v>
          </cell>
        </row>
        <row r="318">
          <cell r="A318">
            <v>8550</v>
          </cell>
          <cell r="B318" t="str">
            <v>???????</v>
          </cell>
        </row>
        <row r="319">
          <cell r="A319">
            <v>8560</v>
          </cell>
          <cell r="B319" t="str">
            <v>???????</v>
          </cell>
        </row>
        <row r="320">
          <cell r="A320">
            <v>8570</v>
          </cell>
          <cell r="B320" t="str">
            <v>???????</v>
          </cell>
        </row>
        <row r="321">
          <cell r="A321">
            <v>8590</v>
          </cell>
          <cell r="B321" t="str">
            <v>????????</v>
          </cell>
        </row>
        <row r="322">
          <cell r="A322">
            <v>8690</v>
          </cell>
          <cell r="B322" t="str">
            <v>???????????</v>
          </cell>
        </row>
        <row r="323">
          <cell r="A323">
            <v>8700</v>
          </cell>
          <cell r="B323" t="str">
            <v>???????</v>
          </cell>
        </row>
        <row r="324">
          <cell r="A324">
            <v>8710</v>
          </cell>
          <cell r="B324" t="str">
            <v>???????</v>
          </cell>
        </row>
        <row r="325">
          <cell r="A325">
            <v>8720</v>
          </cell>
          <cell r="B325" t="str">
            <v>??????????</v>
          </cell>
        </row>
        <row r="326">
          <cell r="A326">
            <v>8725</v>
          </cell>
          <cell r="B326" t="str">
            <v>????</v>
          </cell>
        </row>
        <row r="327">
          <cell r="A327">
            <v>8730</v>
          </cell>
          <cell r="B327" t="str">
            <v>???????</v>
          </cell>
        </row>
        <row r="328">
          <cell r="A328">
            <v>8740</v>
          </cell>
          <cell r="B328" t="str">
            <v>????????</v>
          </cell>
        </row>
        <row r="329">
          <cell r="A329">
            <v>8750</v>
          </cell>
          <cell r="B329" t="str">
            <v>?????????????</v>
          </cell>
        </row>
        <row r="330">
          <cell r="A330">
            <v>8760</v>
          </cell>
          <cell r="B330" t="str">
            <v>????????</v>
          </cell>
        </row>
        <row r="331">
          <cell r="A331">
            <v>8890</v>
          </cell>
          <cell r="B331" t="str">
            <v>???????</v>
          </cell>
        </row>
        <row r="332">
          <cell r="A332">
            <v>8900</v>
          </cell>
          <cell r="B332" t="str">
            <v>????????</v>
          </cell>
        </row>
        <row r="333">
          <cell r="A333">
            <v>8901</v>
          </cell>
          <cell r="B333" t="str">
            <v>??????????</v>
          </cell>
        </row>
        <row r="334">
          <cell r="A334">
            <v>8910</v>
          </cell>
          <cell r="B334" t="str">
            <v>????????????</v>
          </cell>
        </row>
        <row r="335">
          <cell r="A335">
            <v>8911</v>
          </cell>
          <cell r="B335" t="str">
            <v>??????????</v>
          </cell>
        </row>
        <row r="336">
          <cell r="A336">
            <v>8912</v>
          </cell>
          <cell r="B336" t="str">
            <v>??????????</v>
          </cell>
        </row>
        <row r="337">
          <cell r="A337">
            <v>8913</v>
          </cell>
          <cell r="B337" t="str">
            <v>??????????</v>
          </cell>
        </row>
        <row r="338">
          <cell r="A338">
            <v>8914</v>
          </cell>
          <cell r="B338" t="str">
            <v>?????????</v>
          </cell>
        </row>
        <row r="339">
          <cell r="A339">
            <v>8915</v>
          </cell>
          <cell r="B339" t="str">
            <v>???????????</v>
          </cell>
        </row>
        <row r="340">
          <cell r="A340">
            <v>8916</v>
          </cell>
          <cell r="B340" t="str">
            <v>????????</v>
          </cell>
        </row>
        <row r="341">
          <cell r="A341">
            <v>8920</v>
          </cell>
          <cell r="B341" t="str">
            <v>????????????</v>
          </cell>
        </row>
        <row r="342">
          <cell r="A342">
            <v>8930</v>
          </cell>
          <cell r="B342" t="str">
            <v>?????</v>
          </cell>
        </row>
        <row r="343">
          <cell r="A343">
            <v>8990</v>
          </cell>
          <cell r="B343" t="str">
            <v>??????????</v>
          </cell>
        </row>
        <row r="344">
          <cell r="A344">
            <v>9000</v>
          </cell>
          <cell r="B344" t="str">
            <v>??????</v>
          </cell>
        </row>
        <row r="345">
          <cell r="A345">
            <v>9001</v>
          </cell>
          <cell r="B345" t="str">
            <v>??????</v>
          </cell>
        </row>
        <row r="346">
          <cell r="A346">
            <v>9002</v>
          </cell>
          <cell r="B346" t="str">
            <v>?????????????</v>
          </cell>
        </row>
        <row r="347">
          <cell r="A347">
            <v>9003</v>
          </cell>
          <cell r="B347" t="str">
            <v>??????????????</v>
          </cell>
        </row>
        <row r="348">
          <cell r="A348">
            <v>9004</v>
          </cell>
          <cell r="B348" t="str">
            <v>??????</v>
          </cell>
        </row>
        <row r="349">
          <cell r="A349">
            <v>9005</v>
          </cell>
          <cell r="B349" t="str">
            <v>?????????</v>
          </cell>
        </row>
        <row r="350">
          <cell r="A350">
            <v>9006</v>
          </cell>
          <cell r="B350" t="str">
            <v>??????</v>
          </cell>
        </row>
        <row r="351">
          <cell r="A351">
            <v>9007</v>
          </cell>
          <cell r="B351" t="str">
            <v>????????</v>
          </cell>
        </row>
        <row r="352">
          <cell r="A352">
            <v>9008</v>
          </cell>
          <cell r="B352" t="str">
            <v>??????????????</v>
          </cell>
        </row>
        <row r="353">
          <cell r="A353">
            <v>9009</v>
          </cell>
          <cell r="B353" t="str">
            <v>?????????????</v>
          </cell>
        </row>
        <row r="354">
          <cell r="A354">
            <v>9010</v>
          </cell>
          <cell r="B354" t="str">
            <v>???????????</v>
          </cell>
        </row>
        <row r="355">
          <cell r="A355">
            <v>9011</v>
          </cell>
          <cell r="B355" t="str">
            <v>?????????????</v>
          </cell>
        </row>
        <row r="356">
          <cell r="A356">
            <v>9012</v>
          </cell>
          <cell r="B356" t="str">
            <v>????????</v>
          </cell>
        </row>
        <row r="357">
          <cell r="A357">
            <v>9013</v>
          </cell>
          <cell r="B357" t="str">
            <v>?????-????????</v>
          </cell>
        </row>
        <row r="358">
          <cell r="A358">
            <v>9014</v>
          </cell>
          <cell r="B358" t="str">
            <v>?????????????</v>
          </cell>
        </row>
        <row r="359">
          <cell r="A359">
            <v>9015</v>
          </cell>
          <cell r="B359" t="str">
            <v>???????????</v>
          </cell>
        </row>
        <row r="360">
          <cell r="A360">
            <v>9016</v>
          </cell>
          <cell r="B360" t="str">
            <v>????????</v>
          </cell>
        </row>
        <row r="361">
          <cell r="A361">
            <v>9017</v>
          </cell>
          <cell r="B361" t="str">
            <v>????????</v>
          </cell>
        </row>
        <row r="362">
          <cell r="A362">
            <v>9018</v>
          </cell>
          <cell r="B362" t="str">
            <v>??????????</v>
          </cell>
        </row>
        <row r="363">
          <cell r="A363">
            <v>9019</v>
          </cell>
          <cell r="B363" t="str">
            <v>??????????</v>
          </cell>
        </row>
        <row r="364">
          <cell r="A364">
            <v>9020</v>
          </cell>
          <cell r="B364" t="str">
            <v>????????</v>
          </cell>
        </row>
        <row r="365">
          <cell r="A365">
            <v>9900</v>
          </cell>
          <cell r="B365" t="str">
            <v>?????????</v>
          </cell>
        </row>
        <row r="366">
          <cell r="A366">
            <v>9901</v>
          </cell>
          <cell r="B366" t="str">
            <v>????????</v>
          </cell>
        </row>
        <row r="367">
          <cell r="A367">
            <v>9902</v>
          </cell>
          <cell r="B367" t="str">
            <v>?????????</v>
          </cell>
        </row>
        <row r="368">
          <cell r="A368">
            <v>9909</v>
          </cell>
          <cell r="B368" t="str">
            <v>(??????)</v>
          </cell>
        </row>
        <row r="369">
          <cell r="A369">
            <v>9910</v>
          </cell>
          <cell r="B369" t="str">
            <v>????</v>
          </cell>
        </row>
        <row r="370">
          <cell r="A370">
            <v>9911</v>
          </cell>
          <cell r="B370" t="str">
            <v>?????</v>
          </cell>
        </row>
        <row r="371">
          <cell r="A371">
            <v>9912</v>
          </cell>
          <cell r="B371" t="str">
            <v>?????</v>
          </cell>
        </row>
        <row r="372">
          <cell r="A372">
            <v>9913</v>
          </cell>
          <cell r="B372" t="str">
            <v>????????</v>
          </cell>
        </row>
        <row r="373">
          <cell r="A373">
            <v>9914</v>
          </cell>
          <cell r="B373" t="str">
            <v>???</v>
          </cell>
        </row>
        <row r="374">
          <cell r="A374">
            <v>9915</v>
          </cell>
          <cell r="B374" t="str">
            <v>??????????</v>
          </cell>
        </row>
        <row r="375">
          <cell r="A375">
            <v>9916</v>
          </cell>
          <cell r="B375" t="str">
            <v>????</v>
          </cell>
        </row>
        <row r="376">
          <cell r="A376">
            <v>9917</v>
          </cell>
          <cell r="B376" t="str">
            <v>????????</v>
          </cell>
        </row>
        <row r="377">
          <cell r="A377">
            <v>9918</v>
          </cell>
          <cell r="B377" t="str">
            <v>(?????)</v>
          </cell>
        </row>
        <row r="378">
          <cell r="A378">
            <v>9919</v>
          </cell>
          <cell r="B378" t="str">
            <v>?????</v>
          </cell>
        </row>
        <row r="379">
          <cell r="A379">
            <v>9920</v>
          </cell>
          <cell r="B379" t="str">
            <v>?????</v>
          </cell>
        </row>
        <row r="380">
          <cell r="A380">
            <v>9921</v>
          </cell>
          <cell r="B380" t="str">
            <v>?????</v>
          </cell>
        </row>
        <row r="381">
          <cell r="A381">
            <v>9922</v>
          </cell>
          <cell r="B381" t="str">
            <v>?????</v>
          </cell>
        </row>
        <row r="382">
          <cell r="A382">
            <v>9923</v>
          </cell>
          <cell r="B382" t="str">
            <v>???</v>
          </cell>
        </row>
        <row r="383">
          <cell r="A383">
            <v>9924</v>
          </cell>
          <cell r="B383" t="str">
            <v>???</v>
          </cell>
        </row>
        <row r="384">
          <cell r="A384">
            <v>9925</v>
          </cell>
          <cell r="B384" t="str">
            <v>?????</v>
          </cell>
        </row>
        <row r="385">
          <cell r="A385">
            <v>9926</v>
          </cell>
          <cell r="B385" t="str">
            <v>???</v>
          </cell>
        </row>
        <row r="386">
          <cell r="A386">
            <v>9927</v>
          </cell>
          <cell r="B386" t="str">
            <v>???</v>
          </cell>
        </row>
        <row r="387">
          <cell r="A387">
            <v>9928</v>
          </cell>
          <cell r="B387" t="str">
            <v>?????</v>
          </cell>
        </row>
        <row r="388">
          <cell r="A388">
            <v>9929</v>
          </cell>
          <cell r="B388" t="str">
            <v>???</v>
          </cell>
        </row>
        <row r="389">
          <cell r="A389">
            <v>9930</v>
          </cell>
          <cell r="B389" t="str">
            <v>???</v>
          </cell>
        </row>
        <row r="390">
          <cell r="A390">
            <v>9931</v>
          </cell>
          <cell r="B390" t="str">
            <v>???</v>
          </cell>
        </row>
        <row r="391">
          <cell r="A391">
            <v>9932</v>
          </cell>
          <cell r="B391" t="str">
            <v>?????</v>
          </cell>
        </row>
        <row r="392">
          <cell r="A392">
            <v>9933</v>
          </cell>
          <cell r="B392" t="str">
            <v>?????</v>
          </cell>
        </row>
        <row r="393">
          <cell r="A393">
            <v>9934</v>
          </cell>
          <cell r="B393" t="str">
            <v>?????</v>
          </cell>
        </row>
        <row r="394">
          <cell r="A394">
            <v>9935</v>
          </cell>
          <cell r="B394" t="str">
            <v>?????</v>
          </cell>
        </row>
        <row r="395">
          <cell r="A395">
            <v>9936</v>
          </cell>
          <cell r="B395" t="str">
            <v>?????????</v>
          </cell>
        </row>
        <row r="396">
          <cell r="A396">
            <v>9937</v>
          </cell>
          <cell r="B396" t="str">
            <v>?????</v>
          </cell>
        </row>
        <row r="397">
          <cell r="A397">
            <v>9938</v>
          </cell>
          <cell r="B397" t="str">
            <v>???</v>
          </cell>
        </row>
        <row r="398">
          <cell r="A398">
            <v>9939</v>
          </cell>
          <cell r="B398" t="str">
            <v>???</v>
          </cell>
        </row>
        <row r="399">
          <cell r="A399">
            <v>9940</v>
          </cell>
          <cell r="B399" t="str">
            <v>????</v>
          </cell>
        </row>
        <row r="400">
          <cell r="A400">
            <v>9941</v>
          </cell>
          <cell r="B400" t="str">
            <v>???????</v>
          </cell>
        </row>
        <row r="401">
          <cell r="A401">
            <v>9942</v>
          </cell>
          <cell r="B401" t="str">
            <v>????????</v>
          </cell>
        </row>
        <row r="402">
          <cell r="A402">
            <v>9943</v>
          </cell>
          <cell r="B402" t="str">
            <v>?????????</v>
          </cell>
        </row>
        <row r="403">
          <cell r="A403">
            <v>9944</v>
          </cell>
          <cell r="B403" t="str">
            <v>??????????</v>
          </cell>
        </row>
        <row r="404">
          <cell r="A404">
            <v>9945</v>
          </cell>
          <cell r="B404" t="str">
            <v>???????????</v>
          </cell>
        </row>
        <row r="405">
          <cell r="A405">
            <v>9946</v>
          </cell>
          <cell r="B405" t="str">
            <v>??????</v>
          </cell>
        </row>
        <row r="406">
          <cell r="A406">
            <v>9947</v>
          </cell>
          <cell r="B406" t="str">
            <v>?????????</v>
          </cell>
        </row>
        <row r="407">
          <cell r="A407">
            <v>9948</v>
          </cell>
          <cell r="B407" t="str">
            <v>????????????</v>
          </cell>
        </row>
        <row r="408">
          <cell r="A408">
            <v>9949</v>
          </cell>
          <cell r="B408" t="str">
            <v>?????????</v>
          </cell>
        </row>
        <row r="409">
          <cell r="A409">
            <v>9950</v>
          </cell>
          <cell r="B409" t="str">
            <v>????????</v>
          </cell>
        </row>
        <row r="410">
          <cell r="A410">
            <v>9951</v>
          </cell>
          <cell r="B410" t="str">
            <v>???</v>
          </cell>
        </row>
        <row r="411">
          <cell r="A411">
            <v>9952</v>
          </cell>
          <cell r="B411" t="str">
            <v>???</v>
          </cell>
        </row>
        <row r="412">
          <cell r="A412">
            <v>9953</v>
          </cell>
          <cell r="B412" t="str">
            <v>????</v>
          </cell>
        </row>
        <row r="413">
          <cell r="A413">
            <v>9954</v>
          </cell>
          <cell r="B413" t="str">
            <v>??????</v>
          </cell>
        </row>
        <row r="414">
          <cell r="A414">
            <v>9955</v>
          </cell>
          <cell r="B414" t="str">
            <v>?????</v>
          </cell>
        </row>
        <row r="415">
          <cell r="A415">
            <v>9956</v>
          </cell>
          <cell r="B415" t="str">
            <v>?????</v>
          </cell>
        </row>
        <row r="416">
          <cell r="A416">
            <v>9957</v>
          </cell>
          <cell r="B416" t="str">
            <v>??</v>
          </cell>
        </row>
        <row r="417">
          <cell r="A417">
            <v>9958</v>
          </cell>
          <cell r="B417" t="str">
            <v>??????</v>
          </cell>
        </row>
        <row r="418">
          <cell r="A418">
            <v>9959</v>
          </cell>
          <cell r="B418" t="str">
            <v>(????)</v>
          </cell>
        </row>
        <row r="419">
          <cell r="A419">
            <v>9960</v>
          </cell>
          <cell r="B419" t="str">
            <v>?????????</v>
          </cell>
        </row>
        <row r="420">
          <cell r="A420">
            <v>9961</v>
          </cell>
          <cell r="B420" t="str">
            <v>?????????</v>
          </cell>
        </row>
        <row r="421">
          <cell r="A421">
            <v>9962</v>
          </cell>
          <cell r="B421" t="str">
            <v>??????</v>
          </cell>
        </row>
        <row r="422">
          <cell r="A422">
            <v>9969</v>
          </cell>
          <cell r="B422" t="str">
            <v>(????????)</v>
          </cell>
        </row>
        <row r="423">
          <cell r="A423">
            <v>9970</v>
          </cell>
          <cell r="B423" t="str">
            <v>???????</v>
          </cell>
        </row>
        <row r="424">
          <cell r="A424">
            <v>9971</v>
          </cell>
          <cell r="B424" t="str">
            <v>???????????</v>
          </cell>
        </row>
        <row r="425">
          <cell r="A425">
            <v>9972</v>
          </cell>
          <cell r="B425" t="str">
            <v>???????????(1???)</v>
          </cell>
        </row>
        <row r="426">
          <cell r="A426">
            <v>9973</v>
          </cell>
          <cell r="B426" t="str">
            <v>???????????(1???)</v>
          </cell>
        </row>
        <row r="427">
          <cell r="A427">
            <v>9974</v>
          </cell>
          <cell r="B427" t="str">
            <v>????????</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5"/>
      <sheetName val="11.06"/>
      <sheetName val="11.08"/>
      <sheetName val="MMA"/>
      <sheetName val="MMA (2)"/>
      <sheetName val="#REF!"/>
    </sheetNames>
    <sheetDataSet>
      <sheetData sheetId="0"/>
      <sheetData sheetId="1"/>
      <sheetData sheetId="2"/>
      <sheetData sheetId="3"/>
      <sheetData sheetId="4"/>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5"/>
      <sheetName val="11.06"/>
      <sheetName val="11.08"/>
      <sheetName val="MMA"/>
      <sheetName val="MMA (2)"/>
      <sheetName val="#REF!"/>
    </sheetNames>
    <sheetDataSet>
      <sheetData sheetId="0"/>
      <sheetData sheetId="1"/>
      <sheetData sheetId="2"/>
      <sheetData sheetId="3"/>
      <sheetData sheetId="4"/>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05Actual"/>
      <sheetName val="OPEX-Apr-Nov 2005"/>
      <sheetName val="#REF!"/>
      <sheetName val="Machinery"/>
    </sheetNames>
    <sheetDataSet>
      <sheetData sheetId="0" refreshError="1"/>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color "/>
      <sheetName val="K1"/>
      <sheetName val="k2 "/>
      <sheetName val="k3"/>
      <sheetName val="k4"/>
      <sheetName val="k5"/>
      <sheetName val="K6"/>
      <sheetName val="K7"/>
      <sheetName val="k8"/>
      <sheetName val="k9 "/>
      <sheetName val="k10"/>
    </sheetNames>
    <sheetDataSet>
      <sheetData sheetId="0"/>
      <sheetData sheetId="1"/>
      <sheetData sheetId="2">
        <row r="1">
          <cell r="C1" t="str">
            <v>Action Plan</v>
          </cell>
          <cell r="E1" t="str">
            <v>Division / Section:</v>
          </cell>
          <cell r="I1" t="str">
            <v>YF</v>
          </cell>
          <cell r="R1" t="str">
            <v>Ref. No.:</v>
          </cell>
          <cell r="T1">
            <v>0</v>
          </cell>
          <cell r="U1" t="str">
            <v>Approved (sign)</v>
          </cell>
        </row>
        <row r="2">
          <cell r="C2" t="str">
            <v>Theme</v>
          </cell>
          <cell r="E2" t="str">
            <v>Responsible Person</v>
          </cell>
          <cell r="I2" t="str">
            <v>Team Members</v>
          </cell>
          <cell r="R2" t="str">
            <v>Preparation:</v>
          </cell>
          <cell r="T2">
            <v>40730</v>
          </cell>
          <cell r="U2" t="str">
            <v>GCVelarde</v>
          </cell>
        </row>
        <row r="3">
          <cell r="C3" t="str">
            <v>Rationalizing the System</v>
          </cell>
          <cell r="E3" t="str">
            <v>Grace B.Rivero</v>
          </cell>
          <cell r="I3" t="str">
            <v>YF Staff</v>
          </cell>
          <cell r="R3" t="str">
            <v>Approval:</v>
          </cell>
          <cell r="T3" t="str">
            <v>Grace B.Rivero</v>
          </cell>
        </row>
        <row r="4">
          <cell r="C4" t="str">
            <v>Slogan</v>
          </cell>
          <cell r="E4" t="str">
            <v>Area</v>
          </cell>
          <cell r="I4" t="str">
            <v>Objective</v>
          </cell>
          <cell r="R4" t="str">
            <v>Evaluation Factor:  Checksheet Score</v>
          </cell>
        </row>
        <row r="5">
          <cell r="C5" t="str">
            <v>Align and Shine                  Department objective align with main objective</v>
          </cell>
          <cell r="E5" t="str">
            <v>YF                                                                                                                             Production, Engineering, QC</v>
          </cell>
          <cell r="I5" t="str">
            <v xml:space="preserve">1. To achieve 100points on Checksheet Score                                                2. To achieve level 4 </v>
          </cell>
          <cell r="R5" t="str">
            <v>FY 10</v>
          </cell>
          <cell r="U5" t="str">
            <v>March'12</v>
          </cell>
        </row>
        <row r="6">
          <cell r="R6" t="str">
            <v>95pts</v>
          </cell>
          <cell r="U6" t="str">
            <v>100pts</v>
          </cell>
        </row>
        <row r="8">
          <cell r="B8" t="str">
            <v xml:space="preserve">Action </v>
          </cell>
          <cell r="E8" t="str">
            <v>Person</v>
          </cell>
          <cell r="F8" t="str">
            <v>Apr</v>
          </cell>
          <cell r="G8" t="str">
            <v>May</v>
          </cell>
          <cell r="H8" t="str">
            <v>Jun</v>
          </cell>
          <cell r="I8" t="str">
            <v>Jul</v>
          </cell>
          <cell r="J8" t="str">
            <v>Aug</v>
          </cell>
          <cell r="K8" t="str">
            <v>Sep</v>
          </cell>
          <cell r="L8" t="str">
            <v>Oct</v>
          </cell>
          <cell r="M8" t="str">
            <v>Nov</v>
          </cell>
          <cell r="N8" t="str">
            <v>Dec</v>
          </cell>
          <cell r="O8" t="str">
            <v>Jan</v>
          </cell>
          <cell r="P8" t="str">
            <v>Feb</v>
          </cell>
          <cell r="Q8" t="str">
            <v>Mar</v>
          </cell>
          <cell r="R8" t="str">
            <v>Follow-up by Responsible Person</v>
          </cell>
          <cell r="U8" t="str">
            <v>Comments from Team Leader</v>
          </cell>
        </row>
        <row r="9">
          <cell r="B9" t="str">
            <v>Conduct 5th MLM</v>
          </cell>
          <cell r="E9" t="str">
            <v>Team</v>
          </cell>
          <cell r="R9" t="str">
            <v>GBR</v>
          </cell>
          <cell r="S9" t="str">
            <v>Performance review &amp; target setting for FY 2011</v>
          </cell>
          <cell r="U9" t="str">
            <v>GCV</v>
          </cell>
          <cell r="V9" t="str">
            <v>Re-organize and clearly defined each person responsibility</v>
          </cell>
        </row>
        <row r="10">
          <cell r="B10" t="str">
            <v>Assist all keys to achieve  green level</v>
          </cell>
          <cell r="E10" t="str">
            <v>Heads</v>
          </cell>
          <cell r="R10" t="str">
            <v>GBR</v>
          </cell>
          <cell r="S10" t="str">
            <v>Implement,Check and monitor compliance of SOP's using revised checksheet</v>
          </cell>
          <cell r="U10" t="str">
            <v>GCV</v>
          </cell>
          <cell r="V10" t="str">
            <v>Monitor weak points based on checksheet and generate counter measure to improve performance</v>
          </cell>
        </row>
        <row r="11">
          <cell r="B11" t="str">
            <v>Conduct monthly PPORF review</v>
          </cell>
          <cell r="E11" t="str">
            <v>Team</v>
          </cell>
        </row>
        <row r="12">
          <cell r="B12" t="str">
            <v>Determine weak points  and design recovery measures.</v>
          </cell>
          <cell r="E12" t="str">
            <v>Team</v>
          </cell>
          <cell r="R12" t="str">
            <v>GBR</v>
          </cell>
          <cell r="S12" t="str">
            <v xml:space="preserve">Monitor month activities implementation based on derived AP schedule </v>
          </cell>
          <cell r="U12" t="str">
            <v>GCV</v>
          </cell>
          <cell r="V12" t="str">
            <v>Monitor weak points based on checksheet and generate counter measure to improve performance</v>
          </cell>
        </row>
        <row r="13">
          <cell r="B13" t="str">
            <v xml:space="preserve">Monitor results of performance for each Key </v>
          </cell>
          <cell r="E13" t="str">
            <v>Team</v>
          </cell>
        </row>
      </sheetData>
      <sheetData sheetId="3"/>
      <sheetData sheetId="4"/>
      <sheetData sheetId="5"/>
      <sheetData sheetId="6"/>
      <sheetData sheetId="7"/>
      <sheetData sheetId="8"/>
      <sheetData sheetId="9"/>
      <sheetData sheetId="1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color "/>
      <sheetName val="K1"/>
      <sheetName val="k2 "/>
      <sheetName val="k3"/>
      <sheetName val="k4"/>
      <sheetName val="k5"/>
      <sheetName val="K6"/>
      <sheetName val="K7"/>
      <sheetName val="k8"/>
      <sheetName val="k9 "/>
      <sheetName val="k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 "/>
      <sheetName val="Tri-color "/>
      <sheetName val="K1"/>
      <sheetName val="k3"/>
      <sheetName val="k4"/>
      <sheetName val="k5"/>
      <sheetName val="K6"/>
      <sheetName val="K7"/>
      <sheetName val="k8"/>
      <sheetName val="k9 "/>
      <sheetName val="k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 "/>
      <sheetName val="Tri-color "/>
      <sheetName val="K1"/>
      <sheetName val="k3"/>
      <sheetName val="k4"/>
      <sheetName val="k5"/>
      <sheetName val="K6"/>
      <sheetName val="K7"/>
      <sheetName val="k8"/>
      <sheetName val="k9 "/>
      <sheetName val="k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 "/>
      <sheetName val="Tri-color "/>
      <sheetName val="K1"/>
      <sheetName val="k3"/>
      <sheetName val="k4"/>
      <sheetName val="k5"/>
      <sheetName val="K6"/>
      <sheetName val="K7"/>
      <sheetName val="k8"/>
      <sheetName val="k9 "/>
      <sheetName val="k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 "/>
      <sheetName val="Tri-color "/>
      <sheetName val="K1"/>
      <sheetName val="k3"/>
      <sheetName val="k4"/>
      <sheetName val="k5"/>
      <sheetName val="K6"/>
      <sheetName val="K7"/>
      <sheetName val="k8"/>
      <sheetName val="k9 "/>
      <sheetName val="k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 "/>
      <sheetName val="Tri-color "/>
      <sheetName val="K1"/>
      <sheetName val="k3"/>
      <sheetName val="k4"/>
      <sheetName val="k5"/>
      <sheetName val="K6"/>
      <sheetName val="K7"/>
      <sheetName val="k8"/>
      <sheetName val="k9 "/>
      <sheetName val="k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 "/>
      <sheetName val="Tri-color "/>
      <sheetName val="K1"/>
      <sheetName val="k3"/>
      <sheetName val="k4"/>
      <sheetName val="k5"/>
      <sheetName val="K6"/>
      <sheetName val="K7"/>
      <sheetName val="k8"/>
      <sheetName val="k9 "/>
      <sheetName val="k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 "/>
      <sheetName val="Tri-color "/>
      <sheetName val="K1"/>
      <sheetName val="k3"/>
      <sheetName val="k4"/>
      <sheetName val="k5"/>
      <sheetName val="K6"/>
      <sheetName val="K7"/>
      <sheetName val="k8"/>
      <sheetName val="k9 "/>
      <sheetName val="k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7"/>
      <sheetName val="Molding optn rate"/>
      <sheetName val="Over all DATA"/>
      <sheetName val="FY2008 Data"/>
      <sheetName val="Score"/>
      <sheetName val="Molding FY2009 "/>
      <sheetName val="#REF!"/>
    </sheetNames>
    <sheetDataSet>
      <sheetData sheetId="0" refreshError="1">
        <row r="2">
          <cell r="BG2" t="str">
            <v>Level 3.5</v>
          </cell>
        </row>
        <row r="4">
          <cell r="G4" t="str">
            <v>Zero Machine Monitoring</v>
          </cell>
          <cell r="X4" t="str">
            <v>One Page Standard</v>
          </cell>
          <cell r="AO4" t="str">
            <v>Company Wide Tri-Color Chart</v>
          </cell>
          <cell r="BG4" t="str">
            <v>TSD-Mfg</v>
          </cell>
          <cell r="BI4" t="str">
            <v>TSD-MOLD</v>
          </cell>
          <cell r="BJ4" t="str">
            <v>EMSD</v>
          </cell>
          <cell r="BL4" t="str">
            <v>YFLEX</v>
          </cell>
          <cell r="BM4" t="str">
            <v>QAD/ Support</v>
          </cell>
          <cell r="BN4" t="str">
            <v>PMD/ Mark</v>
          </cell>
          <cell r="BP4" t="str">
            <v>Co Wide</v>
          </cell>
        </row>
        <row r="5">
          <cell r="G5" t="str">
            <v>(FY2008 Target 30 min Lunch break operation)</v>
          </cell>
          <cell r="Q5" t="str">
            <v>Improvement Target: Level 3.5</v>
          </cell>
          <cell r="X5" t="str">
            <v>(FY2008 Target =100% One Page Standard)</v>
          </cell>
          <cell r="AH5" t="str">
            <v>Improvement Target: Level 3.5</v>
          </cell>
          <cell r="AO5" t="str">
            <v>Key 7</v>
          </cell>
          <cell r="AY5" t="str">
            <v>Improvement Target: Level 3.5</v>
          </cell>
          <cell r="BF5" t="str">
            <v>FY2008</v>
          </cell>
          <cell r="BG5" t="str">
            <v>Line Balance</v>
          </cell>
          <cell r="BH5" t="str">
            <v>ZMM</v>
          </cell>
          <cell r="BI5" t="str">
            <v>ZMM</v>
          </cell>
          <cell r="BJ5" t="str">
            <v>Line Balance</v>
          </cell>
          <cell r="BK5" t="str">
            <v>ZMM</v>
          </cell>
          <cell r="BL5" t="str">
            <v>Line Balance</v>
          </cell>
          <cell r="BM5" t="str">
            <v>One Page</v>
          </cell>
          <cell r="BN5" t="str">
            <v>One Page</v>
          </cell>
          <cell r="BP5" t="str">
            <v>total</v>
          </cell>
        </row>
        <row r="6">
          <cell r="BF6" t="str">
            <v>Mar</v>
          </cell>
          <cell r="BP6" t="str">
            <v/>
          </cell>
        </row>
        <row r="7">
          <cell r="BF7" t="str">
            <v>Apr</v>
          </cell>
          <cell r="BG7" t="e">
            <v>#REF!</v>
          </cell>
          <cell r="BH7">
            <v>1</v>
          </cell>
          <cell r="BI7">
            <v>1</v>
          </cell>
          <cell r="BJ7" t="e">
            <v>#REF!</v>
          </cell>
          <cell r="BK7">
            <v>1</v>
          </cell>
          <cell r="BL7" t="e">
            <v>#REF!</v>
          </cell>
          <cell r="BM7">
            <v>0.97240345991956245</v>
          </cell>
          <cell r="BN7">
            <v>-1.9200000000008577E-3</v>
          </cell>
          <cell r="BP7" t="str">
            <v/>
          </cell>
        </row>
        <row r="8">
          <cell r="G8" t="str">
            <v>TSD-Mfg(Target = One Machine)</v>
          </cell>
          <cell r="X8" t="str">
            <v>Admin/ QAD</v>
          </cell>
          <cell r="Z8" t="str">
            <v>Total=</v>
          </cell>
          <cell r="AA8">
            <v>197</v>
          </cell>
          <cell r="BF8" t="str">
            <v>May</v>
          </cell>
          <cell r="BG8" t="e">
            <v>#REF!</v>
          </cell>
          <cell r="BH8">
            <v>1</v>
          </cell>
          <cell r="BI8">
            <v>1</v>
          </cell>
          <cell r="BJ8" t="e">
            <v>#REF!</v>
          </cell>
          <cell r="BK8">
            <v>1</v>
          </cell>
          <cell r="BL8" t="e">
            <v>#REF!</v>
          </cell>
          <cell r="BM8">
            <v>1</v>
          </cell>
          <cell r="BN8">
            <v>0</v>
          </cell>
          <cell r="BP8" t="str">
            <v/>
          </cell>
        </row>
        <row r="9">
          <cell r="G9" t="str">
            <v>Zero Monitor manufacturing</v>
          </cell>
          <cell r="I9" t="str">
            <v>Mar</v>
          </cell>
          <cell r="J9" t="str">
            <v>Apr</v>
          </cell>
          <cell r="K9" t="str">
            <v>May</v>
          </cell>
          <cell r="L9" t="str">
            <v>Jun</v>
          </cell>
          <cell r="M9" t="str">
            <v>Jul</v>
          </cell>
          <cell r="N9" t="str">
            <v>Aug</v>
          </cell>
          <cell r="O9" t="str">
            <v>Sep</v>
          </cell>
          <cell r="P9" t="str">
            <v>Oct</v>
          </cell>
          <cell r="Q9" t="str">
            <v>Nov</v>
          </cell>
          <cell r="R9" t="str">
            <v>Dec</v>
          </cell>
          <cell r="S9" t="str">
            <v>Jan</v>
          </cell>
          <cell r="T9" t="str">
            <v>Feb</v>
          </cell>
          <cell r="U9" t="str">
            <v>Mar</v>
          </cell>
          <cell r="X9" t="str">
            <v>One Page Standard</v>
          </cell>
          <cell r="Z9" t="str">
            <v>Mar</v>
          </cell>
          <cell r="AA9" t="str">
            <v>Apr</v>
          </cell>
          <cell r="AB9" t="str">
            <v>May</v>
          </cell>
          <cell r="AC9" t="str">
            <v>Jun</v>
          </cell>
          <cell r="AD9" t="str">
            <v>Jul</v>
          </cell>
          <cell r="AE9" t="str">
            <v>Aug</v>
          </cell>
          <cell r="AF9" t="str">
            <v>Sep</v>
          </cell>
          <cell r="AG9" t="str">
            <v>Oct</v>
          </cell>
          <cell r="AH9" t="str">
            <v>Nov</v>
          </cell>
          <cell r="AI9" t="str">
            <v>Dec</v>
          </cell>
          <cell r="AJ9" t="str">
            <v>Jan</v>
          </cell>
          <cell r="AK9" t="str">
            <v>Feb</v>
          </cell>
          <cell r="AL9" t="str">
            <v>Mar</v>
          </cell>
          <cell r="AO9" t="str">
            <v>Company Wide Key 7</v>
          </cell>
          <cell r="AQ9" t="str">
            <v>Mar</v>
          </cell>
          <cell r="AR9" t="str">
            <v>Apr</v>
          </cell>
          <cell r="AS9" t="str">
            <v>May</v>
          </cell>
          <cell r="AT9" t="str">
            <v>Jun</v>
          </cell>
          <cell r="AU9" t="str">
            <v>Jul</v>
          </cell>
          <cell r="AV9" t="str">
            <v>Aug</v>
          </cell>
          <cell r="AW9" t="str">
            <v>Sep</v>
          </cell>
          <cell r="AX9" t="str">
            <v>Oct</v>
          </cell>
          <cell r="AY9" t="str">
            <v>Nov</v>
          </cell>
          <cell r="AZ9" t="str">
            <v>Dec</v>
          </cell>
          <cell r="BA9" t="str">
            <v>Jan</v>
          </cell>
          <cell r="BB9" t="str">
            <v>Feb</v>
          </cell>
          <cell r="BC9" t="str">
            <v>Mar</v>
          </cell>
          <cell r="BF9" t="str">
            <v>Jun</v>
          </cell>
          <cell r="BG9" t="e">
            <v>#REF!</v>
          </cell>
          <cell r="BH9">
            <v>1</v>
          </cell>
          <cell r="BI9">
            <v>1</v>
          </cell>
          <cell r="BJ9" t="e">
            <v>#REF!</v>
          </cell>
          <cell r="BK9">
            <v>1</v>
          </cell>
          <cell r="BL9" t="e">
            <v>#REF!</v>
          </cell>
          <cell r="BM9">
            <v>1</v>
          </cell>
          <cell r="BN9">
            <v>0.80000000000000038</v>
          </cell>
          <cell r="BP9" t="str">
            <v/>
          </cell>
        </row>
        <row r="10">
          <cell r="G10">
            <v>8.3333333333333329E-2</v>
          </cell>
          <cell r="H10" t="str">
            <v>Performance</v>
          </cell>
          <cell r="I10">
            <v>0</v>
          </cell>
          <cell r="J10">
            <v>8.3333333333333329E-2</v>
          </cell>
          <cell r="K10">
            <v>0.16666666666666666</v>
          </cell>
          <cell r="L10">
            <v>0.25</v>
          </cell>
          <cell r="M10">
            <v>0.33333333333333331</v>
          </cell>
          <cell r="N10">
            <v>0.41666666666666663</v>
          </cell>
          <cell r="O10">
            <v>0.49999999999999994</v>
          </cell>
          <cell r="P10">
            <v>0.58333333333333326</v>
          </cell>
          <cell r="Q10">
            <v>0.66666666666666663</v>
          </cell>
          <cell r="R10">
            <v>0.75</v>
          </cell>
          <cell r="S10">
            <v>0.83333333333333337</v>
          </cell>
          <cell r="T10">
            <v>0.91666666666666674</v>
          </cell>
          <cell r="U10">
            <v>1</v>
          </cell>
          <cell r="X10">
            <v>1.5650604906937399E-2</v>
          </cell>
          <cell r="Y10" t="str">
            <v>Performance</v>
          </cell>
          <cell r="Z10">
            <v>0.81219274111675122</v>
          </cell>
          <cell r="AA10">
            <v>0.82784334602368859</v>
          </cell>
          <cell r="AB10">
            <v>0.84349395093062596</v>
          </cell>
          <cell r="AC10">
            <v>0.85914455583756333</v>
          </cell>
          <cell r="AD10">
            <v>0.8747951607445007</v>
          </cell>
          <cell r="AE10">
            <v>0.89044576565143807</v>
          </cell>
          <cell r="AF10">
            <v>0.90609637055837544</v>
          </cell>
          <cell r="AG10">
            <v>0.92174697546531281</v>
          </cell>
          <cell r="AH10">
            <v>0.93739758037225018</v>
          </cell>
          <cell r="AI10">
            <v>0.95304818527918755</v>
          </cell>
          <cell r="AJ10">
            <v>0.96869879018612493</v>
          </cell>
          <cell r="AK10">
            <v>0.9843493950930623</v>
          </cell>
          <cell r="AL10">
            <v>1</v>
          </cell>
          <cell r="AO10" t="str">
            <v>Tri Color</v>
          </cell>
          <cell r="AQ10" t="str">
            <v/>
          </cell>
          <cell r="AR10" t="str">
            <v/>
          </cell>
          <cell r="AS10" t="str">
            <v/>
          </cell>
          <cell r="AT10" t="str">
            <v/>
          </cell>
          <cell r="AU10" t="str">
            <v/>
          </cell>
          <cell r="AV10" t="str">
            <v/>
          </cell>
          <cell r="AW10" t="str">
            <v/>
          </cell>
          <cell r="AX10" t="str">
            <v/>
          </cell>
          <cell r="AY10" t="str">
            <v/>
          </cell>
          <cell r="AZ10" t="str">
            <v/>
          </cell>
          <cell r="BA10" t="str">
            <v/>
          </cell>
          <cell r="BB10" t="str">
            <v/>
          </cell>
          <cell r="BC10" t="str">
            <v/>
          </cell>
          <cell r="BF10" t="str">
            <v>Jul</v>
          </cell>
          <cell r="BG10" t="e">
            <v>#REF!</v>
          </cell>
          <cell r="BH10">
            <v>1</v>
          </cell>
          <cell r="BI10">
            <v>1</v>
          </cell>
          <cell r="BJ10" t="e">
            <v>#REF!</v>
          </cell>
          <cell r="BK10">
            <v>1</v>
          </cell>
          <cell r="BL10" t="e">
            <v>#REF!</v>
          </cell>
          <cell r="BM10" t="str">
            <v/>
          </cell>
          <cell r="BN10" t="str">
            <v/>
          </cell>
          <cell r="BP10" t="str">
            <v/>
          </cell>
        </row>
        <row r="11">
          <cell r="G11">
            <v>6.6666666666666666E-2</v>
          </cell>
          <cell r="H11" t="str">
            <v>Performance</v>
          </cell>
          <cell r="I11">
            <v>0</v>
          </cell>
          <cell r="J11">
            <v>6.6666666666666666E-2</v>
          </cell>
          <cell r="K11">
            <v>0.13333333333333333</v>
          </cell>
          <cell r="L11">
            <v>0.2</v>
          </cell>
          <cell r="M11">
            <v>0.26666666666666666</v>
          </cell>
          <cell r="N11">
            <v>0.33333333333333331</v>
          </cell>
          <cell r="O11">
            <v>0.39999999999999997</v>
          </cell>
          <cell r="P11">
            <v>0.46666666666666662</v>
          </cell>
          <cell r="Q11">
            <v>0.53333333333333333</v>
          </cell>
          <cell r="R11">
            <v>0.6</v>
          </cell>
          <cell r="S11">
            <v>0.66666666666666663</v>
          </cell>
          <cell r="T11">
            <v>0.73333333333333328</v>
          </cell>
          <cell r="U11">
            <v>0.8</v>
          </cell>
          <cell r="X11">
            <v>1.2364636209813873E-2</v>
          </cell>
          <cell r="Y11" t="str">
            <v>Performance</v>
          </cell>
          <cell r="Z11">
            <v>0.81218274111675126</v>
          </cell>
          <cell r="AA11">
            <v>0.82454737732656513</v>
          </cell>
          <cell r="AB11">
            <v>0.83691201353637901</v>
          </cell>
          <cell r="AC11">
            <v>0.84927664974619288</v>
          </cell>
          <cell r="AD11">
            <v>0.86164128595600675</v>
          </cell>
          <cell r="AE11">
            <v>0.87400592216582063</v>
          </cell>
          <cell r="AF11">
            <v>0.8863705583756345</v>
          </cell>
          <cell r="AG11">
            <v>0.89873519458544837</v>
          </cell>
          <cell r="AH11">
            <v>0.91109983079526224</v>
          </cell>
          <cell r="AI11">
            <v>0.92346446700507612</v>
          </cell>
          <cell r="AJ11">
            <v>0.93582910321488999</v>
          </cell>
          <cell r="AK11">
            <v>0.94819373942470386</v>
          </cell>
          <cell r="AL11">
            <v>0.96055837563451774</v>
          </cell>
          <cell r="AO11" t="str">
            <v>Achievement Rate</v>
          </cell>
          <cell r="AQ11" t="str">
            <v/>
          </cell>
          <cell r="AR11" t="str">
            <v/>
          </cell>
          <cell r="AS11" t="str">
            <v/>
          </cell>
          <cell r="AT11" t="str">
            <v/>
          </cell>
          <cell r="AU11" t="str">
            <v/>
          </cell>
          <cell r="AV11" t="str">
            <v/>
          </cell>
          <cell r="AW11" t="str">
            <v/>
          </cell>
          <cell r="AX11" t="str">
            <v/>
          </cell>
          <cell r="AY11" t="str">
            <v/>
          </cell>
          <cell r="AZ11" t="str">
            <v/>
          </cell>
          <cell r="BA11" t="str">
            <v/>
          </cell>
          <cell r="BB11" t="str">
            <v/>
          </cell>
          <cell r="BC11" t="str">
            <v/>
          </cell>
          <cell r="BF11" t="str">
            <v>Aug</v>
          </cell>
          <cell r="BG11" t="e">
            <v>#REF!</v>
          </cell>
          <cell r="BH11" t="str">
            <v/>
          </cell>
          <cell r="BI11" t="str">
            <v/>
          </cell>
          <cell r="BJ11" t="e">
            <v>#REF!</v>
          </cell>
          <cell r="BK11" t="str">
            <v/>
          </cell>
          <cell r="BL11" t="e">
            <v>#REF!</v>
          </cell>
          <cell r="BM11" t="str">
            <v/>
          </cell>
          <cell r="BN11" t="str">
            <v/>
          </cell>
          <cell r="BP11" t="str">
            <v/>
          </cell>
        </row>
        <row r="12">
          <cell r="G12">
            <v>4.1666666666666664E-2</v>
          </cell>
          <cell r="H12" t="str">
            <v>Performance</v>
          </cell>
          <cell r="I12">
            <v>0</v>
          </cell>
          <cell r="J12">
            <v>4.1666666666666664E-2</v>
          </cell>
          <cell r="K12">
            <v>8.3333333333333329E-2</v>
          </cell>
          <cell r="L12">
            <v>0.125</v>
          </cell>
          <cell r="M12">
            <v>0.16666666666666666</v>
          </cell>
          <cell r="N12">
            <v>0.20833333333333331</v>
          </cell>
          <cell r="O12">
            <v>0.24999999999999997</v>
          </cell>
          <cell r="P12">
            <v>0.29166666666666663</v>
          </cell>
          <cell r="Q12">
            <v>0.33333333333333331</v>
          </cell>
          <cell r="R12">
            <v>0.375</v>
          </cell>
          <cell r="S12">
            <v>0.41666666666666669</v>
          </cell>
          <cell r="T12">
            <v>0.45833333333333337</v>
          </cell>
          <cell r="U12">
            <v>0.5</v>
          </cell>
          <cell r="X12">
            <v>7.8257191201353635E-3</v>
          </cell>
          <cell r="Y12" t="str">
            <v>Performance</v>
          </cell>
          <cell r="Z12">
            <v>0.81218274111675126</v>
          </cell>
          <cell r="AA12">
            <v>0.82000846023688667</v>
          </cell>
          <cell r="AB12">
            <v>0.82783417935702208</v>
          </cell>
          <cell r="AC12">
            <v>0.83565989847715749</v>
          </cell>
          <cell r="AD12">
            <v>0.8434856175972929</v>
          </cell>
          <cell r="AE12">
            <v>0.85131133671742831</v>
          </cell>
          <cell r="AF12">
            <v>0.85913705583756372</v>
          </cell>
          <cell r="AG12">
            <v>0.86696277495769913</v>
          </cell>
          <cell r="AH12">
            <v>0.87478849407783454</v>
          </cell>
          <cell r="AI12">
            <v>0.88261421319796995</v>
          </cell>
          <cell r="AJ12">
            <v>0.89043993231810536</v>
          </cell>
          <cell r="AK12">
            <v>0.89826565143824078</v>
          </cell>
          <cell r="AL12">
            <v>0.90609137055837563</v>
          </cell>
          <cell r="AS12" t="str">
            <v/>
          </cell>
          <cell r="AT12" t="str">
            <v/>
          </cell>
          <cell r="AU12" t="str">
            <v/>
          </cell>
          <cell r="AV12" t="str">
            <v/>
          </cell>
          <cell r="AW12" t="str">
            <v/>
          </cell>
          <cell r="AX12" t="str">
            <v/>
          </cell>
          <cell r="AY12" t="str">
            <v/>
          </cell>
          <cell r="AZ12" t="str">
            <v/>
          </cell>
          <cell r="BA12" t="str">
            <v/>
          </cell>
          <cell r="BB12" t="str">
            <v/>
          </cell>
          <cell r="BC12" t="str">
            <v/>
          </cell>
          <cell r="BF12" t="str">
            <v>Sep</v>
          </cell>
          <cell r="BG12" t="e">
            <v>#REF!</v>
          </cell>
          <cell r="BH12" t="str">
            <v/>
          </cell>
          <cell r="BI12" t="str">
            <v/>
          </cell>
          <cell r="BJ12" t="e">
            <v>#REF!</v>
          </cell>
          <cell r="BK12" t="str">
            <v/>
          </cell>
          <cell r="BL12" t="e">
            <v>#REF!</v>
          </cell>
          <cell r="BM12" t="str">
            <v/>
          </cell>
          <cell r="BN12" t="str">
            <v/>
          </cell>
          <cell r="BP12" t="str">
            <v/>
          </cell>
        </row>
        <row r="13">
          <cell r="G13">
            <v>0</v>
          </cell>
          <cell r="I13">
            <v>0</v>
          </cell>
          <cell r="J13">
            <v>0</v>
          </cell>
          <cell r="K13">
            <v>0</v>
          </cell>
          <cell r="L13">
            <v>0</v>
          </cell>
          <cell r="M13">
            <v>0</v>
          </cell>
          <cell r="N13">
            <v>0</v>
          </cell>
          <cell r="O13">
            <v>0</v>
          </cell>
          <cell r="P13">
            <v>0</v>
          </cell>
          <cell r="Q13">
            <v>0</v>
          </cell>
          <cell r="R13">
            <v>0</v>
          </cell>
          <cell r="S13">
            <v>0</v>
          </cell>
          <cell r="T13">
            <v>0</v>
          </cell>
          <cell r="U13">
            <v>0</v>
          </cell>
          <cell r="X13">
            <v>0</v>
          </cell>
          <cell r="Z13">
            <v>0.81218274111675126</v>
          </cell>
          <cell r="AA13">
            <v>0.81218274111675126</v>
          </cell>
          <cell r="AB13">
            <v>0.81218274111675126</v>
          </cell>
          <cell r="AC13">
            <v>0.81218274111675126</v>
          </cell>
          <cell r="AD13">
            <v>0.81218274111675126</v>
          </cell>
          <cell r="AE13">
            <v>0.81218274111675126</v>
          </cell>
          <cell r="AF13">
            <v>0.81218274111675126</v>
          </cell>
          <cell r="AG13">
            <v>0.81218274111675126</v>
          </cell>
          <cell r="AH13">
            <v>0.81218274111675126</v>
          </cell>
          <cell r="AI13">
            <v>0.81218274111675126</v>
          </cell>
          <cell r="AJ13">
            <v>0.81218274111675126</v>
          </cell>
          <cell r="AK13">
            <v>0.81218274111675126</v>
          </cell>
          <cell r="AL13">
            <v>0.81218274111675126</v>
          </cell>
          <cell r="BF13" t="str">
            <v>Oct</v>
          </cell>
          <cell r="BG13" t="e">
            <v>#REF!</v>
          </cell>
          <cell r="BH13" t="str">
            <v/>
          </cell>
          <cell r="BI13" t="str">
            <v/>
          </cell>
          <cell r="BJ13" t="e">
            <v>#REF!</v>
          </cell>
          <cell r="BK13" t="str">
            <v/>
          </cell>
          <cell r="BL13" t="e">
            <v>#REF!</v>
          </cell>
          <cell r="BM13" t="str">
            <v/>
          </cell>
          <cell r="BN13" t="str">
            <v/>
          </cell>
          <cell r="BP13" t="str">
            <v/>
          </cell>
        </row>
        <row r="14">
          <cell r="G14" t="str">
            <v>Actual Performance</v>
          </cell>
          <cell r="I14">
            <v>1</v>
          </cell>
          <cell r="J14">
            <v>1</v>
          </cell>
          <cell r="K14">
            <v>1</v>
          </cell>
          <cell r="L14">
            <v>1</v>
          </cell>
          <cell r="M14">
            <v>1</v>
          </cell>
          <cell r="X14" t="str">
            <v>Actual Performance</v>
          </cell>
          <cell r="Z14">
            <v>0.81218274111675126</v>
          </cell>
          <cell r="AA14">
            <v>0.82741116751269039</v>
          </cell>
          <cell r="AB14">
            <v>0.86294416243654826</v>
          </cell>
          <cell r="AC14">
            <v>0.89847715736040612</v>
          </cell>
          <cell r="BF14" t="str">
            <v>Nov</v>
          </cell>
          <cell r="BG14" t="e">
            <v>#REF!</v>
          </cell>
          <cell r="BH14" t="str">
            <v/>
          </cell>
          <cell r="BI14" t="str">
            <v/>
          </cell>
          <cell r="BJ14" t="e">
            <v>#REF!</v>
          </cell>
          <cell r="BK14" t="str">
            <v/>
          </cell>
          <cell r="BL14" t="e">
            <v>#REF!</v>
          </cell>
          <cell r="BM14" t="str">
            <v/>
          </cell>
          <cell r="BN14" t="str">
            <v/>
          </cell>
          <cell r="BP14" t="str">
            <v/>
          </cell>
        </row>
        <row r="15">
          <cell r="G15" t="str">
            <v xml:space="preserve">Tri-color </v>
          </cell>
          <cell r="J15">
            <v>1</v>
          </cell>
          <cell r="K15">
            <v>1</v>
          </cell>
          <cell r="L15">
            <v>1</v>
          </cell>
          <cell r="M15">
            <v>1</v>
          </cell>
          <cell r="N15" t="str">
            <v/>
          </cell>
          <cell r="O15" t="str">
            <v/>
          </cell>
          <cell r="P15" t="str">
            <v/>
          </cell>
          <cell r="Q15" t="str">
            <v/>
          </cell>
          <cell r="R15" t="str">
            <v/>
          </cell>
          <cell r="S15" t="str">
            <v/>
          </cell>
          <cell r="T15" t="str">
            <v/>
          </cell>
          <cell r="U15" t="str">
            <v/>
          </cell>
          <cell r="X15" t="str">
            <v xml:space="preserve">Tri-color </v>
          </cell>
          <cell r="Z15">
            <v>0</v>
          </cell>
          <cell r="AA15">
            <v>0.97240345991956245</v>
          </cell>
          <cell r="AB15">
            <v>1</v>
          </cell>
          <cell r="AC15">
            <v>1</v>
          </cell>
          <cell r="AD15" t="str">
            <v/>
          </cell>
          <cell r="AE15" t="str">
            <v/>
          </cell>
          <cell r="AF15" t="str">
            <v/>
          </cell>
          <cell r="AG15" t="str">
            <v/>
          </cell>
          <cell r="AH15" t="str">
            <v/>
          </cell>
          <cell r="AI15" t="str">
            <v/>
          </cell>
          <cell r="AJ15" t="str">
            <v/>
          </cell>
          <cell r="AK15" t="str">
            <v/>
          </cell>
          <cell r="AL15" t="str">
            <v/>
          </cell>
          <cell r="BF15" t="str">
            <v>Dec</v>
          </cell>
          <cell r="BG15" t="e">
            <v>#REF!</v>
          </cell>
          <cell r="BH15" t="str">
            <v/>
          </cell>
          <cell r="BI15" t="str">
            <v/>
          </cell>
          <cell r="BJ15" t="e">
            <v>#REF!</v>
          </cell>
          <cell r="BK15" t="str">
            <v/>
          </cell>
          <cell r="BL15" t="e">
            <v>#REF!</v>
          </cell>
          <cell r="BM15" t="str">
            <v/>
          </cell>
          <cell r="BN15" t="str">
            <v/>
          </cell>
          <cell r="BP15" t="str">
            <v/>
          </cell>
        </row>
        <row r="16">
          <cell r="G16" t="str">
            <v>Achievement Rate</v>
          </cell>
          <cell r="J16">
            <v>1</v>
          </cell>
          <cell r="K16">
            <v>1</v>
          </cell>
          <cell r="L16">
            <v>1</v>
          </cell>
          <cell r="M16">
            <v>1</v>
          </cell>
          <cell r="N16" t="str">
            <v/>
          </cell>
          <cell r="O16" t="str">
            <v/>
          </cell>
          <cell r="P16" t="str">
            <v/>
          </cell>
          <cell r="Q16" t="str">
            <v/>
          </cell>
          <cell r="R16" t="str">
            <v/>
          </cell>
          <cell r="S16" t="str">
            <v/>
          </cell>
          <cell r="T16" t="str">
            <v/>
          </cell>
          <cell r="U16" t="str">
            <v/>
          </cell>
          <cell r="X16" t="str">
            <v>Achievement Rate</v>
          </cell>
          <cell r="Z16">
            <v>0</v>
          </cell>
          <cell r="AA16">
            <v>0.97240345991956245</v>
          </cell>
          <cell r="AB16">
            <v>1</v>
          </cell>
          <cell r="AC16">
            <v>1</v>
          </cell>
          <cell r="AD16" t="str">
            <v/>
          </cell>
          <cell r="AE16" t="str">
            <v/>
          </cell>
          <cell r="AF16" t="str">
            <v/>
          </cell>
          <cell r="AG16" t="str">
            <v/>
          </cell>
          <cell r="AH16" t="str">
            <v/>
          </cell>
          <cell r="AI16" t="str">
            <v/>
          </cell>
          <cell r="AJ16" t="str">
            <v/>
          </cell>
          <cell r="AK16" t="str">
            <v/>
          </cell>
          <cell r="AL16" t="str">
            <v/>
          </cell>
          <cell r="BF16" t="str">
            <v>Jan</v>
          </cell>
          <cell r="BG16" t="e">
            <v>#REF!</v>
          </cell>
          <cell r="BH16" t="str">
            <v/>
          </cell>
          <cell r="BI16" t="str">
            <v/>
          </cell>
          <cell r="BJ16" t="e">
            <v>#REF!</v>
          </cell>
          <cell r="BK16" t="str">
            <v/>
          </cell>
          <cell r="BL16" t="e">
            <v>#REF!</v>
          </cell>
          <cell r="BM16" t="str">
            <v/>
          </cell>
          <cell r="BN16" t="str">
            <v/>
          </cell>
          <cell r="BP16" t="str">
            <v/>
          </cell>
        </row>
        <row r="17">
          <cell r="BF17" t="str">
            <v>Feb</v>
          </cell>
          <cell r="BG17" t="e">
            <v>#REF!</v>
          </cell>
          <cell r="BH17" t="str">
            <v/>
          </cell>
          <cell r="BI17" t="str">
            <v/>
          </cell>
          <cell r="BJ17" t="e">
            <v>#REF!</v>
          </cell>
          <cell r="BK17" t="str">
            <v/>
          </cell>
          <cell r="BL17" t="e">
            <v>#REF!</v>
          </cell>
          <cell r="BM17" t="str">
            <v/>
          </cell>
          <cell r="BN17" t="str">
            <v/>
          </cell>
          <cell r="BP17" t="str">
            <v/>
          </cell>
        </row>
        <row r="18">
          <cell r="G18" t="str">
            <v>TSD-MOLD: Target= 17 Machines</v>
          </cell>
          <cell r="X18" t="str">
            <v>Mktg/PPC</v>
          </cell>
          <cell r="Z18" t="str">
            <v>Total=141</v>
          </cell>
          <cell r="BF18" t="str">
            <v>Mar</v>
          </cell>
          <cell r="BG18" t="e">
            <v>#REF!</v>
          </cell>
          <cell r="BH18" t="str">
            <v/>
          </cell>
          <cell r="BI18" t="str">
            <v/>
          </cell>
          <cell r="BJ18" t="e">
            <v>#REF!</v>
          </cell>
          <cell r="BK18" t="str">
            <v/>
          </cell>
          <cell r="BL18" t="e">
            <v>#REF!</v>
          </cell>
          <cell r="BM18" t="str">
            <v/>
          </cell>
          <cell r="BN18" t="str">
            <v/>
          </cell>
          <cell r="BP18" t="str">
            <v/>
          </cell>
        </row>
        <row r="19">
          <cell r="G19" t="str">
            <v>Zero Monitor manufacturing</v>
          </cell>
          <cell r="I19" t="str">
            <v>Mar</v>
          </cell>
          <cell r="J19" t="str">
            <v>Apr</v>
          </cell>
          <cell r="K19" t="str">
            <v>May</v>
          </cell>
          <cell r="L19" t="str">
            <v>Jun</v>
          </cell>
          <cell r="M19" t="str">
            <v>Jul</v>
          </cell>
          <cell r="N19" t="str">
            <v>Aug</v>
          </cell>
          <cell r="O19" t="str">
            <v>Sep</v>
          </cell>
          <cell r="P19" t="str">
            <v>Oct</v>
          </cell>
          <cell r="Q19" t="str">
            <v>Nov</v>
          </cell>
          <cell r="R19" t="str">
            <v>Dec</v>
          </cell>
          <cell r="S19" t="str">
            <v>Jan</v>
          </cell>
          <cell r="T19" t="str">
            <v>Feb</v>
          </cell>
          <cell r="U19" t="str">
            <v>Mar</v>
          </cell>
          <cell r="X19" t="str">
            <v>One Page Standard</v>
          </cell>
          <cell r="Z19" t="str">
            <v>Mar</v>
          </cell>
          <cell r="AA19" t="str">
            <v>Apr</v>
          </cell>
          <cell r="AB19" t="str">
            <v>May</v>
          </cell>
          <cell r="AC19" t="str">
            <v>Jun</v>
          </cell>
          <cell r="AD19" t="str">
            <v>Jul</v>
          </cell>
          <cell r="AE19" t="str">
            <v>Aug</v>
          </cell>
          <cell r="AF19" t="str">
            <v>Sep</v>
          </cell>
          <cell r="AG19" t="str">
            <v>Oct</v>
          </cell>
          <cell r="AH19" t="str">
            <v>Nov</v>
          </cell>
          <cell r="AI19" t="str">
            <v>Dec</v>
          </cell>
          <cell r="AJ19" t="str">
            <v>Jan</v>
          </cell>
          <cell r="AK19" t="str">
            <v>Feb</v>
          </cell>
          <cell r="AL19" t="str">
            <v>Mar</v>
          </cell>
        </row>
        <row r="20">
          <cell r="G20">
            <v>1.4166666666666667</v>
          </cell>
          <cell r="H20" t="str">
            <v>Performance</v>
          </cell>
          <cell r="I20">
            <v>0</v>
          </cell>
          <cell r="J20">
            <v>1.4166666666666667</v>
          </cell>
          <cell r="K20">
            <v>2.8333333333333335</v>
          </cell>
          <cell r="L20">
            <v>4.25</v>
          </cell>
          <cell r="M20">
            <v>5.666666666666667</v>
          </cell>
          <cell r="N20">
            <v>7.0833333333333339</v>
          </cell>
          <cell r="O20">
            <v>8.5</v>
          </cell>
          <cell r="P20">
            <v>9.9166666666666661</v>
          </cell>
          <cell r="Q20">
            <v>11.333333333333332</v>
          </cell>
          <cell r="R20">
            <v>12.749999999999998</v>
          </cell>
          <cell r="S20">
            <v>14.166666666666664</v>
          </cell>
          <cell r="T20">
            <v>15.58333333333333</v>
          </cell>
          <cell r="U20">
            <v>17</v>
          </cell>
          <cell r="X20">
            <v>1.7730496453900707E-2</v>
          </cell>
          <cell r="Y20" t="str">
            <v>Performance</v>
          </cell>
          <cell r="Z20">
            <v>0.78723404255319152</v>
          </cell>
          <cell r="AA20">
            <v>0.80496453900709219</v>
          </cell>
          <cell r="AB20">
            <v>0.82269503546099287</v>
          </cell>
          <cell r="AC20">
            <v>0.84042553191489355</v>
          </cell>
          <cell r="AD20">
            <v>0.85815602836879423</v>
          </cell>
          <cell r="AE20">
            <v>0.87588652482269491</v>
          </cell>
          <cell r="AF20">
            <v>0.89361702127659559</v>
          </cell>
          <cell r="AG20">
            <v>0.91134751773049627</v>
          </cell>
          <cell r="AH20">
            <v>0.92907801418439695</v>
          </cell>
          <cell r="AI20">
            <v>0.94680851063829763</v>
          </cell>
          <cell r="AJ20">
            <v>0.96453900709219831</v>
          </cell>
          <cell r="AK20">
            <v>0.98226950354609899</v>
          </cell>
          <cell r="AL20">
            <v>1</v>
          </cell>
        </row>
        <row r="21">
          <cell r="G21">
            <v>1.0833333333333333</v>
          </cell>
          <cell r="H21" t="str">
            <v>Performance</v>
          </cell>
          <cell r="I21">
            <v>0</v>
          </cell>
          <cell r="J21">
            <v>1.0833333333333333</v>
          </cell>
          <cell r="K21">
            <v>2.1666666666666665</v>
          </cell>
          <cell r="L21">
            <v>3.25</v>
          </cell>
          <cell r="M21">
            <v>4.333333333333333</v>
          </cell>
          <cell r="N21">
            <v>5.4166666666666661</v>
          </cell>
          <cell r="O21">
            <v>6.4999999999999991</v>
          </cell>
          <cell r="P21">
            <v>7.5833333333333321</v>
          </cell>
          <cell r="Q21">
            <v>8.6666666666666661</v>
          </cell>
          <cell r="R21">
            <v>9.75</v>
          </cell>
          <cell r="S21">
            <v>10.833333333333334</v>
          </cell>
          <cell r="T21">
            <v>11.916666666666668</v>
          </cell>
          <cell r="U21">
            <v>13</v>
          </cell>
          <cell r="X21">
            <v>1.4007092198581558E-2</v>
          </cell>
          <cell r="Y21" t="str">
            <v>Performance</v>
          </cell>
          <cell r="Z21">
            <v>0.78723404255319152</v>
          </cell>
          <cell r="AA21">
            <v>0.80124113475177305</v>
          </cell>
          <cell r="AB21">
            <v>0.81524822695035459</v>
          </cell>
          <cell r="AC21">
            <v>0.82925531914893613</v>
          </cell>
          <cell r="AD21">
            <v>0.84326241134751767</v>
          </cell>
          <cell r="AE21">
            <v>0.85726950354609921</v>
          </cell>
          <cell r="AF21">
            <v>0.87127659574468075</v>
          </cell>
          <cell r="AG21">
            <v>0.88528368794326229</v>
          </cell>
          <cell r="AH21">
            <v>0.89929078014184383</v>
          </cell>
          <cell r="AI21">
            <v>0.91329787234042537</v>
          </cell>
          <cell r="AJ21">
            <v>0.9273049645390069</v>
          </cell>
          <cell r="AK21">
            <v>0.94131205673758844</v>
          </cell>
          <cell r="AL21">
            <v>0.9553191489361702</v>
          </cell>
        </row>
        <row r="22">
          <cell r="G22">
            <v>0.75</v>
          </cell>
          <cell r="H22" t="str">
            <v>Performance</v>
          </cell>
          <cell r="I22">
            <v>0</v>
          </cell>
          <cell r="J22">
            <v>0.75</v>
          </cell>
          <cell r="K22">
            <v>1.5</v>
          </cell>
          <cell r="L22">
            <v>2.25</v>
          </cell>
          <cell r="M22">
            <v>3</v>
          </cell>
          <cell r="N22">
            <v>3.75</v>
          </cell>
          <cell r="O22">
            <v>4.5</v>
          </cell>
          <cell r="P22">
            <v>5.25</v>
          </cell>
          <cell r="Q22">
            <v>6</v>
          </cell>
          <cell r="R22">
            <v>6.75</v>
          </cell>
          <cell r="S22">
            <v>7.5</v>
          </cell>
          <cell r="T22">
            <v>8.25</v>
          </cell>
          <cell r="U22">
            <v>9</v>
          </cell>
          <cell r="X22">
            <v>8.8652482269503483E-3</v>
          </cell>
          <cell r="Y22" t="str">
            <v>Performance</v>
          </cell>
          <cell r="Z22">
            <v>0.78723404255319152</v>
          </cell>
          <cell r="AA22">
            <v>0.79609929078014185</v>
          </cell>
          <cell r="AB22">
            <v>0.80496453900709219</v>
          </cell>
          <cell r="AC22">
            <v>0.81382978723404253</v>
          </cell>
          <cell r="AD22">
            <v>0.82269503546099287</v>
          </cell>
          <cell r="AE22">
            <v>0.83156028368794321</v>
          </cell>
          <cell r="AF22">
            <v>0.84042553191489355</v>
          </cell>
          <cell r="AG22">
            <v>0.84929078014184389</v>
          </cell>
          <cell r="AH22">
            <v>0.85815602836879423</v>
          </cell>
          <cell r="AI22">
            <v>0.86702127659574457</v>
          </cell>
          <cell r="AJ22">
            <v>0.87588652482269491</v>
          </cell>
          <cell r="AK22">
            <v>0.88475177304964525</v>
          </cell>
          <cell r="AL22">
            <v>0.8936170212765957</v>
          </cell>
        </row>
        <row r="23">
          <cell r="G23">
            <v>0</v>
          </cell>
          <cell r="I23">
            <v>0</v>
          </cell>
          <cell r="J23">
            <v>0</v>
          </cell>
          <cell r="K23">
            <v>0</v>
          </cell>
          <cell r="L23">
            <v>0</v>
          </cell>
          <cell r="M23">
            <v>0</v>
          </cell>
          <cell r="N23">
            <v>0</v>
          </cell>
          <cell r="O23">
            <v>0</v>
          </cell>
          <cell r="P23">
            <v>0</v>
          </cell>
          <cell r="Q23">
            <v>0</v>
          </cell>
          <cell r="R23">
            <v>0</v>
          </cell>
          <cell r="S23">
            <v>0</v>
          </cell>
          <cell r="T23">
            <v>0</v>
          </cell>
          <cell r="U23">
            <v>0</v>
          </cell>
          <cell r="X23">
            <v>0</v>
          </cell>
          <cell r="Z23">
            <v>0.78723404255319152</v>
          </cell>
          <cell r="AA23">
            <v>0.78723404255319152</v>
          </cell>
          <cell r="AB23">
            <v>0.78723404255319152</v>
          </cell>
          <cell r="AC23">
            <v>0.78723404255319152</v>
          </cell>
          <cell r="AD23">
            <v>0.78723404255319152</v>
          </cell>
          <cell r="AE23">
            <v>0.78723404255319152</v>
          </cell>
          <cell r="AF23">
            <v>0.78723404255319152</v>
          </cell>
          <cell r="AG23">
            <v>0.78723404255319152</v>
          </cell>
          <cell r="AH23">
            <v>0.78723404255319152</v>
          </cell>
          <cell r="AI23">
            <v>0.78723404255319152</v>
          </cell>
          <cell r="AJ23">
            <v>0.78723404255319152</v>
          </cell>
          <cell r="AK23">
            <v>0.78723404255319152</v>
          </cell>
          <cell r="AL23">
            <v>0.78723404255319152</v>
          </cell>
        </row>
        <row r="24">
          <cell r="G24" t="str">
            <v>Actual Performance</v>
          </cell>
          <cell r="J24">
            <v>17</v>
          </cell>
          <cell r="K24">
            <v>17</v>
          </cell>
          <cell r="L24">
            <v>17</v>
          </cell>
          <cell r="M24">
            <v>17</v>
          </cell>
          <cell r="X24" t="str">
            <v>Actual Performance</v>
          </cell>
          <cell r="Z24">
            <v>0.78723404255319152</v>
          </cell>
          <cell r="AA24">
            <v>0.78720000000000001</v>
          </cell>
          <cell r="AB24">
            <v>0.78723404255319152</v>
          </cell>
          <cell r="AC24">
            <v>0.82978723404255317</v>
          </cell>
        </row>
        <row r="25">
          <cell r="G25" t="str">
            <v xml:space="preserve">Tri-color </v>
          </cell>
          <cell r="J25">
            <v>1</v>
          </cell>
          <cell r="K25">
            <v>1</v>
          </cell>
          <cell r="L25">
            <v>1</v>
          </cell>
          <cell r="M25">
            <v>1</v>
          </cell>
          <cell r="N25" t="str">
            <v/>
          </cell>
          <cell r="O25" t="str">
            <v/>
          </cell>
          <cell r="P25" t="str">
            <v/>
          </cell>
          <cell r="Q25" t="str">
            <v/>
          </cell>
          <cell r="R25" t="str">
            <v/>
          </cell>
          <cell r="S25" t="str">
            <v/>
          </cell>
          <cell r="T25" t="str">
            <v/>
          </cell>
          <cell r="U25" t="str">
            <v/>
          </cell>
          <cell r="X25" t="str">
            <v xml:space="preserve">Tri-color </v>
          </cell>
          <cell r="Z25" t="e">
            <v>#DIV/0!</v>
          </cell>
          <cell r="AA25">
            <v>-1.9200000000008577E-3</v>
          </cell>
          <cell r="AB25">
            <v>0</v>
          </cell>
          <cell r="AC25">
            <v>0.80000000000000038</v>
          </cell>
          <cell r="AD25" t="str">
            <v/>
          </cell>
          <cell r="AE25" t="str">
            <v/>
          </cell>
          <cell r="AF25" t="str">
            <v/>
          </cell>
          <cell r="AG25" t="str">
            <v/>
          </cell>
          <cell r="AH25" t="str">
            <v/>
          </cell>
          <cell r="AI25" t="str">
            <v/>
          </cell>
          <cell r="AJ25" t="str">
            <v/>
          </cell>
          <cell r="AK25" t="str">
            <v/>
          </cell>
          <cell r="AL25" t="str">
            <v/>
          </cell>
        </row>
        <row r="26">
          <cell r="G26" t="str">
            <v>Achievement Rate</v>
          </cell>
          <cell r="J26">
            <v>1</v>
          </cell>
          <cell r="K26">
            <v>1</v>
          </cell>
          <cell r="L26">
            <v>1</v>
          </cell>
          <cell r="M26">
            <v>1</v>
          </cell>
          <cell r="N26" t="str">
            <v/>
          </cell>
          <cell r="O26" t="str">
            <v/>
          </cell>
          <cell r="P26" t="str">
            <v/>
          </cell>
          <cell r="Q26" t="str">
            <v/>
          </cell>
          <cell r="R26" t="str">
            <v/>
          </cell>
          <cell r="S26" t="str">
            <v/>
          </cell>
          <cell r="T26" t="str">
            <v/>
          </cell>
          <cell r="U26" t="str">
            <v/>
          </cell>
          <cell r="X26" t="str">
            <v>Achievement Rate</v>
          </cell>
          <cell r="AA26">
            <v>-1.9200000000008577E-3</v>
          </cell>
          <cell r="AB26">
            <v>0</v>
          </cell>
          <cell r="AC26">
            <v>0.80000000000000038</v>
          </cell>
          <cell r="AD26" t="str">
            <v/>
          </cell>
          <cell r="AE26" t="str">
            <v/>
          </cell>
          <cell r="AF26" t="str">
            <v/>
          </cell>
          <cell r="AG26" t="str">
            <v/>
          </cell>
          <cell r="AH26" t="str">
            <v/>
          </cell>
          <cell r="AI26" t="str">
            <v/>
          </cell>
          <cell r="AJ26" t="str">
            <v/>
          </cell>
          <cell r="AK26" t="str">
            <v/>
          </cell>
          <cell r="AL26" t="str">
            <v/>
          </cell>
        </row>
        <row r="28">
          <cell r="G28" t="str">
            <v>EMSD; Target =3 Machines</v>
          </cell>
        </row>
        <row r="29">
          <cell r="G29" t="str">
            <v>Zero Monitor manufacturing</v>
          </cell>
          <cell r="I29" t="str">
            <v>Mar</v>
          </cell>
          <cell r="J29" t="str">
            <v>Apr</v>
          </cell>
          <cell r="K29" t="str">
            <v>May</v>
          </cell>
          <cell r="L29" t="str">
            <v>Jun</v>
          </cell>
          <cell r="M29" t="str">
            <v>Jul</v>
          </cell>
          <cell r="N29" t="str">
            <v>Aug</v>
          </cell>
          <cell r="O29" t="str">
            <v>Sep</v>
          </cell>
          <cell r="P29" t="str">
            <v>Oct</v>
          </cell>
          <cell r="Q29" t="str">
            <v>Nov</v>
          </cell>
          <cell r="R29" t="str">
            <v>Dec</v>
          </cell>
          <cell r="S29" t="str">
            <v>Jan</v>
          </cell>
          <cell r="T29" t="str">
            <v>Feb</v>
          </cell>
          <cell r="U29" t="str">
            <v>Mar</v>
          </cell>
        </row>
        <row r="30">
          <cell r="G30">
            <v>0.25</v>
          </cell>
          <cell r="H30" t="str">
            <v>Performance</v>
          </cell>
          <cell r="I30">
            <v>0</v>
          </cell>
          <cell r="J30">
            <v>0.25</v>
          </cell>
          <cell r="K30">
            <v>0.5</v>
          </cell>
          <cell r="L30">
            <v>0.75</v>
          </cell>
          <cell r="M30">
            <v>1</v>
          </cell>
          <cell r="N30">
            <v>1.25</v>
          </cell>
          <cell r="O30">
            <v>1.5</v>
          </cell>
          <cell r="P30">
            <v>1.75</v>
          </cell>
          <cell r="Q30">
            <v>2</v>
          </cell>
          <cell r="R30">
            <v>2.25</v>
          </cell>
          <cell r="S30">
            <v>2.5</v>
          </cell>
          <cell r="T30">
            <v>2.75</v>
          </cell>
          <cell r="U30">
            <v>3</v>
          </cell>
          <cell r="X30" t="str">
            <v>One Page Standard</v>
          </cell>
        </row>
        <row r="31">
          <cell r="G31">
            <v>0.16666666666666666</v>
          </cell>
          <cell r="H31" t="str">
            <v>Performance</v>
          </cell>
          <cell r="I31">
            <v>0</v>
          </cell>
          <cell r="J31">
            <v>0.16666666666666666</v>
          </cell>
          <cell r="K31">
            <v>0.33333333333333331</v>
          </cell>
          <cell r="L31">
            <v>0.5</v>
          </cell>
          <cell r="M31">
            <v>0.66666666666666663</v>
          </cell>
          <cell r="N31">
            <v>0.83333333333333326</v>
          </cell>
          <cell r="O31">
            <v>0.99999999999999989</v>
          </cell>
          <cell r="P31">
            <v>1.1666666666666665</v>
          </cell>
          <cell r="Q31">
            <v>1.3333333333333333</v>
          </cell>
          <cell r="R31">
            <v>1.5</v>
          </cell>
          <cell r="S31">
            <v>1.6666666666666667</v>
          </cell>
          <cell r="T31">
            <v>1.8333333333333335</v>
          </cell>
          <cell r="U31">
            <v>2</v>
          </cell>
        </row>
        <row r="32">
          <cell r="G32">
            <v>8.3333333333333329E-2</v>
          </cell>
          <cell r="H32" t="str">
            <v>Performance</v>
          </cell>
          <cell r="I32">
            <v>0</v>
          </cell>
          <cell r="J32">
            <v>8.3333333333333329E-2</v>
          </cell>
          <cell r="K32">
            <v>0.16666666666666666</v>
          </cell>
          <cell r="L32">
            <v>0.25</v>
          </cell>
          <cell r="M32">
            <v>0.33333333333333331</v>
          </cell>
          <cell r="N32">
            <v>0.41666666666666663</v>
          </cell>
          <cell r="O32">
            <v>0.49999999999999994</v>
          </cell>
          <cell r="P32">
            <v>0.58333333333333326</v>
          </cell>
          <cell r="Q32">
            <v>0.66666666666666663</v>
          </cell>
          <cell r="R32">
            <v>0.75</v>
          </cell>
          <cell r="S32">
            <v>0.83333333333333337</v>
          </cell>
          <cell r="T32">
            <v>0.91666666666666674</v>
          </cell>
          <cell r="U32">
            <v>1</v>
          </cell>
          <cell r="X32" t="str">
            <v>Company Wide Key 7</v>
          </cell>
          <cell r="Z32" t="str">
            <v>Mar</v>
          </cell>
          <cell r="AA32" t="str">
            <v>Apr</v>
          </cell>
          <cell r="AB32" t="str">
            <v>May</v>
          </cell>
          <cell r="AC32" t="str">
            <v>Jun</v>
          </cell>
          <cell r="AD32" t="str">
            <v>Jul</v>
          </cell>
          <cell r="AE32" t="str">
            <v>Aug</v>
          </cell>
          <cell r="AF32" t="str">
            <v>Sep</v>
          </cell>
          <cell r="AG32" t="str">
            <v>Oct</v>
          </cell>
          <cell r="AH32" t="str">
            <v>Nov</v>
          </cell>
          <cell r="AI32" t="str">
            <v>Dec</v>
          </cell>
          <cell r="AJ32" t="str">
            <v>Jan</v>
          </cell>
          <cell r="AK32" t="str">
            <v>Feb</v>
          </cell>
          <cell r="AL32" t="str">
            <v>Mar</v>
          </cell>
        </row>
        <row r="33">
          <cell r="G33">
            <v>0</v>
          </cell>
          <cell r="I33">
            <v>0</v>
          </cell>
          <cell r="J33">
            <v>0</v>
          </cell>
          <cell r="K33">
            <v>0</v>
          </cell>
          <cell r="L33">
            <v>0</v>
          </cell>
          <cell r="M33">
            <v>0</v>
          </cell>
          <cell r="N33">
            <v>0</v>
          </cell>
          <cell r="O33">
            <v>0</v>
          </cell>
          <cell r="P33">
            <v>0</v>
          </cell>
          <cell r="Q33">
            <v>0</v>
          </cell>
          <cell r="R33">
            <v>0</v>
          </cell>
          <cell r="S33">
            <v>0</v>
          </cell>
          <cell r="T33">
            <v>0</v>
          </cell>
          <cell r="U33">
            <v>0</v>
          </cell>
          <cell r="X33">
            <v>1.6690967347085712E-2</v>
          </cell>
          <cell r="Y33" t="str">
            <v>Performance</v>
          </cell>
          <cell r="Z33">
            <v>0.79970839183497144</v>
          </cell>
          <cell r="AA33">
            <v>0.81639935918205719</v>
          </cell>
          <cell r="AB33">
            <v>0.83309032652914294</v>
          </cell>
          <cell r="AC33">
            <v>0.84978129387622869</v>
          </cell>
          <cell r="AD33">
            <v>0.86647226122331444</v>
          </cell>
          <cell r="AE33">
            <v>0.88316322857040019</v>
          </cell>
          <cell r="AF33">
            <v>0.89985419591748594</v>
          </cell>
          <cell r="AG33">
            <v>0.91654516326457169</v>
          </cell>
          <cell r="AH33">
            <v>0.93323613061165744</v>
          </cell>
          <cell r="AI33">
            <v>0.94992709795874319</v>
          </cell>
          <cell r="AJ33">
            <v>0.96661806530582894</v>
          </cell>
          <cell r="AK33">
            <v>0.98330903265291469</v>
          </cell>
          <cell r="AL33">
            <v>1</v>
          </cell>
        </row>
        <row r="34">
          <cell r="G34" t="str">
            <v>Actual Performance</v>
          </cell>
          <cell r="J34">
            <v>3</v>
          </cell>
          <cell r="K34">
            <v>3</v>
          </cell>
          <cell r="L34">
            <v>3</v>
          </cell>
          <cell r="M34">
            <v>3</v>
          </cell>
          <cell r="X34">
            <v>1.3185864204197715E-2</v>
          </cell>
          <cell r="Y34" t="str">
            <v>Performance</v>
          </cell>
          <cell r="Z34">
            <v>0.79970839183497144</v>
          </cell>
          <cell r="AA34">
            <v>0.81289425603916921</v>
          </cell>
          <cell r="AB34">
            <v>0.82608012024336697</v>
          </cell>
          <cell r="AC34">
            <v>0.83926598444756473</v>
          </cell>
          <cell r="AD34">
            <v>0.85245184865176249</v>
          </cell>
          <cell r="AE34">
            <v>0.86563771285596025</v>
          </cell>
          <cell r="AF34">
            <v>0.87882357706015801</v>
          </cell>
          <cell r="AG34">
            <v>0.89200944126435577</v>
          </cell>
          <cell r="AH34">
            <v>0.90519530546855353</v>
          </cell>
          <cell r="AI34">
            <v>0.9183811696727513</v>
          </cell>
          <cell r="AJ34">
            <v>0.93156703387694906</v>
          </cell>
          <cell r="AK34">
            <v>0.94475289808114682</v>
          </cell>
          <cell r="AL34">
            <v>0.95793876228534403</v>
          </cell>
        </row>
        <row r="35">
          <cell r="G35" t="str">
            <v xml:space="preserve">Tri-color </v>
          </cell>
          <cell r="J35">
            <v>1</v>
          </cell>
          <cell r="K35">
            <v>1</v>
          </cell>
          <cell r="L35">
            <v>1</v>
          </cell>
          <cell r="M35">
            <v>1</v>
          </cell>
          <cell r="N35" t="str">
            <v/>
          </cell>
          <cell r="O35" t="str">
            <v/>
          </cell>
          <cell r="P35" t="str">
            <v/>
          </cell>
          <cell r="Q35" t="str">
            <v/>
          </cell>
          <cell r="R35" t="str">
            <v/>
          </cell>
          <cell r="S35" t="str">
            <v/>
          </cell>
          <cell r="T35" t="str">
            <v/>
          </cell>
          <cell r="U35" t="str">
            <v/>
          </cell>
          <cell r="X35">
            <v>8.3454836735428559E-3</v>
          </cell>
          <cell r="Y35" t="str">
            <v>Performance</v>
          </cell>
          <cell r="Z35">
            <v>0.79970839183497144</v>
          </cell>
          <cell r="AA35">
            <v>0.80805387550851426</v>
          </cell>
          <cell r="AB35">
            <v>0.81639935918205708</v>
          </cell>
          <cell r="AC35">
            <v>0.8247448428555999</v>
          </cell>
          <cell r="AD35">
            <v>0.83309032652914272</v>
          </cell>
          <cell r="AE35">
            <v>0.84143581020268554</v>
          </cell>
          <cell r="AF35">
            <v>0.84978129387622836</v>
          </cell>
          <cell r="AG35">
            <v>0.85812677754977118</v>
          </cell>
          <cell r="AH35">
            <v>0.866472261223314</v>
          </cell>
          <cell r="AI35">
            <v>0.87481774489685682</v>
          </cell>
          <cell r="AJ35">
            <v>0.88316322857039964</v>
          </cell>
          <cell r="AK35">
            <v>0.89150871224394246</v>
          </cell>
          <cell r="AL35">
            <v>0.89985419591748572</v>
          </cell>
        </row>
        <row r="36">
          <cell r="G36" t="str">
            <v>Achievement Rate</v>
          </cell>
          <cell r="J36">
            <v>1</v>
          </cell>
          <cell r="K36">
            <v>1</v>
          </cell>
          <cell r="L36">
            <v>1</v>
          </cell>
          <cell r="M36">
            <v>1</v>
          </cell>
          <cell r="N36" t="str">
            <v/>
          </cell>
          <cell r="O36" t="str">
            <v/>
          </cell>
          <cell r="P36" t="str">
            <v/>
          </cell>
          <cell r="Q36" t="str">
            <v/>
          </cell>
          <cell r="R36" t="str">
            <v/>
          </cell>
          <cell r="S36" t="str">
            <v/>
          </cell>
          <cell r="T36" t="str">
            <v/>
          </cell>
          <cell r="U36" t="str">
            <v/>
          </cell>
          <cell r="X36">
            <v>0</v>
          </cell>
          <cell r="Z36">
            <v>0.79970839183497144</v>
          </cell>
          <cell r="AA36">
            <v>0.79970839183497144</v>
          </cell>
          <cell r="AB36">
            <v>0.79970839183497144</v>
          </cell>
          <cell r="AC36">
            <v>0.79970839183497144</v>
          </cell>
          <cell r="AD36">
            <v>0.79970839183497144</v>
          </cell>
          <cell r="AE36">
            <v>0.79970839183497144</v>
          </cell>
          <cell r="AF36">
            <v>0.79970839183497144</v>
          </cell>
          <cell r="AG36">
            <v>0.79970839183497144</v>
          </cell>
          <cell r="AH36">
            <v>0.79970839183497144</v>
          </cell>
          <cell r="AI36">
            <v>0.79970839183497144</v>
          </cell>
          <cell r="AJ36">
            <v>0.79970839183497144</v>
          </cell>
          <cell r="AK36">
            <v>0.79970839183497144</v>
          </cell>
          <cell r="AL36">
            <v>0.79970839183497144</v>
          </cell>
        </row>
        <row r="37">
          <cell r="X37" t="str">
            <v>Actual Performance</v>
          </cell>
          <cell r="Z37">
            <v>0.79970839183497144</v>
          </cell>
          <cell r="AA37">
            <v>0.8073055837563452</v>
          </cell>
          <cell r="AB37">
            <v>0.82508910249486989</v>
          </cell>
          <cell r="AC37">
            <v>0.86413219570147959</v>
          </cell>
          <cell r="AD37" t="str">
            <v/>
          </cell>
          <cell r="AE37" t="str">
            <v/>
          </cell>
          <cell r="AF37" t="str">
            <v/>
          </cell>
          <cell r="AG37" t="str">
            <v/>
          </cell>
          <cell r="AH37" t="str">
            <v/>
          </cell>
          <cell r="AI37" t="str">
            <v/>
          </cell>
          <cell r="AJ37" t="str">
            <v/>
          </cell>
          <cell r="AK37" t="str">
            <v/>
          </cell>
          <cell r="AL37" t="str">
            <v/>
          </cell>
        </row>
        <row r="38">
          <cell r="G38" t="str">
            <v>YFLEX(20 Machine); Target= One Machines</v>
          </cell>
          <cell r="X38" t="str">
            <v xml:space="preserve">Tri-color </v>
          </cell>
          <cell r="AA38">
            <v>0.48524172995978082</v>
          </cell>
          <cell r="AD38" t="str">
            <v/>
          </cell>
          <cell r="AE38" t="str">
            <v/>
          </cell>
          <cell r="AF38" t="str">
            <v/>
          </cell>
          <cell r="AG38" t="str">
            <v/>
          </cell>
          <cell r="AH38" t="str">
            <v/>
          </cell>
          <cell r="AI38" t="str">
            <v/>
          </cell>
          <cell r="AJ38" t="str">
            <v/>
          </cell>
          <cell r="AK38" t="str">
            <v/>
          </cell>
          <cell r="AL38" t="str">
            <v/>
          </cell>
        </row>
        <row r="39">
          <cell r="G39" t="str">
            <v>Zero Monitor manufacturing</v>
          </cell>
          <cell r="I39" t="str">
            <v>Apr</v>
          </cell>
          <cell r="K39" t="str">
            <v>May</v>
          </cell>
          <cell r="L39" t="str">
            <v>Jun</v>
          </cell>
          <cell r="M39" t="str">
            <v>Jul</v>
          </cell>
          <cell r="N39" t="str">
            <v>Aug</v>
          </cell>
          <cell r="O39" t="str">
            <v>Sep</v>
          </cell>
          <cell r="P39" t="str">
            <v>Oct</v>
          </cell>
          <cell r="Q39" t="str">
            <v>Nov</v>
          </cell>
          <cell r="R39" t="str">
            <v>Dec</v>
          </cell>
          <cell r="S39" t="str">
            <v>Jan</v>
          </cell>
          <cell r="T39" t="str">
            <v>Feb</v>
          </cell>
          <cell r="U39" t="str">
            <v>Mar</v>
          </cell>
          <cell r="X39" t="str">
            <v>Achievement Rate</v>
          </cell>
          <cell r="AA39">
            <v>0.48524172995978082</v>
          </cell>
          <cell r="AB39">
            <v>0</v>
          </cell>
          <cell r="AC39">
            <v>0</v>
          </cell>
          <cell r="AD39" t="str">
            <v/>
          </cell>
          <cell r="AE39" t="str">
            <v/>
          </cell>
          <cell r="AF39" t="str">
            <v/>
          </cell>
          <cell r="AG39" t="str">
            <v/>
          </cell>
          <cell r="AH39" t="str">
            <v/>
          </cell>
          <cell r="AI39" t="str">
            <v/>
          </cell>
          <cell r="AJ39" t="str">
            <v/>
          </cell>
          <cell r="AK39" t="str">
            <v/>
          </cell>
          <cell r="AL39" t="str">
            <v/>
          </cell>
        </row>
        <row r="40">
          <cell r="G40">
            <v>9.0909090909090912E-2</v>
          </cell>
          <cell r="H40" t="str">
            <v>Performance</v>
          </cell>
          <cell r="I40">
            <v>0</v>
          </cell>
          <cell r="K40">
            <v>9.0909090909090912E-2</v>
          </cell>
          <cell r="L40">
            <v>0.18181818181818182</v>
          </cell>
          <cell r="M40">
            <v>0.27272727272727271</v>
          </cell>
          <cell r="N40">
            <v>0.36363636363636365</v>
          </cell>
          <cell r="O40">
            <v>0.45454545454545459</v>
          </cell>
          <cell r="P40">
            <v>0.54545454545454553</v>
          </cell>
          <cell r="Q40">
            <v>0.63636363636363646</v>
          </cell>
          <cell r="R40">
            <v>0.7272727272727274</v>
          </cell>
          <cell r="S40">
            <v>0.81818181818181834</v>
          </cell>
          <cell r="T40">
            <v>0.90909090909090928</v>
          </cell>
          <cell r="U40">
            <v>1</v>
          </cell>
        </row>
        <row r="41">
          <cell r="G41">
            <v>7.2727272727272738E-2</v>
          </cell>
          <cell r="H41" t="str">
            <v>Performance</v>
          </cell>
          <cell r="I41">
            <v>0</v>
          </cell>
          <cell r="K41">
            <v>7.2727272727272738E-2</v>
          </cell>
          <cell r="L41">
            <v>0.14545454545454548</v>
          </cell>
          <cell r="M41">
            <v>0.2181818181818182</v>
          </cell>
          <cell r="N41">
            <v>0.29090909090909095</v>
          </cell>
          <cell r="O41">
            <v>0.3636363636363637</v>
          </cell>
          <cell r="P41">
            <v>0.43636363636363645</v>
          </cell>
          <cell r="Q41">
            <v>0.50909090909090915</v>
          </cell>
          <cell r="R41">
            <v>0.5818181818181819</v>
          </cell>
          <cell r="S41">
            <v>0.65454545454545465</v>
          </cell>
          <cell r="T41">
            <v>0.7272727272727274</v>
          </cell>
          <cell r="U41">
            <v>0.8</v>
          </cell>
        </row>
        <row r="42">
          <cell r="G42">
            <v>4.5454545454545456E-2</v>
          </cell>
          <cell r="H42" t="str">
            <v>Performance</v>
          </cell>
          <cell r="I42">
            <v>0</v>
          </cell>
          <cell r="K42">
            <v>4.5454545454545456E-2</v>
          </cell>
          <cell r="L42">
            <v>9.0909090909090912E-2</v>
          </cell>
          <cell r="M42">
            <v>0.13636363636363635</v>
          </cell>
          <cell r="N42">
            <v>0.18181818181818182</v>
          </cell>
          <cell r="O42">
            <v>0.22727272727272729</v>
          </cell>
          <cell r="P42">
            <v>0.27272727272727276</v>
          </cell>
          <cell r="Q42">
            <v>0.31818181818181823</v>
          </cell>
          <cell r="R42">
            <v>0.3636363636363637</v>
          </cell>
          <cell r="S42">
            <v>0.40909090909090917</v>
          </cell>
          <cell r="T42">
            <v>0.45454545454545464</v>
          </cell>
          <cell r="U42">
            <v>0.5</v>
          </cell>
        </row>
        <row r="43">
          <cell r="G43">
            <v>0</v>
          </cell>
          <cell r="I43">
            <v>0</v>
          </cell>
          <cell r="K43">
            <v>0</v>
          </cell>
          <cell r="L43">
            <v>0</v>
          </cell>
          <cell r="M43">
            <v>0</v>
          </cell>
          <cell r="N43">
            <v>0</v>
          </cell>
          <cell r="O43">
            <v>0</v>
          </cell>
          <cell r="P43">
            <v>0</v>
          </cell>
          <cell r="Q43">
            <v>0</v>
          </cell>
          <cell r="R43">
            <v>0</v>
          </cell>
          <cell r="S43">
            <v>0</v>
          </cell>
          <cell r="T43">
            <v>0</v>
          </cell>
          <cell r="U43">
            <v>0</v>
          </cell>
        </row>
        <row r="44">
          <cell r="G44" t="str">
            <v>Actual Performance</v>
          </cell>
        </row>
        <row r="45">
          <cell r="G45" t="str">
            <v xml:space="preserve">Tri-color </v>
          </cell>
          <cell r="K45" t="str">
            <v/>
          </cell>
          <cell r="L45" t="str">
            <v/>
          </cell>
          <cell r="M45" t="str">
            <v/>
          </cell>
          <cell r="N45" t="str">
            <v/>
          </cell>
          <cell r="O45" t="str">
            <v/>
          </cell>
          <cell r="P45" t="str">
            <v/>
          </cell>
          <cell r="Q45" t="str">
            <v/>
          </cell>
          <cell r="R45" t="str">
            <v/>
          </cell>
          <cell r="S45" t="str">
            <v/>
          </cell>
          <cell r="T45" t="str">
            <v/>
          </cell>
          <cell r="U45" t="str">
            <v/>
          </cell>
        </row>
        <row r="46">
          <cell r="G46" t="str">
            <v>Achievement Rate</v>
          </cell>
          <cell r="K46" t="str">
            <v/>
          </cell>
          <cell r="L46" t="str">
            <v/>
          </cell>
          <cell r="M46" t="str">
            <v/>
          </cell>
          <cell r="N46" t="str">
            <v/>
          </cell>
          <cell r="O46" t="str">
            <v/>
          </cell>
          <cell r="P46" t="str">
            <v/>
          </cell>
          <cell r="Q46" t="str">
            <v/>
          </cell>
          <cell r="R46" t="str">
            <v/>
          </cell>
          <cell r="S46" t="str">
            <v/>
          </cell>
          <cell r="T46" t="str">
            <v/>
          </cell>
          <cell r="U46" t="str">
            <v/>
          </cell>
        </row>
        <row r="50">
          <cell r="G50" t="str">
            <v>Zero Monitoring Manufacturing</v>
          </cell>
        </row>
        <row r="52">
          <cell r="G52" t="str">
            <v>Company Wide Key 7</v>
          </cell>
          <cell r="I52" t="str">
            <v>Mar</v>
          </cell>
          <cell r="J52" t="str">
            <v>Apr</v>
          </cell>
          <cell r="K52" t="str">
            <v>May</v>
          </cell>
          <cell r="L52" t="str">
            <v>Jun</v>
          </cell>
          <cell r="M52" t="str">
            <v>Jul</v>
          </cell>
          <cell r="N52" t="str">
            <v>Aug</v>
          </cell>
          <cell r="O52" t="str">
            <v>Sep</v>
          </cell>
          <cell r="P52" t="str">
            <v>Oct</v>
          </cell>
          <cell r="Q52" t="str">
            <v>Nov</v>
          </cell>
          <cell r="R52" t="str">
            <v>Dec</v>
          </cell>
          <cell r="S52" t="str">
            <v>Jan</v>
          </cell>
          <cell r="T52" t="str">
            <v>Feb</v>
          </cell>
          <cell r="U52" t="str">
            <v>Mar</v>
          </cell>
        </row>
        <row r="53">
          <cell r="G53">
            <v>0</v>
          </cell>
          <cell r="H53" t="str">
            <v>Performance</v>
          </cell>
          <cell r="I53">
            <v>1</v>
          </cell>
          <cell r="J53">
            <v>1</v>
          </cell>
          <cell r="K53">
            <v>1</v>
          </cell>
          <cell r="L53">
            <v>1</v>
          </cell>
          <cell r="M53">
            <v>1</v>
          </cell>
          <cell r="N53">
            <v>1</v>
          </cell>
          <cell r="O53">
            <v>1</v>
          </cell>
          <cell r="P53">
            <v>1</v>
          </cell>
          <cell r="Q53">
            <v>1</v>
          </cell>
          <cell r="R53">
            <v>1</v>
          </cell>
          <cell r="S53">
            <v>1</v>
          </cell>
          <cell r="T53">
            <v>1</v>
          </cell>
          <cell r="U53">
            <v>1</v>
          </cell>
        </row>
        <row r="54">
          <cell r="G54">
            <v>0</v>
          </cell>
          <cell r="H54" t="str">
            <v>Performance</v>
          </cell>
          <cell r="I54">
            <v>0.88</v>
          </cell>
          <cell r="J54">
            <v>0.88</v>
          </cell>
          <cell r="K54">
            <v>0.88</v>
          </cell>
          <cell r="L54">
            <v>0.88</v>
          </cell>
          <cell r="M54">
            <v>0.88</v>
          </cell>
          <cell r="N54">
            <v>0.88</v>
          </cell>
          <cell r="O54">
            <v>0.88</v>
          </cell>
          <cell r="P54">
            <v>0.88</v>
          </cell>
          <cell r="Q54">
            <v>0.88</v>
          </cell>
          <cell r="R54">
            <v>0.88</v>
          </cell>
          <cell r="S54">
            <v>0.88</v>
          </cell>
          <cell r="T54">
            <v>0.88</v>
          </cell>
          <cell r="U54">
            <v>0.88</v>
          </cell>
        </row>
        <row r="55">
          <cell r="G55">
            <v>0</v>
          </cell>
          <cell r="H55" t="str">
            <v>Performance</v>
          </cell>
          <cell r="I55">
            <v>0.5</v>
          </cell>
          <cell r="J55">
            <v>0.5</v>
          </cell>
          <cell r="K55">
            <v>0.5</v>
          </cell>
          <cell r="L55">
            <v>0.5</v>
          </cell>
          <cell r="M55">
            <v>0.5</v>
          </cell>
          <cell r="N55">
            <v>0.5</v>
          </cell>
          <cell r="O55">
            <v>0.5</v>
          </cell>
          <cell r="P55">
            <v>0.5</v>
          </cell>
          <cell r="Q55">
            <v>0.5</v>
          </cell>
          <cell r="R55">
            <v>0.5</v>
          </cell>
          <cell r="S55">
            <v>0.5</v>
          </cell>
          <cell r="T55">
            <v>0.5</v>
          </cell>
          <cell r="U55">
            <v>0.5</v>
          </cell>
        </row>
        <row r="56">
          <cell r="G56">
            <v>0</v>
          </cell>
          <cell r="I56">
            <v>0</v>
          </cell>
          <cell r="J56">
            <v>0</v>
          </cell>
          <cell r="K56">
            <v>0</v>
          </cell>
          <cell r="L56">
            <v>0</v>
          </cell>
          <cell r="M56">
            <v>0</v>
          </cell>
          <cell r="N56">
            <v>0</v>
          </cell>
          <cell r="O56">
            <v>0</v>
          </cell>
          <cell r="P56">
            <v>0</v>
          </cell>
          <cell r="Q56">
            <v>0</v>
          </cell>
          <cell r="R56">
            <v>0</v>
          </cell>
          <cell r="S56">
            <v>0</v>
          </cell>
          <cell r="T56">
            <v>0</v>
          </cell>
          <cell r="U56">
            <v>0</v>
          </cell>
        </row>
        <row r="57">
          <cell r="G57" t="str">
            <v>Actual Performance</v>
          </cell>
          <cell r="J57">
            <v>0.90700000000000003</v>
          </cell>
          <cell r="K57">
            <v>0.97829999999999995</v>
          </cell>
          <cell r="L57">
            <v>0.93159999999999998</v>
          </cell>
          <cell r="M57">
            <v>0.98089999999999999</v>
          </cell>
          <cell r="N57">
            <v>0.92120000000000002</v>
          </cell>
          <cell r="O57">
            <v>0.96360000000000001</v>
          </cell>
          <cell r="P57">
            <v>0.9234</v>
          </cell>
          <cell r="Q57" t="str">
            <v/>
          </cell>
          <cell r="R57" t="str">
            <v/>
          </cell>
          <cell r="S57" t="str">
            <v/>
          </cell>
          <cell r="T57" t="str">
            <v/>
          </cell>
          <cell r="U57" t="str">
            <v/>
          </cell>
        </row>
        <row r="58">
          <cell r="G58" t="str">
            <v xml:space="preserve">Tri-color </v>
          </cell>
          <cell r="J58">
            <v>1</v>
          </cell>
          <cell r="K58">
            <v>1</v>
          </cell>
          <cell r="L58">
            <v>1</v>
          </cell>
          <cell r="M58">
            <v>1</v>
          </cell>
          <cell r="N58" t="e">
            <v>#VALUE!</v>
          </cell>
          <cell r="O58" t="e">
            <v>#VALUE!</v>
          </cell>
          <cell r="P58" t="e">
            <v>#VALUE!</v>
          </cell>
          <cell r="Q58" t="str">
            <v/>
          </cell>
          <cell r="R58" t="str">
            <v/>
          </cell>
          <cell r="S58" t="str">
            <v/>
          </cell>
          <cell r="T58" t="str">
            <v/>
          </cell>
          <cell r="U58" t="str">
            <v/>
          </cell>
        </row>
        <row r="59">
          <cell r="G59" t="str">
            <v>Achievement Rate</v>
          </cell>
          <cell r="J59">
            <v>1</v>
          </cell>
          <cell r="K59">
            <v>1</v>
          </cell>
          <cell r="L59">
            <v>1</v>
          </cell>
          <cell r="M59">
            <v>1</v>
          </cell>
          <cell r="N59" t="e">
            <v>#VALUE!</v>
          </cell>
          <cell r="O59" t="e">
            <v>#VALUE!</v>
          </cell>
          <cell r="P59" t="e">
            <v>#VALUE!</v>
          </cell>
          <cell r="Q59" t="str">
            <v/>
          </cell>
          <cell r="R59" t="str">
            <v/>
          </cell>
          <cell r="S59" t="str">
            <v/>
          </cell>
          <cell r="T59" t="str">
            <v/>
          </cell>
          <cell r="U59" t="str">
            <v/>
          </cell>
        </row>
        <row r="62">
          <cell r="G62">
            <v>90.7</v>
          </cell>
          <cell r="H62">
            <v>97.83</v>
          </cell>
          <cell r="I62">
            <v>93.16</v>
          </cell>
          <cell r="J62">
            <v>98.09</v>
          </cell>
          <cell r="K62">
            <v>92.12</v>
          </cell>
          <cell r="L62">
            <v>96.36</v>
          </cell>
          <cell r="M62">
            <v>92.34</v>
          </cell>
        </row>
      </sheetData>
      <sheetData sheetId="1"/>
      <sheetData sheetId="2"/>
      <sheetData sheetId="3"/>
      <sheetData sheetId="4"/>
      <sheetData sheetId="5"/>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7"/>
      <sheetName val="Molding optn rate"/>
      <sheetName val="Over all DATA"/>
      <sheetName val="FY2008 Data"/>
      <sheetName val="Score"/>
      <sheetName val="Molding FY2009 "/>
      <sheetName val="k2 "/>
    </sheetNames>
    <sheetDataSet>
      <sheetData sheetId="0" refreshError="1">
        <row r="2">
          <cell r="BG2" t="str">
            <v>Level 3.5</v>
          </cell>
        </row>
        <row r="4">
          <cell r="G4" t="str">
            <v>Zero Machine Monitoring</v>
          </cell>
          <cell r="X4" t="str">
            <v>One Page Standard</v>
          </cell>
          <cell r="AO4" t="str">
            <v>Company Wide Tri-Color Chart</v>
          </cell>
          <cell r="BG4" t="str">
            <v>TSD-Mfg</v>
          </cell>
          <cell r="BI4" t="str">
            <v>TSD-MOLD</v>
          </cell>
          <cell r="BJ4" t="str">
            <v>EMSD</v>
          </cell>
          <cell r="BL4" t="str">
            <v>YFLEX</v>
          </cell>
          <cell r="BM4" t="str">
            <v>QAD/ Support</v>
          </cell>
          <cell r="BN4" t="str">
            <v>PMD/ Mark</v>
          </cell>
          <cell r="BP4" t="str">
            <v>Co Wide</v>
          </cell>
        </row>
        <row r="5">
          <cell r="G5" t="str">
            <v>(FY2008 Target 30 min Lunch break operation)</v>
          </cell>
          <cell r="Q5" t="str">
            <v>Improvement Target: Level 3.5</v>
          </cell>
          <cell r="X5" t="str">
            <v>(FY2008 Target =100% One Page Standard)</v>
          </cell>
          <cell r="AH5" t="str">
            <v>Improvement Target: Level 3.5</v>
          </cell>
          <cell r="AO5" t="str">
            <v>Key 7</v>
          </cell>
          <cell r="AY5" t="str">
            <v>Improvement Target: Level 3.5</v>
          </cell>
          <cell r="BF5" t="str">
            <v>FY2008</v>
          </cell>
          <cell r="BG5" t="str">
            <v>Line Balance</v>
          </cell>
          <cell r="BH5" t="str">
            <v>ZMM</v>
          </cell>
          <cell r="BI5" t="str">
            <v>ZMM</v>
          </cell>
          <cell r="BJ5" t="str">
            <v>Line Balance</v>
          </cell>
          <cell r="BK5" t="str">
            <v>ZMM</v>
          </cell>
          <cell r="BL5" t="str">
            <v>Line Balance</v>
          </cell>
          <cell r="BM5" t="str">
            <v>One Page</v>
          </cell>
          <cell r="BN5" t="str">
            <v>One Page</v>
          </cell>
          <cell r="BP5" t="str">
            <v>total</v>
          </cell>
        </row>
        <row r="6">
          <cell r="BF6" t="str">
            <v>Mar</v>
          </cell>
          <cell r="BP6" t="str">
            <v/>
          </cell>
        </row>
        <row r="7">
          <cell r="BF7" t="str">
            <v>Apr</v>
          </cell>
          <cell r="BG7" t="e">
            <v>#REF!</v>
          </cell>
          <cell r="BH7">
            <v>1</v>
          </cell>
          <cell r="BI7">
            <v>1</v>
          </cell>
          <cell r="BJ7" t="e">
            <v>#REF!</v>
          </cell>
          <cell r="BK7">
            <v>1</v>
          </cell>
          <cell r="BL7" t="e">
            <v>#REF!</v>
          </cell>
          <cell r="BM7">
            <v>0.97240345991956245</v>
          </cell>
          <cell r="BN7">
            <v>-1.9200000000008577E-3</v>
          </cell>
          <cell r="BP7" t="str">
            <v/>
          </cell>
        </row>
        <row r="8">
          <cell r="G8" t="str">
            <v>TSD-Mfg(Target = One Machine)</v>
          </cell>
          <cell r="X8" t="str">
            <v>Admin/ QAD</v>
          </cell>
          <cell r="Z8" t="str">
            <v>Total=</v>
          </cell>
          <cell r="AA8">
            <v>197</v>
          </cell>
          <cell r="BF8" t="str">
            <v>May</v>
          </cell>
          <cell r="BG8" t="e">
            <v>#REF!</v>
          </cell>
          <cell r="BH8">
            <v>1</v>
          </cell>
          <cell r="BI8">
            <v>1</v>
          </cell>
          <cell r="BJ8" t="e">
            <v>#REF!</v>
          </cell>
          <cell r="BK8">
            <v>1</v>
          </cell>
          <cell r="BL8" t="e">
            <v>#REF!</v>
          </cell>
          <cell r="BM8">
            <v>1</v>
          </cell>
          <cell r="BN8">
            <v>0</v>
          </cell>
          <cell r="BP8" t="str">
            <v/>
          </cell>
        </row>
        <row r="9">
          <cell r="G9" t="str">
            <v>Zero Monitor manufacturing</v>
          </cell>
          <cell r="I9" t="str">
            <v>Mar</v>
          </cell>
          <cell r="J9" t="str">
            <v>Apr</v>
          </cell>
          <cell r="K9" t="str">
            <v>May</v>
          </cell>
          <cell r="L9" t="str">
            <v>Jun</v>
          </cell>
          <cell r="M9" t="str">
            <v>Jul</v>
          </cell>
          <cell r="N9" t="str">
            <v>Aug</v>
          </cell>
          <cell r="O9" t="str">
            <v>Sep</v>
          </cell>
          <cell r="P9" t="str">
            <v>Oct</v>
          </cell>
          <cell r="Q9" t="str">
            <v>Nov</v>
          </cell>
          <cell r="R9" t="str">
            <v>Dec</v>
          </cell>
          <cell r="S9" t="str">
            <v>Jan</v>
          </cell>
          <cell r="T9" t="str">
            <v>Feb</v>
          </cell>
          <cell r="U9" t="str">
            <v>Mar</v>
          </cell>
          <cell r="X9" t="str">
            <v>One Page Standard</v>
          </cell>
          <cell r="Z9" t="str">
            <v>Mar</v>
          </cell>
          <cell r="AA9" t="str">
            <v>Apr</v>
          </cell>
          <cell r="AB9" t="str">
            <v>May</v>
          </cell>
          <cell r="AC9" t="str">
            <v>Jun</v>
          </cell>
          <cell r="AD9" t="str">
            <v>Jul</v>
          </cell>
          <cell r="AE9" t="str">
            <v>Aug</v>
          </cell>
          <cell r="AF9" t="str">
            <v>Sep</v>
          </cell>
          <cell r="AG9" t="str">
            <v>Oct</v>
          </cell>
          <cell r="AH9" t="str">
            <v>Nov</v>
          </cell>
          <cell r="AI9" t="str">
            <v>Dec</v>
          </cell>
          <cell r="AJ9" t="str">
            <v>Jan</v>
          </cell>
          <cell r="AK9" t="str">
            <v>Feb</v>
          </cell>
          <cell r="AL9" t="str">
            <v>Mar</v>
          </cell>
          <cell r="AO9" t="str">
            <v>Company Wide Key 7</v>
          </cell>
          <cell r="AQ9" t="str">
            <v>Mar</v>
          </cell>
          <cell r="AR9" t="str">
            <v>Apr</v>
          </cell>
          <cell r="AS9" t="str">
            <v>May</v>
          </cell>
          <cell r="AT9" t="str">
            <v>Jun</v>
          </cell>
          <cell r="AU9" t="str">
            <v>Jul</v>
          </cell>
          <cell r="AV9" t="str">
            <v>Aug</v>
          </cell>
          <cell r="AW9" t="str">
            <v>Sep</v>
          </cell>
          <cell r="AX9" t="str">
            <v>Oct</v>
          </cell>
          <cell r="AY9" t="str">
            <v>Nov</v>
          </cell>
          <cell r="AZ9" t="str">
            <v>Dec</v>
          </cell>
          <cell r="BA9" t="str">
            <v>Jan</v>
          </cell>
          <cell r="BB9" t="str">
            <v>Feb</v>
          </cell>
          <cell r="BC9" t="str">
            <v>Mar</v>
          </cell>
          <cell r="BF9" t="str">
            <v>Jun</v>
          </cell>
          <cell r="BG9" t="e">
            <v>#REF!</v>
          </cell>
          <cell r="BH9">
            <v>1</v>
          </cell>
          <cell r="BI9">
            <v>1</v>
          </cell>
          <cell r="BJ9" t="e">
            <v>#REF!</v>
          </cell>
          <cell r="BK9">
            <v>1</v>
          </cell>
          <cell r="BL9" t="e">
            <v>#REF!</v>
          </cell>
          <cell r="BM9">
            <v>1</v>
          </cell>
          <cell r="BN9">
            <v>0.80000000000000038</v>
          </cell>
          <cell r="BP9" t="str">
            <v/>
          </cell>
        </row>
        <row r="10">
          <cell r="G10">
            <v>8.3333333333333329E-2</v>
          </cell>
          <cell r="H10" t="str">
            <v>Performance</v>
          </cell>
          <cell r="I10">
            <v>0</v>
          </cell>
          <cell r="J10">
            <v>8.3333333333333329E-2</v>
          </cell>
          <cell r="K10">
            <v>0.16666666666666666</v>
          </cell>
          <cell r="L10">
            <v>0.25</v>
          </cell>
          <cell r="M10">
            <v>0.33333333333333331</v>
          </cell>
          <cell r="N10">
            <v>0.41666666666666663</v>
          </cell>
          <cell r="O10">
            <v>0.49999999999999994</v>
          </cell>
          <cell r="P10">
            <v>0.58333333333333326</v>
          </cell>
          <cell r="Q10">
            <v>0.66666666666666663</v>
          </cell>
          <cell r="R10">
            <v>0.75</v>
          </cell>
          <cell r="S10">
            <v>0.83333333333333337</v>
          </cell>
          <cell r="T10">
            <v>0.91666666666666674</v>
          </cell>
          <cell r="U10">
            <v>1</v>
          </cell>
          <cell r="X10">
            <v>1.5650604906937399E-2</v>
          </cell>
          <cell r="Y10" t="str">
            <v>Performance</v>
          </cell>
          <cell r="Z10">
            <v>0.81219274111675122</v>
          </cell>
          <cell r="AA10">
            <v>0.82784334602368859</v>
          </cell>
          <cell r="AB10">
            <v>0.84349395093062596</v>
          </cell>
          <cell r="AC10">
            <v>0.85914455583756333</v>
          </cell>
          <cell r="AD10">
            <v>0.8747951607445007</v>
          </cell>
          <cell r="AE10">
            <v>0.89044576565143807</v>
          </cell>
          <cell r="AF10">
            <v>0.90609637055837544</v>
          </cell>
          <cell r="AG10">
            <v>0.92174697546531281</v>
          </cell>
          <cell r="AH10">
            <v>0.93739758037225018</v>
          </cell>
          <cell r="AI10">
            <v>0.95304818527918755</v>
          </cell>
          <cell r="AJ10">
            <v>0.96869879018612493</v>
          </cell>
          <cell r="AK10">
            <v>0.9843493950930623</v>
          </cell>
          <cell r="AL10">
            <v>1</v>
          </cell>
          <cell r="AO10" t="str">
            <v>Tri Color</v>
          </cell>
          <cell r="AQ10" t="str">
            <v/>
          </cell>
          <cell r="AR10" t="str">
            <v/>
          </cell>
          <cell r="AS10" t="str">
            <v/>
          </cell>
          <cell r="AT10" t="str">
            <v/>
          </cell>
          <cell r="AU10" t="str">
            <v/>
          </cell>
          <cell r="AV10" t="str">
            <v/>
          </cell>
          <cell r="AW10" t="str">
            <v/>
          </cell>
          <cell r="AX10" t="str">
            <v/>
          </cell>
          <cell r="AY10" t="str">
            <v/>
          </cell>
          <cell r="AZ10" t="str">
            <v/>
          </cell>
          <cell r="BA10" t="str">
            <v/>
          </cell>
          <cell r="BB10" t="str">
            <v/>
          </cell>
          <cell r="BC10" t="str">
            <v/>
          </cell>
          <cell r="BF10" t="str">
            <v>Jul</v>
          </cell>
          <cell r="BG10" t="e">
            <v>#REF!</v>
          </cell>
          <cell r="BH10">
            <v>1</v>
          </cell>
          <cell r="BI10">
            <v>1</v>
          </cell>
          <cell r="BJ10" t="e">
            <v>#REF!</v>
          </cell>
          <cell r="BK10">
            <v>1</v>
          </cell>
          <cell r="BL10" t="e">
            <v>#REF!</v>
          </cell>
          <cell r="BM10" t="str">
            <v/>
          </cell>
          <cell r="BN10" t="str">
            <v/>
          </cell>
          <cell r="BP10" t="str">
            <v/>
          </cell>
        </row>
        <row r="11">
          <cell r="G11">
            <v>6.6666666666666666E-2</v>
          </cell>
          <cell r="H11" t="str">
            <v>Performance</v>
          </cell>
          <cell r="I11">
            <v>0</v>
          </cell>
          <cell r="J11">
            <v>6.6666666666666666E-2</v>
          </cell>
          <cell r="K11">
            <v>0.13333333333333333</v>
          </cell>
          <cell r="L11">
            <v>0.2</v>
          </cell>
          <cell r="M11">
            <v>0.26666666666666666</v>
          </cell>
          <cell r="N11">
            <v>0.33333333333333331</v>
          </cell>
          <cell r="O11">
            <v>0.39999999999999997</v>
          </cell>
          <cell r="P11">
            <v>0.46666666666666662</v>
          </cell>
          <cell r="Q11">
            <v>0.53333333333333333</v>
          </cell>
          <cell r="R11">
            <v>0.6</v>
          </cell>
          <cell r="S11">
            <v>0.66666666666666663</v>
          </cell>
          <cell r="T11">
            <v>0.73333333333333328</v>
          </cell>
          <cell r="U11">
            <v>0.8</v>
          </cell>
          <cell r="X11">
            <v>1.2364636209813873E-2</v>
          </cell>
          <cell r="Y11" t="str">
            <v>Performance</v>
          </cell>
          <cell r="Z11">
            <v>0.81218274111675126</v>
          </cell>
          <cell r="AA11">
            <v>0.82454737732656513</v>
          </cell>
          <cell r="AB11">
            <v>0.83691201353637901</v>
          </cell>
          <cell r="AC11">
            <v>0.84927664974619288</v>
          </cell>
          <cell r="AD11">
            <v>0.86164128595600675</v>
          </cell>
          <cell r="AE11">
            <v>0.87400592216582063</v>
          </cell>
          <cell r="AF11">
            <v>0.8863705583756345</v>
          </cell>
          <cell r="AG11">
            <v>0.89873519458544837</v>
          </cell>
          <cell r="AH11">
            <v>0.91109983079526224</v>
          </cell>
          <cell r="AI11">
            <v>0.92346446700507612</v>
          </cell>
          <cell r="AJ11">
            <v>0.93582910321488999</v>
          </cell>
          <cell r="AK11">
            <v>0.94819373942470386</v>
          </cell>
          <cell r="AL11">
            <v>0.96055837563451774</v>
          </cell>
          <cell r="AO11" t="str">
            <v>Achievement Rate</v>
          </cell>
          <cell r="AQ11" t="str">
            <v/>
          </cell>
          <cell r="AR11" t="str">
            <v/>
          </cell>
          <cell r="AS11" t="str">
            <v/>
          </cell>
          <cell r="AT11" t="str">
            <v/>
          </cell>
          <cell r="AU11" t="str">
            <v/>
          </cell>
          <cell r="AV11" t="str">
            <v/>
          </cell>
          <cell r="AW11" t="str">
            <v/>
          </cell>
          <cell r="AX11" t="str">
            <v/>
          </cell>
          <cell r="AY11" t="str">
            <v/>
          </cell>
          <cell r="AZ11" t="str">
            <v/>
          </cell>
          <cell r="BA11" t="str">
            <v/>
          </cell>
          <cell r="BB11" t="str">
            <v/>
          </cell>
          <cell r="BC11" t="str">
            <v/>
          </cell>
          <cell r="BF11" t="str">
            <v>Aug</v>
          </cell>
          <cell r="BG11" t="e">
            <v>#REF!</v>
          </cell>
          <cell r="BH11" t="str">
            <v/>
          </cell>
          <cell r="BI11" t="str">
            <v/>
          </cell>
          <cell r="BJ11" t="e">
            <v>#REF!</v>
          </cell>
          <cell r="BK11" t="str">
            <v/>
          </cell>
          <cell r="BL11" t="e">
            <v>#REF!</v>
          </cell>
          <cell r="BM11" t="str">
            <v/>
          </cell>
          <cell r="BN11" t="str">
            <v/>
          </cell>
          <cell r="BP11" t="str">
            <v/>
          </cell>
        </row>
        <row r="12">
          <cell r="G12">
            <v>4.1666666666666664E-2</v>
          </cell>
          <cell r="H12" t="str">
            <v>Performance</v>
          </cell>
          <cell r="I12">
            <v>0</v>
          </cell>
          <cell r="J12">
            <v>4.1666666666666664E-2</v>
          </cell>
          <cell r="K12">
            <v>8.3333333333333329E-2</v>
          </cell>
          <cell r="L12">
            <v>0.125</v>
          </cell>
          <cell r="M12">
            <v>0.16666666666666666</v>
          </cell>
          <cell r="N12">
            <v>0.20833333333333331</v>
          </cell>
          <cell r="O12">
            <v>0.24999999999999997</v>
          </cell>
          <cell r="P12">
            <v>0.29166666666666663</v>
          </cell>
          <cell r="Q12">
            <v>0.33333333333333331</v>
          </cell>
          <cell r="R12">
            <v>0.375</v>
          </cell>
          <cell r="S12">
            <v>0.41666666666666669</v>
          </cell>
          <cell r="T12">
            <v>0.45833333333333337</v>
          </cell>
          <cell r="U12">
            <v>0.5</v>
          </cell>
          <cell r="X12">
            <v>7.8257191201353635E-3</v>
          </cell>
          <cell r="Y12" t="str">
            <v>Performance</v>
          </cell>
          <cell r="Z12">
            <v>0.81218274111675126</v>
          </cell>
          <cell r="AA12">
            <v>0.82000846023688667</v>
          </cell>
          <cell r="AB12">
            <v>0.82783417935702208</v>
          </cell>
          <cell r="AC12">
            <v>0.83565989847715749</v>
          </cell>
          <cell r="AD12">
            <v>0.8434856175972929</v>
          </cell>
          <cell r="AE12">
            <v>0.85131133671742831</v>
          </cell>
          <cell r="AF12">
            <v>0.85913705583756372</v>
          </cell>
          <cell r="AG12">
            <v>0.86696277495769913</v>
          </cell>
          <cell r="AH12">
            <v>0.87478849407783454</v>
          </cell>
          <cell r="AI12">
            <v>0.88261421319796995</v>
          </cell>
          <cell r="AJ12">
            <v>0.89043993231810536</v>
          </cell>
          <cell r="AK12">
            <v>0.89826565143824078</v>
          </cell>
          <cell r="AL12">
            <v>0.90609137055837563</v>
          </cell>
          <cell r="AS12" t="str">
            <v/>
          </cell>
          <cell r="AT12" t="str">
            <v/>
          </cell>
          <cell r="AU12" t="str">
            <v/>
          </cell>
          <cell r="AV12" t="str">
            <v/>
          </cell>
          <cell r="AW12" t="str">
            <v/>
          </cell>
          <cell r="AX12" t="str">
            <v/>
          </cell>
          <cell r="AY12" t="str">
            <v/>
          </cell>
          <cell r="AZ12" t="str">
            <v/>
          </cell>
          <cell r="BA12" t="str">
            <v/>
          </cell>
          <cell r="BB12" t="str">
            <v/>
          </cell>
          <cell r="BC12" t="str">
            <v/>
          </cell>
          <cell r="BF12" t="str">
            <v>Sep</v>
          </cell>
          <cell r="BG12" t="e">
            <v>#REF!</v>
          </cell>
          <cell r="BH12" t="str">
            <v/>
          </cell>
          <cell r="BI12" t="str">
            <v/>
          </cell>
          <cell r="BJ12" t="e">
            <v>#REF!</v>
          </cell>
          <cell r="BK12" t="str">
            <v/>
          </cell>
          <cell r="BL12" t="e">
            <v>#REF!</v>
          </cell>
          <cell r="BM12" t="str">
            <v/>
          </cell>
          <cell r="BN12" t="str">
            <v/>
          </cell>
          <cell r="BP12" t="str">
            <v/>
          </cell>
        </row>
        <row r="13">
          <cell r="G13">
            <v>0</v>
          </cell>
          <cell r="I13">
            <v>0</v>
          </cell>
          <cell r="J13">
            <v>0</v>
          </cell>
          <cell r="K13">
            <v>0</v>
          </cell>
          <cell r="L13">
            <v>0</v>
          </cell>
          <cell r="M13">
            <v>0</v>
          </cell>
          <cell r="N13">
            <v>0</v>
          </cell>
          <cell r="O13">
            <v>0</v>
          </cell>
          <cell r="P13">
            <v>0</v>
          </cell>
          <cell r="Q13">
            <v>0</v>
          </cell>
          <cell r="R13">
            <v>0</v>
          </cell>
          <cell r="S13">
            <v>0</v>
          </cell>
          <cell r="T13">
            <v>0</v>
          </cell>
          <cell r="U13">
            <v>0</v>
          </cell>
          <cell r="X13">
            <v>0</v>
          </cell>
          <cell r="Z13">
            <v>0.81218274111675126</v>
          </cell>
          <cell r="AA13">
            <v>0.81218274111675126</v>
          </cell>
          <cell r="AB13">
            <v>0.81218274111675126</v>
          </cell>
          <cell r="AC13">
            <v>0.81218274111675126</v>
          </cell>
          <cell r="AD13">
            <v>0.81218274111675126</v>
          </cell>
          <cell r="AE13">
            <v>0.81218274111675126</v>
          </cell>
          <cell r="AF13">
            <v>0.81218274111675126</v>
          </cell>
          <cell r="AG13">
            <v>0.81218274111675126</v>
          </cell>
          <cell r="AH13">
            <v>0.81218274111675126</v>
          </cell>
          <cell r="AI13">
            <v>0.81218274111675126</v>
          </cell>
          <cell r="AJ13">
            <v>0.81218274111675126</v>
          </cell>
          <cell r="AK13">
            <v>0.81218274111675126</v>
          </cell>
          <cell r="AL13">
            <v>0.81218274111675126</v>
          </cell>
          <cell r="BF13" t="str">
            <v>Oct</v>
          </cell>
          <cell r="BG13" t="e">
            <v>#REF!</v>
          </cell>
          <cell r="BH13" t="str">
            <v/>
          </cell>
          <cell r="BI13" t="str">
            <v/>
          </cell>
          <cell r="BJ13" t="e">
            <v>#REF!</v>
          </cell>
          <cell r="BK13" t="str">
            <v/>
          </cell>
          <cell r="BL13" t="e">
            <v>#REF!</v>
          </cell>
          <cell r="BM13" t="str">
            <v/>
          </cell>
          <cell r="BN13" t="str">
            <v/>
          </cell>
          <cell r="BP13" t="str">
            <v/>
          </cell>
        </row>
        <row r="14">
          <cell r="G14" t="str">
            <v>Actual Performance</v>
          </cell>
          <cell r="I14">
            <v>1</v>
          </cell>
          <cell r="J14">
            <v>1</v>
          </cell>
          <cell r="K14">
            <v>1</v>
          </cell>
          <cell r="L14">
            <v>1</v>
          </cell>
          <cell r="M14">
            <v>1</v>
          </cell>
          <cell r="X14" t="str">
            <v>Actual Performance</v>
          </cell>
          <cell r="Z14">
            <v>0.81218274111675126</v>
          </cell>
          <cell r="AA14">
            <v>0.82741116751269039</v>
          </cell>
          <cell r="AB14">
            <v>0.86294416243654826</v>
          </cell>
          <cell r="AC14">
            <v>0.89847715736040612</v>
          </cell>
          <cell r="BF14" t="str">
            <v>Nov</v>
          </cell>
          <cell r="BG14" t="e">
            <v>#REF!</v>
          </cell>
          <cell r="BH14" t="str">
            <v/>
          </cell>
          <cell r="BI14" t="str">
            <v/>
          </cell>
          <cell r="BJ14" t="e">
            <v>#REF!</v>
          </cell>
          <cell r="BK14" t="str">
            <v/>
          </cell>
          <cell r="BL14" t="e">
            <v>#REF!</v>
          </cell>
          <cell r="BM14" t="str">
            <v/>
          </cell>
          <cell r="BN14" t="str">
            <v/>
          </cell>
          <cell r="BP14" t="str">
            <v/>
          </cell>
        </row>
        <row r="15">
          <cell r="G15" t="str">
            <v xml:space="preserve">Tri-color </v>
          </cell>
          <cell r="J15">
            <v>1</v>
          </cell>
          <cell r="K15">
            <v>1</v>
          </cell>
          <cell r="L15">
            <v>1</v>
          </cell>
          <cell r="M15">
            <v>1</v>
          </cell>
          <cell r="N15" t="str">
            <v/>
          </cell>
          <cell r="O15" t="str">
            <v/>
          </cell>
          <cell r="P15" t="str">
            <v/>
          </cell>
          <cell r="Q15" t="str">
            <v/>
          </cell>
          <cell r="R15" t="str">
            <v/>
          </cell>
          <cell r="S15" t="str">
            <v/>
          </cell>
          <cell r="T15" t="str">
            <v/>
          </cell>
          <cell r="U15" t="str">
            <v/>
          </cell>
          <cell r="X15" t="str">
            <v xml:space="preserve">Tri-color </v>
          </cell>
          <cell r="Z15">
            <v>0</v>
          </cell>
          <cell r="AA15">
            <v>0.97240345991956245</v>
          </cell>
          <cell r="AB15">
            <v>1</v>
          </cell>
          <cell r="AC15">
            <v>1</v>
          </cell>
          <cell r="AD15" t="str">
            <v/>
          </cell>
          <cell r="AE15" t="str">
            <v/>
          </cell>
          <cell r="AF15" t="str">
            <v/>
          </cell>
          <cell r="AG15" t="str">
            <v/>
          </cell>
          <cell r="AH15" t="str">
            <v/>
          </cell>
          <cell r="AI15" t="str">
            <v/>
          </cell>
          <cell r="AJ15" t="str">
            <v/>
          </cell>
          <cell r="AK15" t="str">
            <v/>
          </cell>
          <cell r="AL15" t="str">
            <v/>
          </cell>
          <cell r="BF15" t="str">
            <v>Dec</v>
          </cell>
          <cell r="BG15" t="e">
            <v>#REF!</v>
          </cell>
          <cell r="BH15" t="str">
            <v/>
          </cell>
          <cell r="BI15" t="str">
            <v/>
          </cell>
          <cell r="BJ15" t="e">
            <v>#REF!</v>
          </cell>
          <cell r="BK15" t="str">
            <v/>
          </cell>
          <cell r="BL15" t="e">
            <v>#REF!</v>
          </cell>
          <cell r="BM15" t="str">
            <v/>
          </cell>
          <cell r="BN15" t="str">
            <v/>
          </cell>
          <cell r="BP15" t="str">
            <v/>
          </cell>
        </row>
        <row r="16">
          <cell r="G16" t="str">
            <v>Achievement Rate</v>
          </cell>
          <cell r="J16">
            <v>1</v>
          </cell>
          <cell r="K16">
            <v>1</v>
          </cell>
          <cell r="L16">
            <v>1</v>
          </cell>
          <cell r="M16">
            <v>1</v>
          </cell>
          <cell r="N16" t="str">
            <v/>
          </cell>
          <cell r="O16" t="str">
            <v/>
          </cell>
          <cell r="P16" t="str">
            <v/>
          </cell>
          <cell r="Q16" t="str">
            <v/>
          </cell>
          <cell r="R16" t="str">
            <v/>
          </cell>
          <cell r="S16" t="str">
            <v/>
          </cell>
          <cell r="T16" t="str">
            <v/>
          </cell>
          <cell r="U16" t="str">
            <v/>
          </cell>
          <cell r="X16" t="str">
            <v>Achievement Rate</v>
          </cell>
          <cell r="Z16">
            <v>0</v>
          </cell>
          <cell r="AA16">
            <v>0.97240345991956245</v>
          </cell>
          <cell r="AB16">
            <v>1</v>
          </cell>
          <cell r="AC16">
            <v>1</v>
          </cell>
          <cell r="AD16" t="str">
            <v/>
          </cell>
          <cell r="AE16" t="str">
            <v/>
          </cell>
          <cell r="AF16" t="str">
            <v/>
          </cell>
          <cell r="AG16" t="str">
            <v/>
          </cell>
          <cell r="AH16" t="str">
            <v/>
          </cell>
          <cell r="AI16" t="str">
            <v/>
          </cell>
          <cell r="AJ16" t="str">
            <v/>
          </cell>
          <cell r="AK16" t="str">
            <v/>
          </cell>
          <cell r="AL16" t="str">
            <v/>
          </cell>
          <cell r="BF16" t="str">
            <v>Jan</v>
          </cell>
          <cell r="BG16" t="e">
            <v>#REF!</v>
          </cell>
          <cell r="BH16" t="str">
            <v/>
          </cell>
          <cell r="BI16" t="str">
            <v/>
          </cell>
          <cell r="BJ16" t="e">
            <v>#REF!</v>
          </cell>
          <cell r="BK16" t="str">
            <v/>
          </cell>
          <cell r="BL16" t="e">
            <v>#REF!</v>
          </cell>
          <cell r="BM16" t="str">
            <v/>
          </cell>
          <cell r="BN16" t="str">
            <v/>
          </cell>
          <cell r="BP16" t="str">
            <v/>
          </cell>
        </row>
        <row r="17">
          <cell r="BF17" t="str">
            <v>Feb</v>
          </cell>
          <cell r="BG17" t="e">
            <v>#REF!</v>
          </cell>
          <cell r="BH17" t="str">
            <v/>
          </cell>
          <cell r="BI17" t="str">
            <v/>
          </cell>
          <cell r="BJ17" t="e">
            <v>#REF!</v>
          </cell>
          <cell r="BK17" t="str">
            <v/>
          </cell>
          <cell r="BL17" t="e">
            <v>#REF!</v>
          </cell>
          <cell r="BM17" t="str">
            <v/>
          </cell>
          <cell r="BN17" t="str">
            <v/>
          </cell>
          <cell r="BP17" t="str">
            <v/>
          </cell>
        </row>
        <row r="18">
          <cell r="G18" t="str">
            <v>TSD-MOLD: Target= 17 Machines</v>
          </cell>
          <cell r="X18" t="str">
            <v>Mktg/PPC</v>
          </cell>
          <cell r="Z18" t="str">
            <v>Total=141</v>
          </cell>
          <cell r="BF18" t="str">
            <v>Mar</v>
          </cell>
          <cell r="BG18" t="e">
            <v>#REF!</v>
          </cell>
          <cell r="BH18" t="str">
            <v/>
          </cell>
          <cell r="BI18" t="str">
            <v/>
          </cell>
          <cell r="BJ18" t="e">
            <v>#REF!</v>
          </cell>
          <cell r="BK18" t="str">
            <v/>
          </cell>
          <cell r="BL18" t="e">
            <v>#REF!</v>
          </cell>
          <cell r="BM18" t="str">
            <v/>
          </cell>
          <cell r="BN18" t="str">
            <v/>
          </cell>
          <cell r="BP18" t="str">
            <v/>
          </cell>
        </row>
        <row r="19">
          <cell r="G19" t="str">
            <v>Zero Monitor manufacturing</v>
          </cell>
          <cell r="I19" t="str">
            <v>Mar</v>
          </cell>
          <cell r="J19" t="str">
            <v>Apr</v>
          </cell>
          <cell r="K19" t="str">
            <v>May</v>
          </cell>
          <cell r="L19" t="str">
            <v>Jun</v>
          </cell>
          <cell r="M19" t="str">
            <v>Jul</v>
          </cell>
          <cell r="N19" t="str">
            <v>Aug</v>
          </cell>
          <cell r="O19" t="str">
            <v>Sep</v>
          </cell>
          <cell r="P19" t="str">
            <v>Oct</v>
          </cell>
          <cell r="Q19" t="str">
            <v>Nov</v>
          </cell>
          <cell r="R19" t="str">
            <v>Dec</v>
          </cell>
          <cell r="S19" t="str">
            <v>Jan</v>
          </cell>
          <cell r="T19" t="str">
            <v>Feb</v>
          </cell>
          <cell r="U19" t="str">
            <v>Mar</v>
          </cell>
          <cell r="X19" t="str">
            <v>One Page Standard</v>
          </cell>
          <cell r="Z19" t="str">
            <v>Mar</v>
          </cell>
          <cell r="AA19" t="str">
            <v>Apr</v>
          </cell>
          <cell r="AB19" t="str">
            <v>May</v>
          </cell>
          <cell r="AC19" t="str">
            <v>Jun</v>
          </cell>
          <cell r="AD19" t="str">
            <v>Jul</v>
          </cell>
          <cell r="AE19" t="str">
            <v>Aug</v>
          </cell>
          <cell r="AF19" t="str">
            <v>Sep</v>
          </cell>
          <cell r="AG19" t="str">
            <v>Oct</v>
          </cell>
          <cell r="AH19" t="str">
            <v>Nov</v>
          </cell>
          <cell r="AI19" t="str">
            <v>Dec</v>
          </cell>
          <cell r="AJ19" t="str">
            <v>Jan</v>
          </cell>
          <cell r="AK19" t="str">
            <v>Feb</v>
          </cell>
          <cell r="AL19" t="str">
            <v>Mar</v>
          </cell>
        </row>
        <row r="20">
          <cell r="G20">
            <v>1.4166666666666667</v>
          </cell>
          <cell r="H20" t="str">
            <v>Performance</v>
          </cell>
          <cell r="I20">
            <v>0</v>
          </cell>
          <cell r="J20">
            <v>1.4166666666666667</v>
          </cell>
          <cell r="K20">
            <v>2.8333333333333335</v>
          </cell>
          <cell r="L20">
            <v>4.25</v>
          </cell>
          <cell r="M20">
            <v>5.666666666666667</v>
          </cell>
          <cell r="N20">
            <v>7.0833333333333339</v>
          </cell>
          <cell r="O20">
            <v>8.5</v>
          </cell>
          <cell r="P20">
            <v>9.9166666666666661</v>
          </cell>
          <cell r="Q20">
            <v>11.333333333333332</v>
          </cell>
          <cell r="R20">
            <v>12.749999999999998</v>
          </cell>
          <cell r="S20">
            <v>14.166666666666664</v>
          </cell>
          <cell r="T20">
            <v>15.58333333333333</v>
          </cell>
          <cell r="U20">
            <v>17</v>
          </cell>
          <cell r="X20">
            <v>1.7730496453900707E-2</v>
          </cell>
          <cell r="Y20" t="str">
            <v>Performance</v>
          </cell>
          <cell r="Z20">
            <v>0.78723404255319152</v>
          </cell>
          <cell r="AA20">
            <v>0.80496453900709219</v>
          </cell>
          <cell r="AB20">
            <v>0.82269503546099287</v>
          </cell>
          <cell r="AC20">
            <v>0.84042553191489355</v>
          </cell>
          <cell r="AD20">
            <v>0.85815602836879423</v>
          </cell>
          <cell r="AE20">
            <v>0.87588652482269491</v>
          </cell>
          <cell r="AF20">
            <v>0.89361702127659559</v>
          </cell>
          <cell r="AG20">
            <v>0.91134751773049627</v>
          </cell>
          <cell r="AH20">
            <v>0.92907801418439695</v>
          </cell>
          <cell r="AI20">
            <v>0.94680851063829763</v>
          </cell>
          <cell r="AJ20">
            <v>0.96453900709219831</v>
          </cell>
          <cell r="AK20">
            <v>0.98226950354609899</v>
          </cell>
          <cell r="AL20">
            <v>1</v>
          </cell>
        </row>
        <row r="21">
          <cell r="G21">
            <v>1.0833333333333333</v>
          </cell>
          <cell r="H21" t="str">
            <v>Performance</v>
          </cell>
          <cell r="I21">
            <v>0</v>
          </cell>
          <cell r="J21">
            <v>1.0833333333333333</v>
          </cell>
          <cell r="K21">
            <v>2.1666666666666665</v>
          </cell>
          <cell r="L21">
            <v>3.25</v>
          </cell>
          <cell r="M21">
            <v>4.333333333333333</v>
          </cell>
          <cell r="N21">
            <v>5.4166666666666661</v>
          </cell>
          <cell r="O21">
            <v>6.4999999999999991</v>
          </cell>
          <cell r="P21">
            <v>7.5833333333333321</v>
          </cell>
          <cell r="Q21">
            <v>8.6666666666666661</v>
          </cell>
          <cell r="R21">
            <v>9.75</v>
          </cell>
          <cell r="S21">
            <v>10.833333333333334</v>
          </cell>
          <cell r="T21">
            <v>11.916666666666668</v>
          </cell>
          <cell r="U21">
            <v>13</v>
          </cell>
          <cell r="X21">
            <v>1.4007092198581558E-2</v>
          </cell>
          <cell r="Y21" t="str">
            <v>Performance</v>
          </cell>
          <cell r="Z21">
            <v>0.78723404255319152</v>
          </cell>
          <cell r="AA21">
            <v>0.80124113475177305</v>
          </cell>
          <cell r="AB21">
            <v>0.81524822695035459</v>
          </cell>
          <cell r="AC21">
            <v>0.82925531914893613</v>
          </cell>
          <cell r="AD21">
            <v>0.84326241134751767</v>
          </cell>
          <cell r="AE21">
            <v>0.85726950354609921</v>
          </cell>
          <cell r="AF21">
            <v>0.87127659574468075</v>
          </cell>
          <cell r="AG21">
            <v>0.88528368794326229</v>
          </cell>
          <cell r="AH21">
            <v>0.89929078014184383</v>
          </cell>
          <cell r="AI21">
            <v>0.91329787234042537</v>
          </cell>
          <cell r="AJ21">
            <v>0.9273049645390069</v>
          </cell>
          <cell r="AK21">
            <v>0.94131205673758844</v>
          </cell>
          <cell r="AL21">
            <v>0.9553191489361702</v>
          </cell>
        </row>
        <row r="22">
          <cell r="G22">
            <v>0.75</v>
          </cell>
          <cell r="H22" t="str">
            <v>Performance</v>
          </cell>
          <cell r="I22">
            <v>0</v>
          </cell>
          <cell r="J22">
            <v>0.75</v>
          </cell>
          <cell r="K22">
            <v>1.5</v>
          </cell>
          <cell r="L22">
            <v>2.25</v>
          </cell>
          <cell r="M22">
            <v>3</v>
          </cell>
          <cell r="N22">
            <v>3.75</v>
          </cell>
          <cell r="O22">
            <v>4.5</v>
          </cell>
          <cell r="P22">
            <v>5.25</v>
          </cell>
          <cell r="Q22">
            <v>6</v>
          </cell>
          <cell r="R22">
            <v>6.75</v>
          </cell>
          <cell r="S22">
            <v>7.5</v>
          </cell>
          <cell r="T22">
            <v>8.25</v>
          </cell>
          <cell r="U22">
            <v>9</v>
          </cell>
          <cell r="X22">
            <v>8.8652482269503483E-3</v>
          </cell>
          <cell r="Y22" t="str">
            <v>Performance</v>
          </cell>
          <cell r="Z22">
            <v>0.78723404255319152</v>
          </cell>
          <cell r="AA22">
            <v>0.79609929078014185</v>
          </cell>
          <cell r="AB22">
            <v>0.80496453900709219</v>
          </cell>
          <cell r="AC22">
            <v>0.81382978723404253</v>
          </cell>
          <cell r="AD22">
            <v>0.82269503546099287</v>
          </cell>
          <cell r="AE22">
            <v>0.83156028368794321</v>
          </cell>
          <cell r="AF22">
            <v>0.84042553191489355</v>
          </cell>
          <cell r="AG22">
            <v>0.84929078014184389</v>
          </cell>
          <cell r="AH22">
            <v>0.85815602836879423</v>
          </cell>
          <cell r="AI22">
            <v>0.86702127659574457</v>
          </cell>
          <cell r="AJ22">
            <v>0.87588652482269491</v>
          </cell>
          <cell r="AK22">
            <v>0.88475177304964525</v>
          </cell>
          <cell r="AL22">
            <v>0.8936170212765957</v>
          </cell>
        </row>
        <row r="23">
          <cell r="G23">
            <v>0</v>
          </cell>
          <cell r="I23">
            <v>0</v>
          </cell>
          <cell r="J23">
            <v>0</v>
          </cell>
          <cell r="K23">
            <v>0</v>
          </cell>
          <cell r="L23">
            <v>0</v>
          </cell>
          <cell r="M23">
            <v>0</v>
          </cell>
          <cell r="N23">
            <v>0</v>
          </cell>
          <cell r="O23">
            <v>0</v>
          </cell>
          <cell r="P23">
            <v>0</v>
          </cell>
          <cell r="Q23">
            <v>0</v>
          </cell>
          <cell r="R23">
            <v>0</v>
          </cell>
          <cell r="S23">
            <v>0</v>
          </cell>
          <cell r="T23">
            <v>0</v>
          </cell>
          <cell r="U23">
            <v>0</v>
          </cell>
          <cell r="X23">
            <v>0</v>
          </cell>
          <cell r="Z23">
            <v>0.78723404255319152</v>
          </cell>
          <cell r="AA23">
            <v>0.78723404255319152</v>
          </cell>
          <cell r="AB23">
            <v>0.78723404255319152</v>
          </cell>
          <cell r="AC23">
            <v>0.78723404255319152</v>
          </cell>
          <cell r="AD23">
            <v>0.78723404255319152</v>
          </cell>
          <cell r="AE23">
            <v>0.78723404255319152</v>
          </cell>
          <cell r="AF23">
            <v>0.78723404255319152</v>
          </cell>
          <cell r="AG23">
            <v>0.78723404255319152</v>
          </cell>
          <cell r="AH23">
            <v>0.78723404255319152</v>
          </cell>
          <cell r="AI23">
            <v>0.78723404255319152</v>
          </cell>
          <cell r="AJ23">
            <v>0.78723404255319152</v>
          </cell>
          <cell r="AK23">
            <v>0.78723404255319152</v>
          </cell>
          <cell r="AL23">
            <v>0.78723404255319152</v>
          </cell>
        </row>
        <row r="24">
          <cell r="G24" t="str">
            <v>Actual Performance</v>
          </cell>
          <cell r="J24">
            <v>17</v>
          </cell>
          <cell r="K24">
            <v>17</v>
          </cell>
          <cell r="L24">
            <v>17</v>
          </cell>
          <cell r="M24">
            <v>17</v>
          </cell>
          <cell r="X24" t="str">
            <v>Actual Performance</v>
          </cell>
          <cell r="Z24">
            <v>0.78723404255319152</v>
          </cell>
          <cell r="AA24">
            <v>0.78720000000000001</v>
          </cell>
          <cell r="AB24">
            <v>0.78723404255319152</v>
          </cell>
          <cell r="AC24">
            <v>0.82978723404255317</v>
          </cell>
        </row>
        <row r="25">
          <cell r="G25" t="str">
            <v xml:space="preserve">Tri-color </v>
          </cell>
          <cell r="J25">
            <v>1</v>
          </cell>
          <cell r="K25">
            <v>1</v>
          </cell>
          <cell r="L25">
            <v>1</v>
          </cell>
          <cell r="M25">
            <v>1</v>
          </cell>
          <cell r="N25" t="str">
            <v/>
          </cell>
          <cell r="O25" t="str">
            <v/>
          </cell>
          <cell r="P25" t="str">
            <v/>
          </cell>
          <cell r="Q25" t="str">
            <v/>
          </cell>
          <cell r="R25" t="str">
            <v/>
          </cell>
          <cell r="S25" t="str">
            <v/>
          </cell>
          <cell r="T25" t="str">
            <v/>
          </cell>
          <cell r="U25" t="str">
            <v/>
          </cell>
          <cell r="X25" t="str">
            <v xml:space="preserve">Tri-color </v>
          </cell>
          <cell r="Z25" t="e">
            <v>#DIV/0!</v>
          </cell>
          <cell r="AA25">
            <v>-1.9200000000008577E-3</v>
          </cell>
          <cell r="AB25">
            <v>0</v>
          </cell>
          <cell r="AC25">
            <v>0.80000000000000038</v>
          </cell>
          <cell r="AD25" t="str">
            <v/>
          </cell>
          <cell r="AE25" t="str">
            <v/>
          </cell>
          <cell r="AF25" t="str">
            <v/>
          </cell>
          <cell r="AG25" t="str">
            <v/>
          </cell>
          <cell r="AH25" t="str">
            <v/>
          </cell>
          <cell r="AI25" t="str">
            <v/>
          </cell>
          <cell r="AJ25" t="str">
            <v/>
          </cell>
          <cell r="AK25" t="str">
            <v/>
          </cell>
          <cell r="AL25" t="str">
            <v/>
          </cell>
        </row>
        <row r="26">
          <cell r="G26" t="str">
            <v>Achievement Rate</v>
          </cell>
          <cell r="J26">
            <v>1</v>
          </cell>
          <cell r="K26">
            <v>1</v>
          </cell>
          <cell r="L26">
            <v>1</v>
          </cell>
          <cell r="M26">
            <v>1</v>
          </cell>
          <cell r="N26" t="str">
            <v/>
          </cell>
          <cell r="O26" t="str">
            <v/>
          </cell>
          <cell r="P26" t="str">
            <v/>
          </cell>
          <cell r="Q26" t="str">
            <v/>
          </cell>
          <cell r="R26" t="str">
            <v/>
          </cell>
          <cell r="S26" t="str">
            <v/>
          </cell>
          <cell r="T26" t="str">
            <v/>
          </cell>
          <cell r="U26" t="str">
            <v/>
          </cell>
          <cell r="X26" t="str">
            <v>Achievement Rate</v>
          </cell>
          <cell r="AA26">
            <v>-1.9200000000008577E-3</v>
          </cell>
          <cell r="AB26">
            <v>0</v>
          </cell>
          <cell r="AC26">
            <v>0.80000000000000038</v>
          </cell>
          <cell r="AD26" t="str">
            <v/>
          </cell>
          <cell r="AE26" t="str">
            <v/>
          </cell>
          <cell r="AF26" t="str">
            <v/>
          </cell>
          <cell r="AG26" t="str">
            <v/>
          </cell>
          <cell r="AH26" t="str">
            <v/>
          </cell>
          <cell r="AI26" t="str">
            <v/>
          </cell>
          <cell r="AJ26" t="str">
            <v/>
          </cell>
          <cell r="AK26" t="str">
            <v/>
          </cell>
          <cell r="AL26" t="str">
            <v/>
          </cell>
        </row>
        <row r="28">
          <cell r="G28" t="str">
            <v>EMSD; Target =3 Machines</v>
          </cell>
        </row>
        <row r="29">
          <cell r="G29" t="str">
            <v>Zero Monitor manufacturing</v>
          </cell>
          <cell r="I29" t="str">
            <v>Mar</v>
          </cell>
          <cell r="J29" t="str">
            <v>Apr</v>
          </cell>
          <cell r="K29" t="str">
            <v>May</v>
          </cell>
          <cell r="L29" t="str">
            <v>Jun</v>
          </cell>
          <cell r="M29" t="str">
            <v>Jul</v>
          </cell>
          <cell r="N29" t="str">
            <v>Aug</v>
          </cell>
          <cell r="O29" t="str">
            <v>Sep</v>
          </cell>
          <cell r="P29" t="str">
            <v>Oct</v>
          </cell>
          <cell r="Q29" t="str">
            <v>Nov</v>
          </cell>
          <cell r="R29" t="str">
            <v>Dec</v>
          </cell>
          <cell r="S29" t="str">
            <v>Jan</v>
          </cell>
          <cell r="T29" t="str">
            <v>Feb</v>
          </cell>
          <cell r="U29" t="str">
            <v>Mar</v>
          </cell>
        </row>
        <row r="30">
          <cell r="G30">
            <v>0.25</v>
          </cell>
          <cell r="H30" t="str">
            <v>Performance</v>
          </cell>
          <cell r="I30">
            <v>0</v>
          </cell>
          <cell r="J30">
            <v>0.25</v>
          </cell>
          <cell r="K30">
            <v>0.5</v>
          </cell>
          <cell r="L30">
            <v>0.75</v>
          </cell>
          <cell r="M30">
            <v>1</v>
          </cell>
          <cell r="N30">
            <v>1.25</v>
          </cell>
          <cell r="O30">
            <v>1.5</v>
          </cell>
          <cell r="P30">
            <v>1.75</v>
          </cell>
          <cell r="Q30">
            <v>2</v>
          </cell>
          <cell r="R30">
            <v>2.25</v>
          </cell>
          <cell r="S30">
            <v>2.5</v>
          </cell>
          <cell r="T30">
            <v>2.75</v>
          </cell>
          <cell r="U30">
            <v>3</v>
          </cell>
          <cell r="X30" t="str">
            <v>One Page Standard</v>
          </cell>
        </row>
        <row r="31">
          <cell r="G31">
            <v>0.16666666666666666</v>
          </cell>
          <cell r="H31" t="str">
            <v>Performance</v>
          </cell>
          <cell r="I31">
            <v>0</v>
          </cell>
          <cell r="J31">
            <v>0.16666666666666666</v>
          </cell>
          <cell r="K31">
            <v>0.33333333333333331</v>
          </cell>
          <cell r="L31">
            <v>0.5</v>
          </cell>
          <cell r="M31">
            <v>0.66666666666666663</v>
          </cell>
          <cell r="N31">
            <v>0.83333333333333326</v>
          </cell>
          <cell r="O31">
            <v>0.99999999999999989</v>
          </cell>
          <cell r="P31">
            <v>1.1666666666666665</v>
          </cell>
          <cell r="Q31">
            <v>1.3333333333333333</v>
          </cell>
          <cell r="R31">
            <v>1.5</v>
          </cell>
          <cell r="S31">
            <v>1.6666666666666667</v>
          </cell>
          <cell r="T31">
            <v>1.8333333333333335</v>
          </cell>
          <cell r="U31">
            <v>2</v>
          </cell>
        </row>
        <row r="32">
          <cell r="G32">
            <v>8.3333333333333329E-2</v>
          </cell>
          <cell r="H32" t="str">
            <v>Performance</v>
          </cell>
          <cell r="I32">
            <v>0</v>
          </cell>
          <cell r="J32">
            <v>8.3333333333333329E-2</v>
          </cell>
          <cell r="K32">
            <v>0.16666666666666666</v>
          </cell>
          <cell r="L32">
            <v>0.25</v>
          </cell>
          <cell r="M32">
            <v>0.33333333333333331</v>
          </cell>
          <cell r="N32">
            <v>0.41666666666666663</v>
          </cell>
          <cell r="O32">
            <v>0.49999999999999994</v>
          </cell>
          <cell r="P32">
            <v>0.58333333333333326</v>
          </cell>
          <cell r="Q32">
            <v>0.66666666666666663</v>
          </cell>
          <cell r="R32">
            <v>0.75</v>
          </cell>
          <cell r="S32">
            <v>0.83333333333333337</v>
          </cell>
          <cell r="T32">
            <v>0.91666666666666674</v>
          </cell>
          <cell r="U32">
            <v>1</v>
          </cell>
          <cell r="X32" t="str">
            <v>Company Wide Key 7</v>
          </cell>
          <cell r="Z32" t="str">
            <v>Mar</v>
          </cell>
          <cell r="AA32" t="str">
            <v>Apr</v>
          </cell>
          <cell r="AB32" t="str">
            <v>May</v>
          </cell>
          <cell r="AC32" t="str">
            <v>Jun</v>
          </cell>
          <cell r="AD32" t="str">
            <v>Jul</v>
          </cell>
          <cell r="AE32" t="str">
            <v>Aug</v>
          </cell>
          <cell r="AF32" t="str">
            <v>Sep</v>
          </cell>
          <cell r="AG32" t="str">
            <v>Oct</v>
          </cell>
          <cell r="AH32" t="str">
            <v>Nov</v>
          </cell>
          <cell r="AI32" t="str">
            <v>Dec</v>
          </cell>
          <cell r="AJ32" t="str">
            <v>Jan</v>
          </cell>
          <cell r="AK32" t="str">
            <v>Feb</v>
          </cell>
          <cell r="AL32" t="str">
            <v>Mar</v>
          </cell>
        </row>
        <row r="33">
          <cell r="G33">
            <v>0</v>
          </cell>
          <cell r="I33">
            <v>0</v>
          </cell>
          <cell r="J33">
            <v>0</v>
          </cell>
          <cell r="K33">
            <v>0</v>
          </cell>
          <cell r="L33">
            <v>0</v>
          </cell>
          <cell r="M33">
            <v>0</v>
          </cell>
          <cell r="N33">
            <v>0</v>
          </cell>
          <cell r="O33">
            <v>0</v>
          </cell>
          <cell r="P33">
            <v>0</v>
          </cell>
          <cell r="Q33">
            <v>0</v>
          </cell>
          <cell r="R33">
            <v>0</v>
          </cell>
          <cell r="S33">
            <v>0</v>
          </cell>
          <cell r="T33">
            <v>0</v>
          </cell>
          <cell r="U33">
            <v>0</v>
          </cell>
          <cell r="X33">
            <v>1.6690967347085712E-2</v>
          </cell>
          <cell r="Y33" t="str">
            <v>Performance</v>
          </cell>
          <cell r="Z33">
            <v>0.79970839183497144</v>
          </cell>
          <cell r="AA33">
            <v>0.81639935918205719</v>
          </cell>
          <cell r="AB33">
            <v>0.83309032652914294</v>
          </cell>
          <cell r="AC33">
            <v>0.84978129387622869</v>
          </cell>
          <cell r="AD33">
            <v>0.86647226122331444</v>
          </cell>
          <cell r="AE33">
            <v>0.88316322857040019</v>
          </cell>
          <cell r="AF33">
            <v>0.89985419591748594</v>
          </cell>
          <cell r="AG33">
            <v>0.91654516326457169</v>
          </cell>
          <cell r="AH33">
            <v>0.93323613061165744</v>
          </cell>
          <cell r="AI33">
            <v>0.94992709795874319</v>
          </cell>
          <cell r="AJ33">
            <v>0.96661806530582894</v>
          </cell>
          <cell r="AK33">
            <v>0.98330903265291469</v>
          </cell>
          <cell r="AL33">
            <v>1</v>
          </cell>
        </row>
        <row r="34">
          <cell r="G34" t="str">
            <v>Actual Performance</v>
          </cell>
          <cell r="J34">
            <v>3</v>
          </cell>
          <cell r="K34">
            <v>3</v>
          </cell>
          <cell r="L34">
            <v>3</v>
          </cell>
          <cell r="M34">
            <v>3</v>
          </cell>
          <cell r="X34">
            <v>1.3185864204197715E-2</v>
          </cell>
          <cell r="Y34" t="str">
            <v>Performance</v>
          </cell>
          <cell r="Z34">
            <v>0.79970839183497144</v>
          </cell>
          <cell r="AA34">
            <v>0.81289425603916921</v>
          </cell>
          <cell r="AB34">
            <v>0.82608012024336697</v>
          </cell>
          <cell r="AC34">
            <v>0.83926598444756473</v>
          </cell>
          <cell r="AD34">
            <v>0.85245184865176249</v>
          </cell>
          <cell r="AE34">
            <v>0.86563771285596025</v>
          </cell>
          <cell r="AF34">
            <v>0.87882357706015801</v>
          </cell>
          <cell r="AG34">
            <v>0.89200944126435577</v>
          </cell>
          <cell r="AH34">
            <v>0.90519530546855353</v>
          </cell>
          <cell r="AI34">
            <v>0.9183811696727513</v>
          </cell>
          <cell r="AJ34">
            <v>0.93156703387694906</v>
          </cell>
          <cell r="AK34">
            <v>0.94475289808114682</v>
          </cell>
          <cell r="AL34">
            <v>0.95793876228534403</v>
          </cell>
        </row>
        <row r="35">
          <cell r="G35" t="str">
            <v xml:space="preserve">Tri-color </v>
          </cell>
          <cell r="J35">
            <v>1</v>
          </cell>
          <cell r="K35">
            <v>1</v>
          </cell>
          <cell r="L35">
            <v>1</v>
          </cell>
          <cell r="M35">
            <v>1</v>
          </cell>
          <cell r="N35" t="str">
            <v/>
          </cell>
          <cell r="O35" t="str">
            <v/>
          </cell>
          <cell r="P35" t="str">
            <v/>
          </cell>
          <cell r="Q35" t="str">
            <v/>
          </cell>
          <cell r="R35" t="str">
            <v/>
          </cell>
          <cell r="S35" t="str">
            <v/>
          </cell>
          <cell r="T35" t="str">
            <v/>
          </cell>
          <cell r="U35" t="str">
            <v/>
          </cell>
          <cell r="X35">
            <v>8.3454836735428559E-3</v>
          </cell>
          <cell r="Y35" t="str">
            <v>Performance</v>
          </cell>
          <cell r="Z35">
            <v>0.79970839183497144</v>
          </cell>
          <cell r="AA35">
            <v>0.80805387550851426</v>
          </cell>
          <cell r="AB35">
            <v>0.81639935918205708</v>
          </cell>
          <cell r="AC35">
            <v>0.8247448428555999</v>
          </cell>
          <cell r="AD35">
            <v>0.83309032652914272</v>
          </cell>
          <cell r="AE35">
            <v>0.84143581020268554</v>
          </cell>
          <cell r="AF35">
            <v>0.84978129387622836</v>
          </cell>
          <cell r="AG35">
            <v>0.85812677754977118</v>
          </cell>
          <cell r="AH35">
            <v>0.866472261223314</v>
          </cell>
          <cell r="AI35">
            <v>0.87481774489685682</v>
          </cell>
          <cell r="AJ35">
            <v>0.88316322857039964</v>
          </cell>
          <cell r="AK35">
            <v>0.89150871224394246</v>
          </cell>
          <cell r="AL35">
            <v>0.89985419591748572</v>
          </cell>
        </row>
        <row r="36">
          <cell r="G36" t="str">
            <v>Achievement Rate</v>
          </cell>
          <cell r="J36">
            <v>1</v>
          </cell>
          <cell r="K36">
            <v>1</v>
          </cell>
          <cell r="L36">
            <v>1</v>
          </cell>
          <cell r="M36">
            <v>1</v>
          </cell>
          <cell r="N36" t="str">
            <v/>
          </cell>
          <cell r="O36" t="str">
            <v/>
          </cell>
          <cell r="P36" t="str">
            <v/>
          </cell>
          <cell r="Q36" t="str">
            <v/>
          </cell>
          <cell r="R36" t="str">
            <v/>
          </cell>
          <cell r="S36" t="str">
            <v/>
          </cell>
          <cell r="T36" t="str">
            <v/>
          </cell>
          <cell r="U36" t="str">
            <v/>
          </cell>
          <cell r="X36">
            <v>0</v>
          </cell>
          <cell r="Z36">
            <v>0.79970839183497144</v>
          </cell>
          <cell r="AA36">
            <v>0.79970839183497144</v>
          </cell>
          <cell r="AB36">
            <v>0.79970839183497144</v>
          </cell>
          <cell r="AC36">
            <v>0.79970839183497144</v>
          </cell>
          <cell r="AD36">
            <v>0.79970839183497144</v>
          </cell>
          <cell r="AE36">
            <v>0.79970839183497144</v>
          </cell>
          <cell r="AF36">
            <v>0.79970839183497144</v>
          </cell>
          <cell r="AG36">
            <v>0.79970839183497144</v>
          </cell>
          <cell r="AH36">
            <v>0.79970839183497144</v>
          </cell>
          <cell r="AI36">
            <v>0.79970839183497144</v>
          </cell>
          <cell r="AJ36">
            <v>0.79970839183497144</v>
          </cell>
          <cell r="AK36">
            <v>0.79970839183497144</v>
          </cell>
          <cell r="AL36">
            <v>0.79970839183497144</v>
          </cell>
        </row>
        <row r="37">
          <cell r="X37" t="str">
            <v>Actual Performance</v>
          </cell>
          <cell r="Z37">
            <v>0.79970839183497144</v>
          </cell>
          <cell r="AA37">
            <v>0.8073055837563452</v>
          </cell>
          <cell r="AB37">
            <v>0.82508910249486989</v>
          </cell>
          <cell r="AC37">
            <v>0.86413219570147959</v>
          </cell>
          <cell r="AD37" t="str">
            <v/>
          </cell>
          <cell r="AE37" t="str">
            <v/>
          </cell>
          <cell r="AF37" t="str">
            <v/>
          </cell>
          <cell r="AG37" t="str">
            <v/>
          </cell>
          <cell r="AH37" t="str">
            <v/>
          </cell>
          <cell r="AI37" t="str">
            <v/>
          </cell>
          <cell r="AJ37" t="str">
            <v/>
          </cell>
          <cell r="AK37" t="str">
            <v/>
          </cell>
          <cell r="AL37" t="str">
            <v/>
          </cell>
        </row>
        <row r="38">
          <cell r="G38" t="str">
            <v>YFLEX(20 Machine); Target= One Machines</v>
          </cell>
          <cell r="X38" t="str">
            <v xml:space="preserve">Tri-color </v>
          </cell>
          <cell r="AA38">
            <v>0.48524172995978082</v>
          </cell>
          <cell r="AD38" t="str">
            <v/>
          </cell>
          <cell r="AE38" t="str">
            <v/>
          </cell>
          <cell r="AF38" t="str">
            <v/>
          </cell>
          <cell r="AG38" t="str">
            <v/>
          </cell>
          <cell r="AH38" t="str">
            <v/>
          </cell>
          <cell r="AI38" t="str">
            <v/>
          </cell>
          <cell r="AJ38" t="str">
            <v/>
          </cell>
          <cell r="AK38" t="str">
            <v/>
          </cell>
          <cell r="AL38" t="str">
            <v/>
          </cell>
        </row>
        <row r="39">
          <cell r="G39" t="str">
            <v>Zero Monitor manufacturing</v>
          </cell>
          <cell r="I39" t="str">
            <v>Apr</v>
          </cell>
          <cell r="K39" t="str">
            <v>May</v>
          </cell>
          <cell r="L39" t="str">
            <v>Jun</v>
          </cell>
          <cell r="M39" t="str">
            <v>Jul</v>
          </cell>
          <cell r="N39" t="str">
            <v>Aug</v>
          </cell>
          <cell r="O39" t="str">
            <v>Sep</v>
          </cell>
          <cell r="P39" t="str">
            <v>Oct</v>
          </cell>
          <cell r="Q39" t="str">
            <v>Nov</v>
          </cell>
          <cell r="R39" t="str">
            <v>Dec</v>
          </cell>
          <cell r="S39" t="str">
            <v>Jan</v>
          </cell>
          <cell r="T39" t="str">
            <v>Feb</v>
          </cell>
          <cell r="U39" t="str">
            <v>Mar</v>
          </cell>
          <cell r="X39" t="str">
            <v>Achievement Rate</v>
          </cell>
          <cell r="AA39">
            <v>0.48524172995978082</v>
          </cell>
          <cell r="AB39">
            <v>0</v>
          </cell>
          <cell r="AC39">
            <v>0</v>
          </cell>
          <cell r="AD39" t="str">
            <v/>
          </cell>
          <cell r="AE39" t="str">
            <v/>
          </cell>
          <cell r="AF39" t="str">
            <v/>
          </cell>
          <cell r="AG39" t="str">
            <v/>
          </cell>
          <cell r="AH39" t="str">
            <v/>
          </cell>
          <cell r="AI39" t="str">
            <v/>
          </cell>
          <cell r="AJ39" t="str">
            <v/>
          </cell>
          <cell r="AK39" t="str">
            <v/>
          </cell>
          <cell r="AL39" t="str">
            <v/>
          </cell>
        </row>
        <row r="40">
          <cell r="G40">
            <v>9.0909090909090912E-2</v>
          </cell>
          <cell r="H40" t="str">
            <v>Performance</v>
          </cell>
          <cell r="I40">
            <v>0</v>
          </cell>
          <cell r="K40">
            <v>9.0909090909090912E-2</v>
          </cell>
          <cell r="L40">
            <v>0.18181818181818182</v>
          </cell>
          <cell r="M40">
            <v>0.27272727272727271</v>
          </cell>
          <cell r="N40">
            <v>0.36363636363636365</v>
          </cell>
          <cell r="O40">
            <v>0.45454545454545459</v>
          </cell>
          <cell r="P40">
            <v>0.54545454545454553</v>
          </cell>
          <cell r="Q40">
            <v>0.63636363636363646</v>
          </cell>
          <cell r="R40">
            <v>0.7272727272727274</v>
          </cell>
          <cell r="S40">
            <v>0.81818181818181834</v>
          </cell>
          <cell r="T40">
            <v>0.90909090909090928</v>
          </cell>
          <cell r="U40">
            <v>1</v>
          </cell>
        </row>
        <row r="41">
          <cell r="G41">
            <v>7.2727272727272738E-2</v>
          </cell>
          <cell r="H41" t="str">
            <v>Performance</v>
          </cell>
          <cell r="I41">
            <v>0</v>
          </cell>
          <cell r="K41">
            <v>7.2727272727272738E-2</v>
          </cell>
          <cell r="L41">
            <v>0.14545454545454548</v>
          </cell>
          <cell r="M41">
            <v>0.2181818181818182</v>
          </cell>
          <cell r="N41">
            <v>0.29090909090909095</v>
          </cell>
          <cell r="O41">
            <v>0.3636363636363637</v>
          </cell>
          <cell r="P41">
            <v>0.43636363636363645</v>
          </cell>
          <cell r="Q41">
            <v>0.50909090909090915</v>
          </cell>
          <cell r="R41">
            <v>0.5818181818181819</v>
          </cell>
          <cell r="S41">
            <v>0.65454545454545465</v>
          </cell>
          <cell r="T41">
            <v>0.7272727272727274</v>
          </cell>
          <cell r="U41">
            <v>0.8</v>
          </cell>
        </row>
        <row r="42">
          <cell r="G42">
            <v>4.5454545454545456E-2</v>
          </cell>
          <cell r="H42" t="str">
            <v>Performance</v>
          </cell>
          <cell r="I42">
            <v>0</v>
          </cell>
          <cell r="K42">
            <v>4.5454545454545456E-2</v>
          </cell>
          <cell r="L42">
            <v>9.0909090909090912E-2</v>
          </cell>
          <cell r="M42">
            <v>0.13636363636363635</v>
          </cell>
          <cell r="N42">
            <v>0.18181818181818182</v>
          </cell>
          <cell r="O42">
            <v>0.22727272727272729</v>
          </cell>
          <cell r="P42">
            <v>0.27272727272727276</v>
          </cell>
          <cell r="Q42">
            <v>0.31818181818181823</v>
          </cell>
          <cell r="R42">
            <v>0.3636363636363637</v>
          </cell>
          <cell r="S42">
            <v>0.40909090909090917</v>
          </cell>
          <cell r="T42">
            <v>0.45454545454545464</v>
          </cell>
          <cell r="U42">
            <v>0.5</v>
          </cell>
        </row>
        <row r="43">
          <cell r="G43">
            <v>0</v>
          </cell>
          <cell r="I43">
            <v>0</v>
          </cell>
          <cell r="K43">
            <v>0</v>
          </cell>
          <cell r="L43">
            <v>0</v>
          </cell>
          <cell r="M43">
            <v>0</v>
          </cell>
          <cell r="N43">
            <v>0</v>
          </cell>
          <cell r="O43">
            <v>0</v>
          </cell>
          <cell r="P43">
            <v>0</v>
          </cell>
          <cell r="Q43">
            <v>0</v>
          </cell>
          <cell r="R43">
            <v>0</v>
          </cell>
          <cell r="S43">
            <v>0</v>
          </cell>
          <cell r="T43">
            <v>0</v>
          </cell>
          <cell r="U43">
            <v>0</v>
          </cell>
        </row>
        <row r="44">
          <cell r="G44" t="str">
            <v>Actual Performance</v>
          </cell>
        </row>
        <row r="45">
          <cell r="G45" t="str">
            <v xml:space="preserve">Tri-color </v>
          </cell>
          <cell r="K45" t="str">
            <v/>
          </cell>
          <cell r="L45" t="str">
            <v/>
          </cell>
          <cell r="M45" t="str">
            <v/>
          </cell>
          <cell r="N45" t="str">
            <v/>
          </cell>
          <cell r="O45" t="str">
            <v/>
          </cell>
          <cell r="P45" t="str">
            <v/>
          </cell>
          <cell r="Q45" t="str">
            <v/>
          </cell>
          <cell r="R45" t="str">
            <v/>
          </cell>
          <cell r="S45" t="str">
            <v/>
          </cell>
          <cell r="T45" t="str">
            <v/>
          </cell>
          <cell r="U45" t="str">
            <v/>
          </cell>
        </row>
        <row r="46">
          <cell r="G46" t="str">
            <v>Achievement Rate</v>
          </cell>
          <cell r="K46" t="str">
            <v/>
          </cell>
          <cell r="L46" t="str">
            <v/>
          </cell>
          <cell r="M46" t="str">
            <v/>
          </cell>
          <cell r="N46" t="str">
            <v/>
          </cell>
          <cell r="O46" t="str">
            <v/>
          </cell>
          <cell r="P46" t="str">
            <v/>
          </cell>
          <cell r="Q46" t="str">
            <v/>
          </cell>
          <cell r="R46" t="str">
            <v/>
          </cell>
          <cell r="S46" t="str">
            <v/>
          </cell>
          <cell r="T46" t="str">
            <v/>
          </cell>
          <cell r="U46" t="str">
            <v/>
          </cell>
        </row>
        <row r="50">
          <cell r="G50" t="str">
            <v>Zero Monitoring Manufacturing</v>
          </cell>
        </row>
        <row r="52">
          <cell r="G52" t="str">
            <v>Company Wide Key 7</v>
          </cell>
          <cell r="I52" t="str">
            <v>Mar</v>
          </cell>
          <cell r="J52" t="str">
            <v>Apr</v>
          </cell>
          <cell r="K52" t="str">
            <v>May</v>
          </cell>
          <cell r="L52" t="str">
            <v>Jun</v>
          </cell>
          <cell r="M52" t="str">
            <v>Jul</v>
          </cell>
          <cell r="N52" t="str">
            <v>Aug</v>
          </cell>
          <cell r="O52" t="str">
            <v>Sep</v>
          </cell>
          <cell r="P52" t="str">
            <v>Oct</v>
          </cell>
          <cell r="Q52" t="str">
            <v>Nov</v>
          </cell>
          <cell r="R52" t="str">
            <v>Dec</v>
          </cell>
          <cell r="S52" t="str">
            <v>Jan</v>
          </cell>
          <cell r="T52" t="str">
            <v>Feb</v>
          </cell>
          <cell r="U52" t="str">
            <v>Mar</v>
          </cell>
        </row>
        <row r="53">
          <cell r="G53">
            <v>0</v>
          </cell>
          <cell r="H53" t="str">
            <v>Performance</v>
          </cell>
          <cell r="I53">
            <v>1</v>
          </cell>
          <cell r="J53">
            <v>1</v>
          </cell>
          <cell r="K53">
            <v>1</v>
          </cell>
          <cell r="L53">
            <v>1</v>
          </cell>
          <cell r="M53">
            <v>1</v>
          </cell>
          <cell r="N53">
            <v>1</v>
          </cell>
          <cell r="O53">
            <v>1</v>
          </cell>
          <cell r="P53">
            <v>1</v>
          </cell>
          <cell r="Q53">
            <v>1</v>
          </cell>
          <cell r="R53">
            <v>1</v>
          </cell>
          <cell r="S53">
            <v>1</v>
          </cell>
          <cell r="T53">
            <v>1</v>
          </cell>
          <cell r="U53">
            <v>1</v>
          </cell>
        </row>
        <row r="54">
          <cell r="G54">
            <v>0</v>
          </cell>
          <cell r="H54" t="str">
            <v>Performance</v>
          </cell>
          <cell r="I54">
            <v>0.88</v>
          </cell>
          <cell r="J54">
            <v>0.88</v>
          </cell>
          <cell r="K54">
            <v>0.88</v>
          </cell>
          <cell r="L54">
            <v>0.88</v>
          </cell>
          <cell r="M54">
            <v>0.88</v>
          </cell>
          <cell r="N54">
            <v>0.88</v>
          </cell>
          <cell r="O54">
            <v>0.88</v>
          </cell>
          <cell r="P54">
            <v>0.88</v>
          </cell>
          <cell r="Q54">
            <v>0.88</v>
          </cell>
          <cell r="R54">
            <v>0.88</v>
          </cell>
          <cell r="S54">
            <v>0.88</v>
          </cell>
          <cell r="T54">
            <v>0.88</v>
          </cell>
          <cell r="U54">
            <v>0.88</v>
          </cell>
        </row>
        <row r="55">
          <cell r="G55">
            <v>0</v>
          </cell>
          <cell r="H55" t="str">
            <v>Performance</v>
          </cell>
          <cell r="I55">
            <v>0.5</v>
          </cell>
          <cell r="J55">
            <v>0.5</v>
          </cell>
          <cell r="K55">
            <v>0.5</v>
          </cell>
          <cell r="L55">
            <v>0.5</v>
          </cell>
          <cell r="M55">
            <v>0.5</v>
          </cell>
          <cell r="N55">
            <v>0.5</v>
          </cell>
          <cell r="O55">
            <v>0.5</v>
          </cell>
          <cell r="P55">
            <v>0.5</v>
          </cell>
          <cell r="Q55">
            <v>0.5</v>
          </cell>
          <cell r="R55">
            <v>0.5</v>
          </cell>
          <cell r="S55">
            <v>0.5</v>
          </cell>
          <cell r="T55">
            <v>0.5</v>
          </cell>
          <cell r="U55">
            <v>0.5</v>
          </cell>
        </row>
        <row r="56">
          <cell r="G56">
            <v>0</v>
          </cell>
          <cell r="I56">
            <v>0</v>
          </cell>
          <cell r="J56">
            <v>0</v>
          </cell>
          <cell r="K56">
            <v>0</v>
          </cell>
          <cell r="L56">
            <v>0</v>
          </cell>
          <cell r="M56">
            <v>0</v>
          </cell>
          <cell r="N56">
            <v>0</v>
          </cell>
          <cell r="O56">
            <v>0</v>
          </cell>
          <cell r="P56">
            <v>0</v>
          </cell>
          <cell r="Q56">
            <v>0</v>
          </cell>
          <cell r="R56">
            <v>0</v>
          </cell>
          <cell r="S56">
            <v>0</v>
          </cell>
          <cell r="T56">
            <v>0</v>
          </cell>
          <cell r="U56">
            <v>0</v>
          </cell>
        </row>
        <row r="57">
          <cell r="G57" t="str">
            <v>Actual Performance</v>
          </cell>
          <cell r="J57">
            <v>0.90700000000000003</v>
          </cell>
          <cell r="K57">
            <v>0.97829999999999995</v>
          </cell>
          <cell r="L57">
            <v>0.93159999999999998</v>
          </cell>
          <cell r="M57">
            <v>0.98089999999999999</v>
          </cell>
          <cell r="N57">
            <v>0.92120000000000002</v>
          </cell>
          <cell r="O57">
            <v>0.96360000000000001</v>
          </cell>
          <cell r="P57">
            <v>0.9234</v>
          </cell>
          <cell r="Q57" t="str">
            <v/>
          </cell>
          <cell r="R57" t="str">
            <v/>
          </cell>
          <cell r="S57" t="str">
            <v/>
          </cell>
          <cell r="T57" t="str">
            <v/>
          </cell>
          <cell r="U57" t="str">
            <v/>
          </cell>
        </row>
        <row r="58">
          <cell r="G58" t="str">
            <v xml:space="preserve">Tri-color </v>
          </cell>
          <cell r="J58">
            <v>1</v>
          </cell>
          <cell r="K58">
            <v>1</v>
          </cell>
          <cell r="L58">
            <v>1</v>
          </cell>
          <cell r="M58">
            <v>1</v>
          </cell>
          <cell r="N58" t="e">
            <v>#VALUE!</v>
          </cell>
          <cell r="O58" t="e">
            <v>#VALUE!</v>
          </cell>
          <cell r="P58" t="e">
            <v>#VALUE!</v>
          </cell>
          <cell r="Q58" t="str">
            <v/>
          </cell>
          <cell r="R58" t="str">
            <v/>
          </cell>
          <cell r="S58" t="str">
            <v/>
          </cell>
          <cell r="T58" t="str">
            <v/>
          </cell>
          <cell r="U58" t="str">
            <v/>
          </cell>
        </row>
        <row r="59">
          <cell r="G59" t="str">
            <v>Achievement Rate</v>
          </cell>
          <cell r="J59">
            <v>1</v>
          </cell>
          <cell r="K59">
            <v>1</v>
          </cell>
          <cell r="L59">
            <v>1</v>
          </cell>
          <cell r="M59">
            <v>1</v>
          </cell>
          <cell r="N59" t="e">
            <v>#VALUE!</v>
          </cell>
          <cell r="O59" t="e">
            <v>#VALUE!</v>
          </cell>
          <cell r="P59" t="e">
            <v>#VALUE!</v>
          </cell>
          <cell r="Q59" t="str">
            <v/>
          </cell>
          <cell r="R59" t="str">
            <v/>
          </cell>
          <cell r="S59" t="str">
            <v/>
          </cell>
          <cell r="T59" t="str">
            <v/>
          </cell>
          <cell r="U59" t="str">
            <v/>
          </cell>
        </row>
        <row r="62">
          <cell r="G62">
            <v>90.7</v>
          </cell>
          <cell r="H62">
            <v>97.83</v>
          </cell>
          <cell r="I62">
            <v>93.16</v>
          </cell>
          <cell r="J62">
            <v>98.09</v>
          </cell>
          <cell r="K62">
            <v>92.12</v>
          </cell>
          <cell r="L62">
            <v>96.36</v>
          </cell>
          <cell r="M62">
            <v>92.34</v>
          </cell>
        </row>
      </sheetData>
      <sheetData sheetId="1"/>
      <sheetData sheetId="2"/>
      <sheetData sheetId="3"/>
      <sheetData sheetId="4"/>
      <sheetData sheetId="5"/>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7"/>
      <sheetName val="Molding optn rate"/>
      <sheetName val="Over all DATA"/>
      <sheetName val="FY2008 Data"/>
      <sheetName val="Score"/>
      <sheetName val="Molding FY2009 "/>
    </sheetNames>
    <sheetDataSet>
      <sheetData sheetId="0"/>
      <sheetData sheetId="1"/>
      <sheetData sheetId="2"/>
      <sheetData sheetId="3"/>
      <sheetData sheetId="4"/>
      <sheetData sheetId="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1-Ttl TS-CN "/>
      <sheetName val="Announced Audit - Oct"/>
      <sheetName val="Un-announced Audit -Oct"/>
      <sheetName val="Model Desk"/>
      <sheetName val="TS-Molding"/>
      <sheetName val="CN-FRS"/>
      <sheetName val="TS-Mfg."/>
      <sheetName val="TS-CN (PPC)"/>
      <sheetName val="Sheet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1-Ttl TS-CN "/>
      <sheetName val="Announced Audit - Oct"/>
      <sheetName val="Un-announced Audit -Oct"/>
      <sheetName val="Model Desk"/>
      <sheetName val="TS-Molding"/>
      <sheetName val="CN-FRS"/>
      <sheetName val="TS-Mfg."/>
      <sheetName val="TS-CN (PPC)"/>
      <sheetName val="Sheet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05Actual"/>
      <sheetName val="OPEX-Apr-Nov 2005"/>
      <sheetName val="#REF!"/>
      <sheetName val="Machinery"/>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01-Ttl.TS-CN Month to Month"/>
      <sheetName val="TS-CN Un-announced Audit "/>
      <sheetName val="TS-CN Announced Audit"/>
      <sheetName val="Model Desks"/>
      <sheetName val="4'S Trend"/>
      <sheetName val="4'S Moni.Dep't."/>
      <sheetName val="Pareto"/>
      <sheetName val="Managers Audit Updates"/>
      <sheetName val="Molding"/>
      <sheetName val="TS-Mfg."/>
      <sheetName val="TS-CN FRS"/>
      <sheetName val="Audit Schedul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ZONE DIRECTORY"/>
      <sheetName val="zone_1"/>
      <sheetName val="zone_2"/>
      <sheetName val="zone_3"/>
      <sheetName val="zone_4"/>
      <sheetName val="zone_5"/>
      <sheetName val="zone_6"/>
      <sheetName val="zone_7"/>
      <sheetName val="zone_8"/>
      <sheetName val="Checksheet"/>
      <sheetName val="DEFINITION1"/>
      <sheetName val="Key 7"/>
      <sheetName val="k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ZONE DIRECTORY"/>
      <sheetName val="zone_1"/>
      <sheetName val="zone_2"/>
      <sheetName val="zone_3"/>
      <sheetName val="zone_4"/>
      <sheetName val="zone_5"/>
      <sheetName val="zone_6"/>
      <sheetName val="zone_7"/>
      <sheetName val="zone_8"/>
      <sheetName val="Check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color"/>
      <sheetName val="Key1"/>
      <sheetName val="Key2 "/>
      <sheetName val="Key3"/>
      <sheetName val="Key4"/>
      <sheetName val="Key5 "/>
      <sheetName val="Key 6 "/>
      <sheetName val="Key7"/>
      <sheetName val="Key8 "/>
      <sheetName val="Key9 "/>
      <sheetName val="Key10"/>
      <sheetName val="Key 11"/>
      <sheetName val="Key12"/>
      <sheetName val="Key13 "/>
      <sheetName val="Key14  "/>
      <sheetName val="Key15 "/>
      <sheetName val="Key16"/>
      <sheetName val="Key17"/>
      <sheetName val="Key18"/>
      <sheetName val="Key19"/>
      <sheetName val="Key20"/>
      <sheetName val="Innovation Program Oct07~Mar08"/>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S1-1"/>
      <sheetName val="S1-2"/>
      <sheetName val="S2"/>
      <sheetName val="S3"/>
      <sheetName val="S4"/>
      <sheetName val="S5-1"/>
      <sheetName val="S6-1"/>
      <sheetName val="S5-2"/>
      <sheetName val="S6-2"/>
      <sheetName val="S6-3"/>
      <sheetName val="S6-4"/>
      <sheetName val="S8-1"/>
      <sheetName val="S6-5"/>
      <sheetName val="S8-2"/>
      <sheetName val="Table1"/>
      <sheetName val="DEFINITION1"/>
      <sheetName val="Module1"/>
      <sheetName val="#REF!"/>
      <sheetName val="Key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t="str">
            <v>0000</v>
          </cell>
          <cell r="B1" t="str">
            <v>日本語</v>
          </cell>
        </row>
        <row r="2">
          <cell r="A2">
            <v>1000</v>
          </cell>
          <cell r="B2" t="str">
            <v>現金</v>
          </cell>
        </row>
        <row r="3">
          <cell r="A3">
            <v>1010</v>
          </cell>
          <cell r="B3" t="str">
            <v>預金</v>
          </cell>
        </row>
        <row r="4">
          <cell r="A4">
            <v>1011</v>
          </cell>
          <cell r="B4" t="str">
            <v>預金(除く現金同等物）</v>
          </cell>
        </row>
        <row r="5">
          <cell r="A5">
            <v>1020</v>
          </cell>
          <cell r="B5" t="str">
            <v>受取手形</v>
          </cell>
        </row>
        <row r="6">
          <cell r="A6">
            <v>1021</v>
          </cell>
          <cell r="B6" t="str">
            <v>受取手形連子</v>
          </cell>
        </row>
        <row r="7">
          <cell r="A7">
            <v>1022</v>
          </cell>
          <cell r="B7" t="str">
            <v>受取手形他</v>
          </cell>
        </row>
        <row r="8">
          <cell r="A8">
            <v>1023</v>
          </cell>
          <cell r="B8" t="str">
            <v>受取手形非連子</v>
          </cell>
        </row>
        <row r="9">
          <cell r="A9">
            <v>1040</v>
          </cell>
          <cell r="B9" t="str">
            <v>手形裏書譲渡高</v>
          </cell>
        </row>
        <row r="10">
          <cell r="A10">
            <v>1041</v>
          </cell>
          <cell r="B10" t="str">
            <v>手形裏書譲渡高連子</v>
          </cell>
        </row>
        <row r="11">
          <cell r="A11">
            <v>1042</v>
          </cell>
          <cell r="B11" t="str">
            <v>手形裏書譲渡高他</v>
          </cell>
        </row>
        <row r="12">
          <cell r="A12">
            <v>1043</v>
          </cell>
          <cell r="B12" t="str">
            <v>手形裏書譲渡高非連子</v>
          </cell>
        </row>
        <row r="13">
          <cell r="A13">
            <v>1050</v>
          </cell>
          <cell r="B13" t="str">
            <v>売掛金</v>
          </cell>
        </row>
        <row r="14">
          <cell r="A14">
            <v>1051</v>
          </cell>
          <cell r="B14" t="str">
            <v>売掛金連子</v>
          </cell>
        </row>
        <row r="15">
          <cell r="A15">
            <v>1052</v>
          </cell>
          <cell r="B15" t="str">
            <v>売掛金他</v>
          </cell>
        </row>
        <row r="16">
          <cell r="A16">
            <v>1053</v>
          </cell>
          <cell r="B16" t="str">
            <v>売掛金非連子</v>
          </cell>
        </row>
        <row r="17">
          <cell r="A17">
            <v>1060</v>
          </cell>
          <cell r="B17" t="str">
            <v>有価証券</v>
          </cell>
        </row>
        <row r="18">
          <cell r="A18">
            <v>1061</v>
          </cell>
          <cell r="B18" t="str">
            <v>有価証券（除く現金同等物）</v>
          </cell>
        </row>
        <row r="19">
          <cell r="A19">
            <v>1080</v>
          </cell>
          <cell r="B19" t="str">
            <v>製品・商品</v>
          </cell>
        </row>
        <row r="20">
          <cell r="A20">
            <v>1090</v>
          </cell>
          <cell r="B20" t="str">
            <v>半製品・仕掛品</v>
          </cell>
        </row>
        <row r="21">
          <cell r="A21">
            <v>1100</v>
          </cell>
          <cell r="B21" t="str">
            <v>原材料</v>
          </cell>
        </row>
        <row r="22">
          <cell r="A22">
            <v>1110</v>
          </cell>
          <cell r="B22" t="str">
            <v>貯蔵品</v>
          </cell>
        </row>
        <row r="23">
          <cell r="A23">
            <v>1115</v>
          </cell>
          <cell r="B23" t="str">
            <v>未着品</v>
          </cell>
        </row>
        <row r="24">
          <cell r="A24">
            <v>1120</v>
          </cell>
          <cell r="B24" t="str">
            <v>前渡金</v>
          </cell>
        </row>
        <row r="25">
          <cell r="A25">
            <v>1121</v>
          </cell>
          <cell r="B25" t="str">
            <v>前渡金連子</v>
          </cell>
        </row>
        <row r="26">
          <cell r="A26">
            <v>1122</v>
          </cell>
          <cell r="B26" t="str">
            <v>前渡金他</v>
          </cell>
        </row>
        <row r="27">
          <cell r="A27">
            <v>1123</v>
          </cell>
          <cell r="B27" t="str">
            <v>前渡金非連子</v>
          </cell>
        </row>
        <row r="28">
          <cell r="A28">
            <v>1130</v>
          </cell>
          <cell r="B28" t="str">
            <v>前払費用</v>
          </cell>
        </row>
        <row r="29">
          <cell r="A29">
            <v>1131</v>
          </cell>
          <cell r="B29" t="str">
            <v>前払費用連子</v>
          </cell>
        </row>
        <row r="30">
          <cell r="A30">
            <v>1132</v>
          </cell>
          <cell r="B30" t="str">
            <v>前払費用他</v>
          </cell>
        </row>
        <row r="31">
          <cell r="A31">
            <v>1133</v>
          </cell>
          <cell r="B31" t="str">
            <v>前払費用非連子</v>
          </cell>
        </row>
        <row r="32">
          <cell r="A32">
            <v>1140</v>
          </cell>
          <cell r="B32" t="str">
            <v>未収入金</v>
          </cell>
        </row>
        <row r="33">
          <cell r="A33">
            <v>1141</v>
          </cell>
          <cell r="B33" t="str">
            <v>未収入金連子</v>
          </cell>
        </row>
        <row r="34">
          <cell r="A34">
            <v>1142</v>
          </cell>
          <cell r="B34" t="str">
            <v>未収入金他</v>
          </cell>
        </row>
        <row r="35">
          <cell r="A35">
            <v>1143</v>
          </cell>
          <cell r="B35" t="str">
            <v>未収入金非連子</v>
          </cell>
        </row>
        <row r="36">
          <cell r="A36">
            <v>1150</v>
          </cell>
          <cell r="B36" t="str">
            <v>未収消費税</v>
          </cell>
        </row>
        <row r="37">
          <cell r="A37">
            <v>1160</v>
          </cell>
          <cell r="B37" t="str">
            <v>未収収益</v>
          </cell>
        </row>
        <row r="38">
          <cell r="A38">
            <v>1161</v>
          </cell>
          <cell r="B38" t="str">
            <v>未収収益連子</v>
          </cell>
        </row>
        <row r="39">
          <cell r="A39">
            <v>1162</v>
          </cell>
          <cell r="B39" t="str">
            <v>未収収益他</v>
          </cell>
        </row>
        <row r="40">
          <cell r="A40">
            <v>1163</v>
          </cell>
          <cell r="B40" t="str">
            <v>未収収益非連子</v>
          </cell>
        </row>
        <row r="41">
          <cell r="A41">
            <v>1170</v>
          </cell>
          <cell r="B41" t="str">
            <v>短期貸付金</v>
          </cell>
        </row>
        <row r="42">
          <cell r="A42">
            <v>1171</v>
          </cell>
          <cell r="B42" t="str">
            <v>短期貸付金連子</v>
          </cell>
        </row>
        <row r="43">
          <cell r="A43">
            <v>1172</v>
          </cell>
          <cell r="B43" t="str">
            <v>短期貸付金他</v>
          </cell>
        </row>
        <row r="44">
          <cell r="A44">
            <v>1173</v>
          </cell>
          <cell r="B44" t="str">
            <v>短期貸付金非連子</v>
          </cell>
        </row>
        <row r="45">
          <cell r="A45">
            <v>1180</v>
          </cell>
          <cell r="B45" t="str">
            <v>一年以内返済長期貸付金</v>
          </cell>
        </row>
        <row r="46">
          <cell r="A46">
            <v>1181</v>
          </cell>
          <cell r="B46" t="str">
            <v>一年以内返済長期貸付金連子</v>
          </cell>
        </row>
        <row r="47">
          <cell r="A47">
            <v>1182</v>
          </cell>
          <cell r="B47" t="str">
            <v>一年以内返済長期貸付金他</v>
          </cell>
        </row>
        <row r="48">
          <cell r="A48">
            <v>1183</v>
          </cell>
          <cell r="B48" t="str">
            <v>一年以内返済長期貸付金</v>
          </cell>
        </row>
        <row r="49">
          <cell r="A49">
            <v>1190</v>
          </cell>
          <cell r="B49" t="str">
            <v>積立金</v>
          </cell>
        </row>
        <row r="50">
          <cell r="A50">
            <v>1200</v>
          </cell>
          <cell r="B50" t="str">
            <v>立替金</v>
          </cell>
        </row>
        <row r="51">
          <cell r="A51">
            <v>1201</v>
          </cell>
          <cell r="B51" t="str">
            <v>立替金連子</v>
          </cell>
        </row>
        <row r="52">
          <cell r="A52">
            <v>1202</v>
          </cell>
          <cell r="B52" t="str">
            <v>立替金他</v>
          </cell>
        </row>
        <row r="53">
          <cell r="A53">
            <v>1203</v>
          </cell>
          <cell r="B53" t="str">
            <v>立替金非連子</v>
          </cell>
        </row>
        <row r="54">
          <cell r="A54">
            <v>1210</v>
          </cell>
          <cell r="B54" t="str">
            <v>仮払金</v>
          </cell>
        </row>
        <row r="55">
          <cell r="A55">
            <v>1220</v>
          </cell>
          <cell r="B55" t="str">
            <v>繰延税金資産</v>
          </cell>
        </row>
        <row r="56">
          <cell r="A56">
            <v>1230</v>
          </cell>
          <cell r="B56" t="str">
            <v>その他流動資産</v>
          </cell>
        </row>
        <row r="57">
          <cell r="A57">
            <v>1231</v>
          </cell>
          <cell r="B57" t="str">
            <v>その他流動資産連子</v>
          </cell>
        </row>
        <row r="58">
          <cell r="A58">
            <v>1232</v>
          </cell>
          <cell r="B58" t="str">
            <v>その他流動資産他</v>
          </cell>
        </row>
        <row r="59">
          <cell r="A59">
            <v>1233</v>
          </cell>
          <cell r="B59" t="str">
            <v>その他流動資産非連子</v>
          </cell>
        </row>
        <row r="60">
          <cell r="A60">
            <v>1240</v>
          </cell>
          <cell r="B60" t="str">
            <v>貸倒引当金</v>
          </cell>
        </row>
        <row r="61">
          <cell r="A61">
            <v>1241</v>
          </cell>
          <cell r="B61" t="str">
            <v>貸倒引当金連子</v>
          </cell>
        </row>
        <row r="62">
          <cell r="A62">
            <v>1242</v>
          </cell>
          <cell r="B62" t="str">
            <v>貸倒引当金他</v>
          </cell>
        </row>
        <row r="63">
          <cell r="A63">
            <v>1243</v>
          </cell>
          <cell r="B63" t="str">
            <v>貸倒引当金非連子</v>
          </cell>
        </row>
        <row r="64">
          <cell r="A64">
            <v>1250</v>
          </cell>
          <cell r="B64" t="str">
            <v>端数調整勘定</v>
          </cell>
        </row>
        <row r="65">
          <cell r="A65">
            <v>1260</v>
          </cell>
          <cell r="B65" t="str">
            <v>修正仕訳振替勘定</v>
          </cell>
        </row>
        <row r="66">
          <cell r="A66">
            <v>1270</v>
          </cell>
          <cell r="B66" t="str">
            <v>不突合調整勘定借方</v>
          </cell>
        </row>
        <row r="67">
          <cell r="A67">
            <v>1280</v>
          </cell>
          <cell r="B67" t="str">
            <v>自己株式</v>
          </cell>
        </row>
        <row r="68">
          <cell r="A68">
            <v>1990</v>
          </cell>
          <cell r="B68" t="str">
            <v>（流動資産合計）</v>
          </cell>
        </row>
        <row r="69">
          <cell r="A69">
            <v>2000</v>
          </cell>
          <cell r="B69" t="str">
            <v>建物取得価額</v>
          </cell>
        </row>
        <row r="70">
          <cell r="A70">
            <v>2010</v>
          </cell>
          <cell r="B70" t="str">
            <v>建物減価償却累計額</v>
          </cell>
        </row>
        <row r="71">
          <cell r="A71">
            <v>2020</v>
          </cell>
          <cell r="B71" t="str">
            <v>建物簿価</v>
          </cell>
        </row>
        <row r="72">
          <cell r="A72">
            <v>2030</v>
          </cell>
          <cell r="B72" t="str">
            <v>構築物取得価額</v>
          </cell>
        </row>
        <row r="73">
          <cell r="A73">
            <v>2040</v>
          </cell>
          <cell r="B73" t="str">
            <v>構築物減価償却累計額</v>
          </cell>
        </row>
        <row r="74">
          <cell r="A74">
            <v>2050</v>
          </cell>
          <cell r="B74" t="str">
            <v>構築物簿価</v>
          </cell>
        </row>
        <row r="75">
          <cell r="A75">
            <v>2060</v>
          </cell>
          <cell r="B75" t="str">
            <v>機械装置取得価額</v>
          </cell>
        </row>
        <row r="76">
          <cell r="A76">
            <v>2070</v>
          </cell>
          <cell r="B76" t="str">
            <v>機械装置減価償却累計額</v>
          </cell>
        </row>
        <row r="77">
          <cell r="A77">
            <v>2080</v>
          </cell>
          <cell r="B77" t="str">
            <v>機械装置簿価</v>
          </cell>
        </row>
        <row r="78">
          <cell r="A78">
            <v>2090</v>
          </cell>
          <cell r="B78" t="str">
            <v>車両運搬具取得価額</v>
          </cell>
        </row>
        <row r="79">
          <cell r="A79">
            <v>2100</v>
          </cell>
          <cell r="B79" t="str">
            <v>車両運搬具減価償却累計額</v>
          </cell>
        </row>
        <row r="80">
          <cell r="A80">
            <v>2110</v>
          </cell>
          <cell r="B80" t="str">
            <v>車両運搬具簿価</v>
          </cell>
        </row>
        <row r="81">
          <cell r="A81">
            <v>2120</v>
          </cell>
          <cell r="B81" t="str">
            <v>工具器具備品取得価額</v>
          </cell>
        </row>
        <row r="82">
          <cell r="A82">
            <v>2130</v>
          </cell>
          <cell r="B82" t="str">
            <v>工具器具備品減価償却累計額</v>
          </cell>
        </row>
        <row r="83">
          <cell r="A83">
            <v>2140</v>
          </cell>
          <cell r="B83" t="str">
            <v>工具器具備品簿価</v>
          </cell>
        </row>
        <row r="84">
          <cell r="A84">
            <v>2150</v>
          </cell>
          <cell r="B84" t="str">
            <v>土地</v>
          </cell>
        </row>
        <row r="85">
          <cell r="A85">
            <v>2160</v>
          </cell>
          <cell r="B85" t="str">
            <v>建設仮勘定</v>
          </cell>
        </row>
        <row r="86">
          <cell r="A86">
            <v>2190</v>
          </cell>
          <cell r="B86" t="str">
            <v>（有形固定資産合計)</v>
          </cell>
        </row>
        <row r="87">
          <cell r="A87">
            <v>2200</v>
          </cell>
          <cell r="B87" t="str">
            <v>特許権</v>
          </cell>
        </row>
        <row r="88">
          <cell r="A88">
            <v>2210</v>
          </cell>
          <cell r="B88" t="str">
            <v>借地権</v>
          </cell>
        </row>
        <row r="89">
          <cell r="A89">
            <v>2220</v>
          </cell>
          <cell r="B89" t="str">
            <v>諸施設利用権</v>
          </cell>
        </row>
        <row r="90">
          <cell r="A90">
            <v>2225</v>
          </cell>
          <cell r="B90" t="str">
            <v>ソフトウェア</v>
          </cell>
        </row>
        <row r="91">
          <cell r="A91">
            <v>2230</v>
          </cell>
          <cell r="B91" t="str">
            <v>その他無形固定資産</v>
          </cell>
        </row>
        <row r="92">
          <cell r="A92">
            <v>2290</v>
          </cell>
          <cell r="B92" t="str">
            <v>(無形固定資産)</v>
          </cell>
        </row>
        <row r="93">
          <cell r="A93">
            <v>2300</v>
          </cell>
          <cell r="B93" t="str">
            <v>投資有価証券</v>
          </cell>
        </row>
        <row r="94">
          <cell r="A94">
            <v>2310</v>
          </cell>
          <cell r="B94" t="str">
            <v>関係会社株式</v>
          </cell>
        </row>
        <row r="95">
          <cell r="A95">
            <v>2311</v>
          </cell>
          <cell r="B95" t="str">
            <v>関係会社株式連子</v>
          </cell>
        </row>
        <row r="96">
          <cell r="A96">
            <v>2312</v>
          </cell>
          <cell r="B96" t="str">
            <v>関係会社株式他</v>
          </cell>
        </row>
        <row r="97">
          <cell r="A97">
            <v>2313</v>
          </cell>
          <cell r="B97" t="str">
            <v>関係会社株式非連子</v>
          </cell>
        </row>
        <row r="98">
          <cell r="A98">
            <v>2320</v>
          </cell>
          <cell r="B98" t="str">
            <v>出資金</v>
          </cell>
        </row>
        <row r="99">
          <cell r="A99">
            <v>2321</v>
          </cell>
          <cell r="B99" t="str">
            <v>出資金連子</v>
          </cell>
        </row>
        <row r="100">
          <cell r="A100">
            <v>2322</v>
          </cell>
          <cell r="B100" t="str">
            <v>出資金他</v>
          </cell>
        </row>
        <row r="101">
          <cell r="A101">
            <v>2323</v>
          </cell>
          <cell r="B101" t="str">
            <v>出資金非連子</v>
          </cell>
        </row>
        <row r="102">
          <cell r="A102">
            <v>2330</v>
          </cell>
          <cell r="B102" t="str">
            <v>長期貸付金</v>
          </cell>
        </row>
        <row r="103">
          <cell r="A103">
            <v>2331</v>
          </cell>
          <cell r="B103" t="str">
            <v>長期貸付金連子</v>
          </cell>
        </row>
        <row r="104">
          <cell r="A104">
            <v>2332</v>
          </cell>
          <cell r="B104" t="str">
            <v>長期貸付金他</v>
          </cell>
        </row>
        <row r="105">
          <cell r="A105">
            <v>2333</v>
          </cell>
          <cell r="B105" t="str">
            <v>長期貸付金非連子</v>
          </cell>
        </row>
        <row r="106">
          <cell r="A106">
            <v>2340</v>
          </cell>
          <cell r="B106" t="str">
            <v>長期前払費用</v>
          </cell>
        </row>
        <row r="107">
          <cell r="A107">
            <v>2341</v>
          </cell>
          <cell r="B107" t="str">
            <v>長期前払費用連子</v>
          </cell>
        </row>
        <row r="108">
          <cell r="A108">
            <v>2342</v>
          </cell>
          <cell r="B108" t="str">
            <v>長期前払費用他</v>
          </cell>
        </row>
        <row r="109">
          <cell r="A109">
            <v>2343</v>
          </cell>
          <cell r="B109" t="str">
            <v>長期前払費用非連子</v>
          </cell>
        </row>
        <row r="110">
          <cell r="A110">
            <v>2350</v>
          </cell>
          <cell r="B110" t="str">
            <v>敷金保証金</v>
          </cell>
        </row>
        <row r="111">
          <cell r="A111">
            <v>2360</v>
          </cell>
          <cell r="B111" t="str">
            <v>保険積立金</v>
          </cell>
        </row>
        <row r="112">
          <cell r="A112">
            <v>2370</v>
          </cell>
          <cell r="B112" t="str">
            <v>長期定期預金</v>
          </cell>
        </row>
        <row r="113">
          <cell r="A113">
            <v>2390</v>
          </cell>
          <cell r="B113" t="str">
            <v>ゴルフ会員権</v>
          </cell>
        </row>
        <row r="114">
          <cell r="A114">
            <v>2400</v>
          </cell>
          <cell r="B114" t="str">
            <v>投資不動産</v>
          </cell>
        </row>
        <row r="115">
          <cell r="A115">
            <v>2410</v>
          </cell>
          <cell r="B115" t="str">
            <v>その他の投資</v>
          </cell>
        </row>
        <row r="116">
          <cell r="A116">
            <v>2415</v>
          </cell>
          <cell r="B116" t="str">
            <v>長期繰延税金資産</v>
          </cell>
        </row>
        <row r="117">
          <cell r="A117">
            <v>2420</v>
          </cell>
          <cell r="B117" t="str">
            <v>長期貸倒引当金</v>
          </cell>
        </row>
        <row r="118">
          <cell r="A118">
            <v>2421</v>
          </cell>
          <cell r="B118" t="str">
            <v>長期貸倒引当金連子</v>
          </cell>
        </row>
        <row r="119">
          <cell r="A119">
            <v>2422</v>
          </cell>
          <cell r="B119" t="str">
            <v>長期貸倒引当金他</v>
          </cell>
        </row>
        <row r="120">
          <cell r="A120">
            <v>2423</v>
          </cell>
          <cell r="B120" t="str">
            <v>長期貸倒引当金非連子</v>
          </cell>
        </row>
        <row r="121">
          <cell r="A121">
            <v>2490</v>
          </cell>
          <cell r="B121" t="str">
            <v>（投資その他の資産合計)</v>
          </cell>
        </row>
        <row r="122">
          <cell r="A122">
            <v>2499</v>
          </cell>
          <cell r="B122" t="str">
            <v>（固定資産合計）</v>
          </cell>
        </row>
        <row r="123">
          <cell r="A123">
            <v>2500</v>
          </cell>
          <cell r="B123" t="str">
            <v>新株発行費</v>
          </cell>
        </row>
        <row r="124">
          <cell r="A124">
            <v>2510</v>
          </cell>
          <cell r="B124" t="str">
            <v>社債発行費</v>
          </cell>
        </row>
        <row r="125">
          <cell r="A125">
            <v>2520</v>
          </cell>
          <cell r="B125" t="str">
            <v>社債発行差金</v>
          </cell>
        </row>
        <row r="126">
          <cell r="A126">
            <v>2530</v>
          </cell>
          <cell r="B126" t="str">
            <v>試験研究費</v>
          </cell>
        </row>
        <row r="127">
          <cell r="A127">
            <v>2540</v>
          </cell>
          <cell r="B127" t="str">
            <v>その他繰延資産</v>
          </cell>
        </row>
        <row r="128">
          <cell r="A128">
            <v>2590</v>
          </cell>
          <cell r="B128" t="str">
            <v>（繰延資産合計）</v>
          </cell>
        </row>
        <row r="129">
          <cell r="A129">
            <v>2900</v>
          </cell>
          <cell r="B129" t="str">
            <v>連結調整勘定</v>
          </cell>
        </row>
        <row r="130">
          <cell r="A130">
            <v>2910</v>
          </cell>
          <cell r="B130" t="str">
            <v>為替換算調整勘定</v>
          </cell>
        </row>
        <row r="131">
          <cell r="A131">
            <v>2990</v>
          </cell>
          <cell r="B131" t="str">
            <v>(資産合計）</v>
          </cell>
        </row>
        <row r="132">
          <cell r="A132">
            <v>3000</v>
          </cell>
          <cell r="B132" t="str">
            <v>支払手形</v>
          </cell>
        </row>
        <row r="133">
          <cell r="A133">
            <v>3001</v>
          </cell>
          <cell r="B133" t="str">
            <v>支払手形連子</v>
          </cell>
        </row>
        <row r="134">
          <cell r="A134">
            <v>3002</v>
          </cell>
          <cell r="B134" t="str">
            <v>支払手形他</v>
          </cell>
        </row>
        <row r="135">
          <cell r="A135">
            <v>3003</v>
          </cell>
          <cell r="B135" t="str">
            <v>支払手形非連子</v>
          </cell>
        </row>
        <row r="136">
          <cell r="A136">
            <v>3010</v>
          </cell>
          <cell r="B136" t="str">
            <v>買掛金</v>
          </cell>
        </row>
        <row r="137">
          <cell r="A137">
            <v>3011</v>
          </cell>
          <cell r="B137" t="str">
            <v>買掛金連子</v>
          </cell>
        </row>
        <row r="138">
          <cell r="A138">
            <v>3012</v>
          </cell>
          <cell r="B138" t="str">
            <v>買掛金他</v>
          </cell>
        </row>
        <row r="139">
          <cell r="A139">
            <v>3013</v>
          </cell>
          <cell r="B139" t="str">
            <v>買掛金非連子</v>
          </cell>
        </row>
        <row r="140">
          <cell r="A140">
            <v>3020</v>
          </cell>
          <cell r="B140" t="str">
            <v>短期借入金</v>
          </cell>
        </row>
        <row r="141">
          <cell r="A141">
            <v>3021</v>
          </cell>
          <cell r="B141" t="str">
            <v>短期借入金連子</v>
          </cell>
        </row>
        <row r="142">
          <cell r="A142">
            <v>3022</v>
          </cell>
          <cell r="B142" t="str">
            <v>短期借入金他</v>
          </cell>
        </row>
        <row r="143">
          <cell r="A143">
            <v>3023</v>
          </cell>
          <cell r="B143" t="str">
            <v>短期借入金非連子</v>
          </cell>
        </row>
        <row r="144">
          <cell r="A144">
            <v>3030</v>
          </cell>
          <cell r="B144" t="str">
            <v>１年以内返済長期借入金</v>
          </cell>
        </row>
        <row r="145">
          <cell r="A145">
            <v>3031</v>
          </cell>
          <cell r="B145" t="str">
            <v>１年以内返済長期借入金連子</v>
          </cell>
        </row>
        <row r="146">
          <cell r="A146">
            <v>3032</v>
          </cell>
          <cell r="B146" t="str">
            <v>１年以内返済長期借入金他</v>
          </cell>
        </row>
        <row r="147">
          <cell r="A147">
            <v>3033</v>
          </cell>
          <cell r="B147" t="str">
            <v>１年以内返済長期借入金非連子</v>
          </cell>
        </row>
        <row r="148">
          <cell r="A148">
            <v>3040</v>
          </cell>
          <cell r="B148" t="str">
            <v>１年以内償還社債</v>
          </cell>
        </row>
        <row r="149">
          <cell r="A149">
            <v>3050</v>
          </cell>
          <cell r="B149" t="str">
            <v>１年以内償還予定転換社債</v>
          </cell>
        </row>
        <row r="150">
          <cell r="A150">
            <v>3060</v>
          </cell>
          <cell r="B150" t="str">
            <v>設備支払手形</v>
          </cell>
        </row>
        <row r="151">
          <cell r="A151">
            <v>3061</v>
          </cell>
          <cell r="B151" t="str">
            <v>設備支払手形連子</v>
          </cell>
        </row>
        <row r="152">
          <cell r="A152">
            <v>3062</v>
          </cell>
          <cell r="B152" t="str">
            <v>設備支払手形他</v>
          </cell>
        </row>
        <row r="153">
          <cell r="A153">
            <v>3063</v>
          </cell>
          <cell r="B153" t="str">
            <v>設備支払手形非連子</v>
          </cell>
        </row>
        <row r="154">
          <cell r="A154">
            <v>3070</v>
          </cell>
          <cell r="B154" t="str">
            <v>未払金</v>
          </cell>
        </row>
        <row r="155">
          <cell r="A155">
            <v>3071</v>
          </cell>
          <cell r="B155" t="str">
            <v>未払金連子</v>
          </cell>
        </row>
        <row r="156">
          <cell r="A156">
            <v>3072</v>
          </cell>
          <cell r="B156" t="str">
            <v>未払金他</v>
          </cell>
        </row>
        <row r="157">
          <cell r="A157">
            <v>3073</v>
          </cell>
          <cell r="B157" t="str">
            <v>未払金非連子</v>
          </cell>
        </row>
        <row r="158">
          <cell r="A158">
            <v>3080</v>
          </cell>
          <cell r="B158" t="str">
            <v>未払配当金</v>
          </cell>
        </row>
        <row r="159">
          <cell r="A159">
            <v>3090</v>
          </cell>
          <cell r="B159" t="str">
            <v>１年以内長期設備未払金</v>
          </cell>
        </row>
        <row r="160">
          <cell r="A160">
            <v>3091</v>
          </cell>
          <cell r="B160" t="str">
            <v>１年以内長期設備未払金連子</v>
          </cell>
        </row>
        <row r="161">
          <cell r="A161">
            <v>3092</v>
          </cell>
          <cell r="B161" t="str">
            <v>１年以内長期設備未払金他</v>
          </cell>
        </row>
        <row r="162">
          <cell r="A162">
            <v>3093</v>
          </cell>
          <cell r="B162" t="str">
            <v>１年以内長期設備未払金非連子</v>
          </cell>
        </row>
        <row r="163">
          <cell r="A163">
            <v>3100</v>
          </cell>
          <cell r="B163" t="str">
            <v>未払費用</v>
          </cell>
        </row>
        <row r="164">
          <cell r="A164">
            <v>3101</v>
          </cell>
          <cell r="B164" t="str">
            <v>未払費用連子</v>
          </cell>
        </row>
        <row r="165">
          <cell r="A165">
            <v>3102</v>
          </cell>
          <cell r="B165" t="str">
            <v>未払費用他</v>
          </cell>
        </row>
        <row r="166">
          <cell r="A166">
            <v>3103</v>
          </cell>
          <cell r="B166" t="str">
            <v>未払費用非連子</v>
          </cell>
        </row>
        <row r="167">
          <cell r="A167">
            <v>3110</v>
          </cell>
          <cell r="B167" t="str">
            <v>前受金</v>
          </cell>
        </row>
        <row r="168">
          <cell r="A168">
            <v>3111</v>
          </cell>
          <cell r="B168" t="str">
            <v>前受金連子</v>
          </cell>
        </row>
        <row r="169">
          <cell r="A169">
            <v>3112</v>
          </cell>
          <cell r="B169" t="str">
            <v>前受金他</v>
          </cell>
        </row>
        <row r="170">
          <cell r="A170">
            <v>3113</v>
          </cell>
          <cell r="B170" t="str">
            <v>前受金非連子</v>
          </cell>
        </row>
        <row r="171">
          <cell r="A171">
            <v>3120</v>
          </cell>
          <cell r="B171" t="str">
            <v>前受収益</v>
          </cell>
        </row>
        <row r="172">
          <cell r="A172">
            <v>3121</v>
          </cell>
          <cell r="B172" t="str">
            <v>前受収益連子</v>
          </cell>
        </row>
        <row r="173">
          <cell r="A173">
            <v>3122</v>
          </cell>
          <cell r="B173" t="str">
            <v>前受収益他</v>
          </cell>
        </row>
        <row r="174">
          <cell r="A174">
            <v>3123</v>
          </cell>
          <cell r="B174" t="str">
            <v>前受収益非連子</v>
          </cell>
        </row>
        <row r="175">
          <cell r="A175">
            <v>3130</v>
          </cell>
          <cell r="B175" t="str">
            <v>預り金</v>
          </cell>
        </row>
        <row r="176">
          <cell r="A176">
            <v>3140</v>
          </cell>
          <cell r="B176" t="str">
            <v>従業員預り金</v>
          </cell>
        </row>
        <row r="177">
          <cell r="A177">
            <v>3150</v>
          </cell>
          <cell r="B177" t="str">
            <v>仮受金</v>
          </cell>
        </row>
        <row r="178">
          <cell r="A178">
            <v>3170</v>
          </cell>
          <cell r="B178" t="str">
            <v>未払消費税</v>
          </cell>
        </row>
        <row r="179">
          <cell r="A179">
            <v>3180</v>
          </cell>
          <cell r="B179" t="str">
            <v>未払事業税等</v>
          </cell>
        </row>
        <row r="180">
          <cell r="A180">
            <v>3190</v>
          </cell>
          <cell r="B180" t="str">
            <v>未払法人税等</v>
          </cell>
        </row>
        <row r="181">
          <cell r="A181">
            <v>3200</v>
          </cell>
          <cell r="B181" t="str">
            <v>新株引受権</v>
          </cell>
        </row>
        <row r="182">
          <cell r="A182">
            <v>3210</v>
          </cell>
          <cell r="B182" t="str">
            <v>繰延税金負債</v>
          </cell>
        </row>
        <row r="183">
          <cell r="A183">
            <v>3220</v>
          </cell>
          <cell r="B183" t="str">
            <v>その他流動負債</v>
          </cell>
        </row>
        <row r="184">
          <cell r="A184">
            <v>3221</v>
          </cell>
          <cell r="B184" t="str">
            <v>その他流動負債連子</v>
          </cell>
        </row>
        <row r="185">
          <cell r="A185">
            <v>3222</v>
          </cell>
          <cell r="B185" t="str">
            <v>その他流動負債他</v>
          </cell>
        </row>
        <row r="186">
          <cell r="A186">
            <v>3223</v>
          </cell>
          <cell r="B186" t="str">
            <v>その他流動負債非連子</v>
          </cell>
        </row>
        <row r="187">
          <cell r="A187">
            <v>3230</v>
          </cell>
          <cell r="B187" t="str">
            <v>不突合調整勘定貸方</v>
          </cell>
        </row>
        <row r="188">
          <cell r="A188">
            <v>3990</v>
          </cell>
          <cell r="B188" t="str">
            <v>（流動負債合計）</v>
          </cell>
        </row>
        <row r="189">
          <cell r="A189">
            <v>4000</v>
          </cell>
          <cell r="B189" t="str">
            <v>長期借入金</v>
          </cell>
        </row>
        <row r="190">
          <cell r="A190">
            <v>4001</v>
          </cell>
          <cell r="B190" t="str">
            <v>長期借入金連子</v>
          </cell>
        </row>
        <row r="191">
          <cell r="A191">
            <v>4002</v>
          </cell>
          <cell r="B191" t="str">
            <v>長期借入金他</v>
          </cell>
        </row>
        <row r="192">
          <cell r="A192">
            <v>4003</v>
          </cell>
          <cell r="B192" t="str">
            <v>長期借入金非連子</v>
          </cell>
        </row>
        <row r="193">
          <cell r="A193">
            <v>4010</v>
          </cell>
          <cell r="B193" t="str">
            <v>社債</v>
          </cell>
        </row>
        <row r="194">
          <cell r="A194">
            <v>4020</v>
          </cell>
          <cell r="B194" t="str">
            <v>長期設備未払金</v>
          </cell>
        </row>
        <row r="195">
          <cell r="A195">
            <v>4021</v>
          </cell>
          <cell r="B195" t="str">
            <v>長期設備未払金連子</v>
          </cell>
        </row>
        <row r="196">
          <cell r="A196">
            <v>4022</v>
          </cell>
          <cell r="B196" t="str">
            <v>長期設備未払金他</v>
          </cell>
        </row>
        <row r="197">
          <cell r="A197">
            <v>4023</v>
          </cell>
          <cell r="B197" t="str">
            <v>長期設備未払金非連子</v>
          </cell>
        </row>
        <row r="198">
          <cell r="A198">
            <v>4030</v>
          </cell>
          <cell r="B198" t="str">
            <v>退職給与引当金</v>
          </cell>
        </row>
        <row r="199">
          <cell r="A199">
            <v>4040</v>
          </cell>
          <cell r="B199" t="str">
            <v>預り保証金</v>
          </cell>
        </row>
        <row r="200">
          <cell r="A200">
            <v>4050</v>
          </cell>
          <cell r="B200" t="str">
            <v>長期前受収益</v>
          </cell>
        </row>
        <row r="201">
          <cell r="A201">
            <v>4055</v>
          </cell>
          <cell r="B201" t="str">
            <v>長期繰延税金負債</v>
          </cell>
        </row>
        <row r="202">
          <cell r="A202">
            <v>4060</v>
          </cell>
          <cell r="B202" t="str">
            <v>その他固定負債</v>
          </cell>
        </row>
        <row r="203">
          <cell r="A203">
            <v>4061</v>
          </cell>
          <cell r="B203" t="str">
            <v>その他固定負債連子</v>
          </cell>
        </row>
        <row r="204">
          <cell r="A204">
            <v>4062</v>
          </cell>
          <cell r="B204" t="str">
            <v>その他固定負債他</v>
          </cell>
        </row>
        <row r="205">
          <cell r="A205">
            <v>4063</v>
          </cell>
          <cell r="B205" t="str">
            <v>その他固定負債非連子</v>
          </cell>
        </row>
        <row r="206">
          <cell r="A206">
            <v>4090</v>
          </cell>
          <cell r="B206" t="str">
            <v>（固定負債合計）</v>
          </cell>
        </row>
        <row r="207">
          <cell r="A207">
            <v>4900</v>
          </cell>
          <cell r="B207" t="str">
            <v>少数株主持分</v>
          </cell>
        </row>
        <row r="208">
          <cell r="A208">
            <v>4990</v>
          </cell>
          <cell r="B208" t="str">
            <v>（負債合計）</v>
          </cell>
        </row>
        <row r="209">
          <cell r="A209">
            <v>5000</v>
          </cell>
          <cell r="B209" t="str">
            <v>資本金</v>
          </cell>
        </row>
        <row r="210">
          <cell r="A210">
            <v>5010</v>
          </cell>
          <cell r="B210" t="str">
            <v>新株式払込金</v>
          </cell>
        </row>
        <row r="211">
          <cell r="A211">
            <v>5020</v>
          </cell>
          <cell r="B211" t="str">
            <v>資本準備金</v>
          </cell>
        </row>
        <row r="212">
          <cell r="A212">
            <v>5030</v>
          </cell>
          <cell r="B212" t="str">
            <v>利益準備金</v>
          </cell>
        </row>
        <row r="213">
          <cell r="A213">
            <v>5040</v>
          </cell>
          <cell r="B213" t="str">
            <v>その他剰余金</v>
          </cell>
        </row>
        <row r="214">
          <cell r="A214">
            <v>5090</v>
          </cell>
          <cell r="B214" t="str">
            <v>（資本合計）</v>
          </cell>
        </row>
        <row r="215">
          <cell r="A215">
            <v>5990</v>
          </cell>
          <cell r="B215" t="str">
            <v>（負債・資本合計）</v>
          </cell>
        </row>
        <row r="216">
          <cell r="A216">
            <v>6000</v>
          </cell>
          <cell r="B216" t="str">
            <v>売上高</v>
          </cell>
        </row>
        <row r="217">
          <cell r="A217">
            <v>6001</v>
          </cell>
          <cell r="B217" t="str">
            <v>製品期首棚卸高</v>
          </cell>
        </row>
        <row r="218">
          <cell r="A218">
            <v>6002</v>
          </cell>
          <cell r="B218" t="str">
            <v>当期製品製造原価</v>
          </cell>
        </row>
        <row r="219">
          <cell r="A219">
            <v>6003</v>
          </cell>
          <cell r="B219" t="str">
            <v>当期製品仕入高</v>
          </cell>
        </row>
        <row r="220">
          <cell r="A220">
            <v>6004</v>
          </cell>
          <cell r="B220" t="str">
            <v>製品期末棚卸高</v>
          </cell>
        </row>
        <row r="221">
          <cell r="A221">
            <v>6005</v>
          </cell>
          <cell r="B221" t="str">
            <v>原材料低価評価損</v>
          </cell>
        </row>
        <row r="222">
          <cell r="A222">
            <v>6010</v>
          </cell>
          <cell r="B222" t="str">
            <v>売上原価</v>
          </cell>
        </row>
        <row r="223">
          <cell r="A223">
            <v>6015</v>
          </cell>
          <cell r="B223" t="str">
            <v>不突合調整勘定ｐｌ</v>
          </cell>
        </row>
        <row r="224">
          <cell r="A224">
            <v>6020</v>
          </cell>
          <cell r="B224" t="str">
            <v>（売上総利益）</v>
          </cell>
        </row>
        <row r="225">
          <cell r="A225">
            <v>7000</v>
          </cell>
          <cell r="B225" t="str">
            <v>役員報酬</v>
          </cell>
        </row>
        <row r="226">
          <cell r="A226">
            <v>7001</v>
          </cell>
          <cell r="B226" t="str">
            <v>役員退職慰労引当金繰入額</v>
          </cell>
        </row>
        <row r="227">
          <cell r="A227">
            <v>7010</v>
          </cell>
          <cell r="B227" t="str">
            <v>給料手当</v>
          </cell>
        </row>
        <row r="228">
          <cell r="A228">
            <v>7020</v>
          </cell>
          <cell r="B228" t="str">
            <v>法定福利費</v>
          </cell>
        </row>
        <row r="229">
          <cell r="A229">
            <v>7030</v>
          </cell>
          <cell r="B229" t="str">
            <v>福利厚生費</v>
          </cell>
        </row>
        <row r="230">
          <cell r="A230">
            <v>7040</v>
          </cell>
          <cell r="B230" t="str">
            <v>適格退職年金掛金</v>
          </cell>
        </row>
        <row r="231">
          <cell r="A231">
            <v>7050</v>
          </cell>
          <cell r="B231" t="str">
            <v>退職金</v>
          </cell>
        </row>
        <row r="232">
          <cell r="A232">
            <v>7060</v>
          </cell>
          <cell r="B232" t="str">
            <v>退職給与引当金繰入額</v>
          </cell>
        </row>
        <row r="233">
          <cell r="A233">
            <v>7070</v>
          </cell>
          <cell r="B233" t="str">
            <v>賞与手当</v>
          </cell>
        </row>
        <row r="234">
          <cell r="A234">
            <v>7080</v>
          </cell>
          <cell r="B234" t="str">
            <v>賞与引当金繰入額</v>
          </cell>
        </row>
        <row r="235">
          <cell r="A235">
            <v>7090</v>
          </cell>
          <cell r="B235" t="str">
            <v>販売手数料</v>
          </cell>
        </row>
        <row r="236">
          <cell r="A236">
            <v>7100</v>
          </cell>
          <cell r="B236" t="str">
            <v>荷造包装費</v>
          </cell>
        </row>
        <row r="237">
          <cell r="A237">
            <v>7110</v>
          </cell>
          <cell r="B237" t="str">
            <v>運賃保管料</v>
          </cell>
        </row>
        <row r="238">
          <cell r="A238">
            <v>7120</v>
          </cell>
          <cell r="B238" t="str">
            <v>広告宣伝費</v>
          </cell>
        </row>
        <row r="239">
          <cell r="A239">
            <v>7130</v>
          </cell>
          <cell r="B239" t="str">
            <v>支払手数料</v>
          </cell>
        </row>
        <row r="240">
          <cell r="A240">
            <v>7140</v>
          </cell>
          <cell r="B240" t="str">
            <v>顧問料</v>
          </cell>
        </row>
        <row r="241">
          <cell r="A241">
            <v>7150</v>
          </cell>
          <cell r="B241" t="str">
            <v>貸倒引当金繰入額</v>
          </cell>
        </row>
        <row r="242">
          <cell r="A242">
            <v>7160</v>
          </cell>
          <cell r="B242" t="str">
            <v>債権償却特別勘定繰入額</v>
          </cell>
        </row>
        <row r="243">
          <cell r="A243">
            <v>7170</v>
          </cell>
          <cell r="B243" t="str">
            <v>貸倒損失</v>
          </cell>
        </row>
        <row r="244">
          <cell r="A244">
            <v>7180</v>
          </cell>
          <cell r="B244" t="str">
            <v>交際費</v>
          </cell>
        </row>
        <row r="245">
          <cell r="A245">
            <v>7190</v>
          </cell>
          <cell r="B245" t="str">
            <v>旅費交通費</v>
          </cell>
        </row>
        <row r="246">
          <cell r="A246">
            <v>7200</v>
          </cell>
          <cell r="B246" t="str">
            <v>車両費</v>
          </cell>
        </row>
        <row r="247">
          <cell r="A247">
            <v>7210</v>
          </cell>
          <cell r="B247" t="str">
            <v>通信費</v>
          </cell>
        </row>
        <row r="248">
          <cell r="A248">
            <v>7220</v>
          </cell>
          <cell r="B248" t="str">
            <v>水道光熱費</v>
          </cell>
        </row>
        <row r="249">
          <cell r="A249">
            <v>7230</v>
          </cell>
          <cell r="B249" t="str">
            <v>保守料</v>
          </cell>
        </row>
        <row r="250">
          <cell r="A250">
            <v>7240</v>
          </cell>
          <cell r="B250" t="str">
            <v>保険料</v>
          </cell>
        </row>
        <row r="251">
          <cell r="A251">
            <v>7250</v>
          </cell>
          <cell r="B251" t="str">
            <v>会議費</v>
          </cell>
        </row>
        <row r="252">
          <cell r="A252">
            <v>7260</v>
          </cell>
          <cell r="B252" t="str">
            <v>新聞図書費</v>
          </cell>
        </row>
        <row r="253">
          <cell r="A253">
            <v>7270</v>
          </cell>
          <cell r="B253" t="str">
            <v>教育訓練費</v>
          </cell>
        </row>
        <row r="254">
          <cell r="A254">
            <v>7280</v>
          </cell>
          <cell r="B254" t="str">
            <v>社員募集費</v>
          </cell>
        </row>
        <row r="255">
          <cell r="A255">
            <v>7290</v>
          </cell>
          <cell r="B255" t="str">
            <v>事務用品費</v>
          </cell>
        </row>
        <row r="256">
          <cell r="A256">
            <v>7300</v>
          </cell>
          <cell r="B256" t="str">
            <v>消耗工具器具備品費</v>
          </cell>
        </row>
        <row r="257">
          <cell r="A257">
            <v>7310</v>
          </cell>
          <cell r="B257" t="str">
            <v>製品保証費</v>
          </cell>
        </row>
        <row r="258">
          <cell r="A258">
            <v>7320</v>
          </cell>
          <cell r="B258" t="str">
            <v>寄付金</v>
          </cell>
        </row>
        <row r="259">
          <cell r="A259">
            <v>7330</v>
          </cell>
          <cell r="B259" t="str">
            <v>諸会費</v>
          </cell>
        </row>
        <row r="260">
          <cell r="A260">
            <v>7340</v>
          </cell>
          <cell r="B260" t="str">
            <v>租税公課</v>
          </cell>
        </row>
        <row r="261">
          <cell r="A261">
            <v>7350</v>
          </cell>
          <cell r="B261" t="str">
            <v>事業税</v>
          </cell>
        </row>
        <row r="262">
          <cell r="A262">
            <v>7360</v>
          </cell>
          <cell r="B262" t="str">
            <v>建物減価償却費</v>
          </cell>
        </row>
        <row r="263">
          <cell r="A263">
            <v>7370</v>
          </cell>
          <cell r="B263" t="str">
            <v>構築物減価償却費</v>
          </cell>
        </row>
        <row r="264">
          <cell r="A264">
            <v>7380</v>
          </cell>
          <cell r="B264" t="str">
            <v>機械装置減価償却費</v>
          </cell>
        </row>
        <row r="265">
          <cell r="A265">
            <v>7390</v>
          </cell>
          <cell r="B265" t="str">
            <v>車両運搬具減価償却費</v>
          </cell>
        </row>
        <row r="266">
          <cell r="A266">
            <v>7400</v>
          </cell>
          <cell r="B266" t="str">
            <v>工具器具備品減価償却費</v>
          </cell>
        </row>
        <row r="267">
          <cell r="A267">
            <v>7410</v>
          </cell>
          <cell r="B267" t="str">
            <v>特許権償却費</v>
          </cell>
        </row>
        <row r="268">
          <cell r="A268">
            <v>7420</v>
          </cell>
          <cell r="B268" t="str">
            <v>諸施設利用権償却費</v>
          </cell>
        </row>
        <row r="269">
          <cell r="A269">
            <v>7430</v>
          </cell>
          <cell r="B269" t="str">
            <v>その他無形固定資産償却費</v>
          </cell>
        </row>
        <row r="270">
          <cell r="A270">
            <v>7440</v>
          </cell>
          <cell r="B270" t="str">
            <v>長期前払費用償却費</v>
          </cell>
        </row>
        <row r="271">
          <cell r="A271">
            <v>7450</v>
          </cell>
          <cell r="B271" t="str">
            <v>その他投資償却費</v>
          </cell>
        </row>
        <row r="272">
          <cell r="A272">
            <v>7460</v>
          </cell>
          <cell r="B272" t="str">
            <v>修繕費</v>
          </cell>
        </row>
        <row r="273">
          <cell r="A273">
            <v>7470</v>
          </cell>
          <cell r="B273" t="str">
            <v>賃借料</v>
          </cell>
        </row>
        <row r="274">
          <cell r="A274">
            <v>7480</v>
          </cell>
          <cell r="B274" t="str">
            <v>リース料</v>
          </cell>
        </row>
        <row r="275">
          <cell r="A275">
            <v>7490</v>
          </cell>
          <cell r="B275" t="str">
            <v>輸出入諸掛費</v>
          </cell>
        </row>
        <row r="276">
          <cell r="A276">
            <v>7500</v>
          </cell>
          <cell r="B276" t="str">
            <v>技術指導料</v>
          </cell>
        </row>
        <row r="277">
          <cell r="A277">
            <v>7510</v>
          </cell>
          <cell r="B277" t="str">
            <v>試験研究費</v>
          </cell>
        </row>
        <row r="278">
          <cell r="A278">
            <v>7520</v>
          </cell>
          <cell r="B278" t="str">
            <v>雑費</v>
          </cell>
        </row>
        <row r="279">
          <cell r="A279">
            <v>7890</v>
          </cell>
          <cell r="B279" t="str">
            <v>（販売費及び一般管理費）</v>
          </cell>
        </row>
        <row r="280">
          <cell r="A280">
            <v>7990</v>
          </cell>
          <cell r="B280" t="str">
            <v>（営業利益）</v>
          </cell>
        </row>
        <row r="281">
          <cell r="A281">
            <v>8000</v>
          </cell>
          <cell r="B281" t="str">
            <v>受取利息</v>
          </cell>
        </row>
        <row r="282">
          <cell r="A282">
            <v>8010</v>
          </cell>
          <cell r="B282" t="str">
            <v>有価証券利息</v>
          </cell>
        </row>
        <row r="283">
          <cell r="A283">
            <v>8020</v>
          </cell>
          <cell r="B283" t="str">
            <v>受取配当金</v>
          </cell>
        </row>
        <row r="284">
          <cell r="A284">
            <v>8030</v>
          </cell>
          <cell r="B284" t="str">
            <v>仕入割引</v>
          </cell>
        </row>
        <row r="285">
          <cell r="A285">
            <v>8040</v>
          </cell>
          <cell r="B285" t="str">
            <v>固定資産賃貸収入</v>
          </cell>
        </row>
        <row r="286">
          <cell r="A286">
            <v>8050</v>
          </cell>
          <cell r="B286" t="str">
            <v>受取技術援助料</v>
          </cell>
        </row>
        <row r="287">
          <cell r="A287">
            <v>8060</v>
          </cell>
          <cell r="B287" t="str">
            <v>為替差益</v>
          </cell>
        </row>
        <row r="288">
          <cell r="A288">
            <v>8070</v>
          </cell>
          <cell r="B288" t="str">
            <v>有価証券売却益</v>
          </cell>
        </row>
        <row r="289">
          <cell r="A289">
            <v>8080</v>
          </cell>
          <cell r="B289" t="str">
            <v>雑収入</v>
          </cell>
        </row>
        <row r="290">
          <cell r="A290">
            <v>8090</v>
          </cell>
          <cell r="B290" t="str">
            <v>（営業外収益合計）</v>
          </cell>
        </row>
        <row r="291">
          <cell r="A291">
            <v>8100</v>
          </cell>
          <cell r="B291" t="str">
            <v>支払利息及び割引料</v>
          </cell>
        </row>
        <row r="292">
          <cell r="A292">
            <v>8110</v>
          </cell>
          <cell r="B292" t="str">
            <v>社債利息</v>
          </cell>
        </row>
        <row r="293">
          <cell r="A293">
            <v>8120</v>
          </cell>
          <cell r="B293" t="str">
            <v>売上割引</v>
          </cell>
        </row>
        <row r="294">
          <cell r="A294">
            <v>8130</v>
          </cell>
          <cell r="B294" t="str">
            <v>貸与資産減価償却費</v>
          </cell>
        </row>
        <row r="295">
          <cell r="A295">
            <v>8140</v>
          </cell>
          <cell r="B295" t="str">
            <v>繰延資産償却費</v>
          </cell>
        </row>
        <row r="296">
          <cell r="A296">
            <v>8150</v>
          </cell>
          <cell r="B296" t="str">
            <v>未使用資産減価償却費</v>
          </cell>
        </row>
        <row r="297">
          <cell r="A297">
            <v>8160</v>
          </cell>
          <cell r="B297" t="str">
            <v>為替差損</v>
          </cell>
        </row>
        <row r="298">
          <cell r="A298">
            <v>8170</v>
          </cell>
          <cell r="B298" t="str">
            <v>有価証券売却損</v>
          </cell>
        </row>
        <row r="299">
          <cell r="A299">
            <v>8180</v>
          </cell>
          <cell r="B299" t="str">
            <v>有価証券評価損</v>
          </cell>
        </row>
        <row r="300">
          <cell r="A300">
            <v>8190</v>
          </cell>
          <cell r="B300" t="str">
            <v>雑損失</v>
          </cell>
        </row>
        <row r="301">
          <cell r="A301">
            <v>8290</v>
          </cell>
          <cell r="B301" t="str">
            <v>（営業外費用合計）</v>
          </cell>
        </row>
        <row r="302">
          <cell r="A302">
            <v>8390</v>
          </cell>
          <cell r="B302" t="str">
            <v>（経常利益）</v>
          </cell>
        </row>
        <row r="303">
          <cell r="A303">
            <v>8400</v>
          </cell>
          <cell r="B303" t="str">
            <v>固定資産売却益</v>
          </cell>
        </row>
        <row r="304">
          <cell r="A304">
            <v>8410</v>
          </cell>
          <cell r="B304" t="str">
            <v>投資有価証券売却益</v>
          </cell>
        </row>
        <row r="305">
          <cell r="A305">
            <v>8420</v>
          </cell>
          <cell r="B305" t="str">
            <v>関係会社株式売却益</v>
          </cell>
        </row>
        <row r="306">
          <cell r="A306">
            <v>8430</v>
          </cell>
          <cell r="B306" t="str">
            <v>受取保険金</v>
          </cell>
        </row>
        <row r="307">
          <cell r="A307">
            <v>8435</v>
          </cell>
          <cell r="B307" t="str">
            <v>賞与引当金戻入益</v>
          </cell>
        </row>
        <row r="308">
          <cell r="A308">
            <v>8440</v>
          </cell>
          <cell r="B308" t="str">
            <v>貸倒引当金戻入益</v>
          </cell>
        </row>
        <row r="309">
          <cell r="A309">
            <v>8445</v>
          </cell>
          <cell r="B309" t="str">
            <v>退職給与引当金戻入益</v>
          </cell>
        </row>
        <row r="310">
          <cell r="A310">
            <v>8450</v>
          </cell>
          <cell r="B310" t="str">
            <v>前期損益修正益</v>
          </cell>
        </row>
        <row r="311">
          <cell r="A311">
            <v>8460</v>
          </cell>
          <cell r="B311" t="str">
            <v>その他特別利益</v>
          </cell>
        </row>
        <row r="312">
          <cell r="A312">
            <v>8490</v>
          </cell>
          <cell r="B312" t="str">
            <v>（特別利益合計）</v>
          </cell>
        </row>
        <row r="313">
          <cell r="A313">
            <v>8500</v>
          </cell>
          <cell r="B313" t="str">
            <v>固定資産売却損</v>
          </cell>
        </row>
        <row r="314">
          <cell r="A314">
            <v>8510</v>
          </cell>
          <cell r="B314" t="str">
            <v>固定資産除却損</v>
          </cell>
        </row>
        <row r="315">
          <cell r="A315">
            <v>8520</v>
          </cell>
          <cell r="B315" t="str">
            <v>投資有価証券売却損</v>
          </cell>
        </row>
        <row r="316">
          <cell r="A316">
            <v>8530</v>
          </cell>
          <cell r="B316" t="str">
            <v>投資有価証券評価損</v>
          </cell>
        </row>
        <row r="317">
          <cell r="A317">
            <v>8540</v>
          </cell>
          <cell r="B317" t="str">
            <v>関係会社株式売却損</v>
          </cell>
        </row>
        <row r="318">
          <cell r="A318">
            <v>8550</v>
          </cell>
          <cell r="B318" t="str">
            <v>前期損益修正損</v>
          </cell>
        </row>
        <row r="319">
          <cell r="A319">
            <v>8560</v>
          </cell>
          <cell r="B319" t="str">
            <v>役員退職慰労金</v>
          </cell>
        </row>
        <row r="320">
          <cell r="A320">
            <v>8570</v>
          </cell>
          <cell r="B320" t="str">
            <v>その他特別損失</v>
          </cell>
        </row>
        <row r="321">
          <cell r="A321">
            <v>8590</v>
          </cell>
          <cell r="B321" t="str">
            <v>（特別損失合計）</v>
          </cell>
        </row>
        <row r="322">
          <cell r="A322">
            <v>8690</v>
          </cell>
          <cell r="B322" t="str">
            <v>（税引き前当期純利益）</v>
          </cell>
        </row>
        <row r="323">
          <cell r="A323">
            <v>8700</v>
          </cell>
          <cell r="B323" t="str">
            <v>法人税等還付額</v>
          </cell>
        </row>
        <row r="324">
          <cell r="A324">
            <v>8710</v>
          </cell>
          <cell r="B324" t="str">
            <v>法人税等追徴額</v>
          </cell>
        </row>
        <row r="325">
          <cell r="A325">
            <v>8720</v>
          </cell>
          <cell r="B325" t="str">
            <v>当期法人税及び住民税</v>
          </cell>
        </row>
        <row r="326">
          <cell r="A326">
            <v>8725</v>
          </cell>
          <cell r="B326" t="str">
            <v>事業税等</v>
          </cell>
        </row>
        <row r="327">
          <cell r="A327">
            <v>8730</v>
          </cell>
          <cell r="B327" t="str">
            <v>法人税等調整額</v>
          </cell>
        </row>
        <row r="328">
          <cell r="A328">
            <v>8740</v>
          </cell>
          <cell r="B328" t="str">
            <v>少数株主損益減算</v>
          </cell>
        </row>
        <row r="329">
          <cell r="A329">
            <v>8750</v>
          </cell>
          <cell r="B329" t="str">
            <v>連結調整勘定償却（旧表示）</v>
          </cell>
        </row>
        <row r="330">
          <cell r="A330">
            <v>8760</v>
          </cell>
          <cell r="B330" t="str">
            <v>為替換算調整勘定</v>
          </cell>
        </row>
        <row r="331">
          <cell r="A331">
            <v>8890</v>
          </cell>
          <cell r="B331" t="str">
            <v>（当期純利益）</v>
          </cell>
        </row>
        <row r="332">
          <cell r="A332">
            <v>8900</v>
          </cell>
          <cell r="B332" t="str">
            <v>その他剰余金期首</v>
          </cell>
        </row>
        <row r="333">
          <cell r="A333">
            <v>8901</v>
          </cell>
          <cell r="B333" t="str">
            <v>利益処分戻入－その他</v>
          </cell>
        </row>
        <row r="334">
          <cell r="A334">
            <v>8910</v>
          </cell>
          <cell r="B334" t="str">
            <v>（その他剰余金増加合計）</v>
          </cell>
        </row>
        <row r="335">
          <cell r="A335">
            <v>8911</v>
          </cell>
          <cell r="B335" t="str">
            <v>利益処分－現金配当金</v>
          </cell>
        </row>
        <row r="336">
          <cell r="A336">
            <v>8912</v>
          </cell>
          <cell r="B336" t="str">
            <v>利益処分－株式配当金</v>
          </cell>
        </row>
        <row r="337">
          <cell r="A337">
            <v>8913</v>
          </cell>
          <cell r="B337" t="str">
            <v>利益処分－利益準備金</v>
          </cell>
        </row>
        <row r="338">
          <cell r="A338">
            <v>8914</v>
          </cell>
          <cell r="B338" t="str">
            <v>利益処分－役員賞与</v>
          </cell>
        </row>
        <row r="339">
          <cell r="A339">
            <v>8915</v>
          </cell>
          <cell r="B339" t="str">
            <v>利益処分－連結除外減少</v>
          </cell>
        </row>
        <row r="340">
          <cell r="A340">
            <v>8916</v>
          </cell>
          <cell r="B340" t="str">
            <v>利益処分－その他</v>
          </cell>
        </row>
        <row r="341">
          <cell r="A341">
            <v>8920</v>
          </cell>
          <cell r="B341" t="str">
            <v>（その他剰余金減少合計）</v>
          </cell>
        </row>
        <row r="342">
          <cell r="A342">
            <v>8930</v>
          </cell>
          <cell r="B342" t="str">
            <v>当期純利益</v>
          </cell>
        </row>
        <row r="343">
          <cell r="A343">
            <v>8990</v>
          </cell>
          <cell r="B343" t="str">
            <v>（その他剰余金期末）</v>
          </cell>
        </row>
        <row r="344">
          <cell r="A344">
            <v>9000</v>
          </cell>
          <cell r="B344" t="str">
            <v>資本金－期首</v>
          </cell>
        </row>
        <row r="345">
          <cell r="A345">
            <v>9001</v>
          </cell>
          <cell r="B345" t="str">
            <v>資本金－増資</v>
          </cell>
        </row>
        <row r="346">
          <cell r="A346">
            <v>9002</v>
          </cell>
          <cell r="B346" t="str">
            <v>資本金－転換社債からの転換</v>
          </cell>
        </row>
        <row r="347">
          <cell r="A347">
            <v>9003</v>
          </cell>
          <cell r="B347" t="str">
            <v>資本金－資本準備金からの振替</v>
          </cell>
        </row>
        <row r="348">
          <cell r="A348">
            <v>9004</v>
          </cell>
          <cell r="B348" t="str">
            <v>資本金－減資</v>
          </cell>
        </row>
        <row r="349">
          <cell r="A349">
            <v>9005</v>
          </cell>
          <cell r="B349" t="str">
            <v>資本金－その他増減</v>
          </cell>
        </row>
        <row r="350">
          <cell r="A350">
            <v>9006</v>
          </cell>
          <cell r="B350" t="str">
            <v>資本金－期末</v>
          </cell>
        </row>
        <row r="351">
          <cell r="A351">
            <v>9007</v>
          </cell>
          <cell r="B351" t="str">
            <v>資本準備金－期首</v>
          </cell>
        </row>
        <row r="352">
          <cell r="A352">
            <v>9008</v>
          </cell>
          <cell r="B352" t="str">
            <v>資本準備金－転換社債額面超過</v>
          </cell>
        </row>
        <row r="353">
          <cell r="A353">
            <v>9009</v>
          </cell>
          <cell r="B353" t="str">
            <v>資本準備金－資本金への振替</v>
          </cell>
        </row>
        <row r="354">
          <cell r="A354">
            <v>9010</v>
          </cell>
          <cell r="B354" t="str">
            <v>資本準備金－払込剰余金</v>
          </cell>
        </row>
        <row r="355">
          <cell r="A355">
            <v>9011</v>
          </cell>
          <cell r="B355" t="str">
            <v>資本準備金－他の剰余金振替</v>
          </cell>
        </row>
        <row r="356">
          <cell r="A356">
            <v>9012</v>
          </cell>
          <cell r="B356" t="str">
            <v>資本準備金－減資</v>
          </cell>
        </row>
        <row r="357">
          <cell r="A357">
            <v>9013</v>
          </cell>
          <cell r="B357" t="str">
            <v>資本準備金-受贈固定資産受入</v>
          </cell>
        </row>
        <row r="358">
          <cell r="A358">
            <v>9014</v>
          </cell>
          <cell r="B358" t="str">
            <v>資本準備金－固定資産売却益</v>
          </cell>
        </row>
        <row r="359">
          <cell r="A359">
            <v>9015</v>
          </cell>
          <cell r="B359" t="str">
            <v>資本準備金－その他増減</v>
          </cell>
        </row>
        <row r="360">
          <cell r="A360">
            <v>9016</v>
          </cell>
          <cell r="B360" t="str">
            <v>資本準備金－期末</v>
          </cell>
        </row>
        <row r="361">
          <cell r="A361">
            <v>9017</v>
          </cell>
          <cell r="B361" t="str">
            <v>利益準備金－期首</v>
          </cell>
        </row>
        <row r="362">
          <cell r="A362">
            <v>9018</v>
          </cell>
          <cell r="B362" t="str">
            <v>利益準備金－当期繰入</v>
          </cell>
        </row>
        <row r="363">
          <cell r="A363">
            <v>9019</v>
          </cell>
          <cell r="B363" t="str">
            <v>利益準備金－当期取崩</v>
          </cell>
        </row>
        <row r="364">
          <cell r="A364">
            <v>9020</v>
          </cell>
          <cell r="B364" t="str">
            <v>利益準備金－期末</v>
          </cell>
        </row>
        <row r="365">
          <cell r="A365">
            <v>9900</v>
          </cell>
          <cell r="B365" t="str">
            <v>原材料期首たな卸高</v>
          </cell>
        </row>
        <row r="366">
          <cell r="A366">
            <v>9901</v>
          </cell>
          <cell r="B366" t="str">
            <v>当期原材料仕入高</v>
          </cell>
        </row>
        <row r="367">
          <cell r="A367">
            <v>9902</v>
          </cell>
          <cell r="B367" t="str">
            <v>原材料期末たな卸高</v>
          </cell>
        </row>
        <row r="368">
          <cell r="A368">
            <v>9909</v>
          </cell>
          <cell r="B368" t="str">
            <v>(差引原材料費)</v>
          </cell>
        </row>
        <row r="369">
          <cell r="A369">
            <v>9910</v>
          </cell>
          <cell r="B369" t="str">
            <v>賃金手当</v>
          </cell>
        </row>
        <row r="370">
          <cell r="A370">
            <v>9911</v>
          </cell>
          <cell r="B370" t="str">
            <v>法定福利費</v>
          </cell>
        </row>
        <row r="371">
          <cell r="A371">
            <v>9912</v>
          </cell>
          <cell r="B371" t="str">
            <v>福利厚生費</v>
          </cell>
        </row>
        <row r="372">
          <cell r="A372">
            <v>9913</v>
          </cell>
          <cell r="B372" t="str">
            <v>適格退職年金掛金</v>
          </cell>
        </row>
        <row r="373">
          <cell r="A373">
            <v>9914</v>
          </cell>
          <cell r="B373" t="str">
            <v>退職金</v>
          </cell>
        </row>
        <row r="374">
          <cell r="A374">
            <v>9915</v>
          </cell>
          <cell r="B374" t="str">
            <v>退職給与引当金繰入額</v>
          </cell>
        </row>
        <row r="375">
          <cell r="A375">
            <v>9916</v>
          </cell>
          <cell r="B375" t="str">
            <v>賞与手当</v>
          </cell>
        </row>
        <row r="376">
          <cell r="A376">
            <v>9917</v>
          </cell>
          <cell r="B376" t="str">
            <v>賞与引当金繰入額</v>
          </cell>
        </row>
        <row r="377">
          <cell r="A377">
            <v>9918</v>
          </cell>
          <cell r="B377" t="str">
            <v>(労務費合計)</v>
          </cell>
        </row>
        <row r="378">
          <cell r="A378">
            <v>9919</v>
          </cell>
          <cell r="B378" t="str">
            <v>外注加工費</v>
          </cell>
        </row>
        <row r="379">
          <cell r="A379">
            <v>9920</v>
          </cell>
          <cell r="B379" t="str">
            <v>荷造包装費</v>
          </cell>
        </row>
        <row r="380">
          <cell r="A380">
            <v>9921</v>
          </cell>
          <cell r="B380" t="str">
            <v>運賃保管料</v>
          </cell>
        </row>
        <row r="381">
          <cell r="A381">
            <v>9922</v>
          </cell>
          <cell r="B381" t="str">
            <v>支払手数料</v>
          </cell>
        </row>
        <row r="382">
          <cell r="A382">
            <v>9923</v>
          </cell>
          <cell r="B382" t="str">
            <v>顧問料</v>
          </cell>
        </row>
        <row r="383">
          <cell r="A383">
            <v>9924</v>
          </cell>
          <cell r="B383" t="str">
            <v>交際費</v>
          </cell>
        </row>
        <row r="384">
          <cell r="A384">
            <v>9925</v>
          </cell>
          <cell r="B384" t="str">
            <v>旅費交通費</v>
          </cell>
        </row>
        <row r="385">
          <cell r="A385">
            <v>9926</v>
          </cell>
          <cell r="B385" t="str">
            <v>車両費</v>
          </cell>
        </row>
        <row r="386">
          <cell r="A386">
            <v>9927</v>
          </cell>
          <cell r="B386" t="str">
            <v>通信費</v>
          </cell>
        </row>
        <row r="387">
          <cell r="A387">
            <v>9928</v>
          </cell>
          <cell r="B387" t="str">
            <v>水道光熱費</v>
          </cell>
        </row>
        <row r="388">
          <cell r="A388">
            <v>9929</v>
          </cell>
          <cell r="B388" t="str">
            <v>保守料</v>
          </cell>
        </row>
        <row r="389">
          <cell r="A389">
            <v>9930</v>
          </cell>
          <cell r="B389" t="str">
            <v>保険料</v>
          </cell>
        </row>
        <row r="390">
          <cell r="A390">
            <v>9931</v>
          </cell>
          <cell r="B390" t="str">
            <v>会議費</v>
          </cell>
        </row>
        <row r="391">
          <cell r="A391">
            <v>9932</v>
          </cell>
          <cell r="B391" t="str">
            <v>新聞図書費</v>
          </cell>
        </row>
        <row r="392">
          <cell r="A392">
            <v>9933</v>
          </cell>
          <cell r="B392" t="str">
            <v>教育訓練費</v>
          </cell>
        </row>
        <row r="393">
          <cell r="A393">
            <v>9934</v>
          </cell>
          <cell r="B393" t="str">
            <v>社員募集費</v>
          </cell>
        </row>
        <row r="394">
          <cell r="A394">
            <v>9935</v>
          </cell>
          <cell r="B394" t="str">
            <v>事務用品費</v>
          </cell>
        </row>
        <row r="395">
          <cell r="A395">
            <v>9936</v>
          </cell>
          <cell r="B395" t="str">
            <v>消耗工具器具備品費</v>
          </cell>
        </row>
        <row r="396">
          <cell r="A396">
            <v>9937</v>
          </cell>
          <cell r="B396" t="str">
            <v>製造保証費</v>
          </cell>
        </row>
        <row r="397">
          <cell r="A397">
            <v>9938</v>
          </cell>
          <cell r="B397" t="str">
            <v>寄付金</v>
          </cell>
        </row>
        <row r="398">
          <cell r="A398">
            <v>9939</v>
          </cell>
          <cell r="B398" t="str">
            <v>諸会費</v>
          </cell>
        </row>
        <row r="399">
          <cell r="A399">
            <v>9940</v>
          </cell>
          <cell r="B399" t="str">
            <v>租税公課</v>
          </cell>
        </row>
        <row r="400">
          <cell r="A400">
            <v>9941</v>
          </cell>
          <cell r="B400" t="str">
            <v>建物減価償却費</v>
          </cell>
        </row>
        <row r="401">
          <cell r="A401">
            <v>9942</v>
          </cell>
          <cell r="B401" t="str">
            <v>構築物減価償却費</v>
          </cell>
        </row>
        <row r="402">
          <cell r="A402">
            <v>9943</v>
          </cell>
          <cell r="B402" t="str">
            <v>機械装置減価償却費</v>
          </cell>
        </row>
        <row r="403">
          <cell r="A403">
            <v>9944</v>
          </cell>
          <cell r="B403" t="str">
            <v>車両運搬具減価償却費</v>
          </cell>
        </row>
        <row r="404">
          <cell r="A404">
            <v>9945</v>
          </cell>
          <cell r="B404" t="str">
            <v>工具器具備品減価償却費</v>
          </cell>
        </row>
        <row r="405">
          <cell r="A405">
            <v>9946</v>
          </cell>
          <cell r="B405" t="str">
            <v>特許権償却費</v>
          </cell>
        </row>
        <row r="406">
          <cell r="A406">
            <v>9947</v>
          </cell>
          <cell r="B406" t="str">
            <v>諸施設利用権償却費</v>
          </cell>
        </row>
        <row r="407">
          <cell r="A407">
            <v>9948</v>
          </cell>
          <cell r="B407" t="str">
            <v>その他無形固定資産償却費</v>
          </cell>
        </row>
        <row r="408">
          <cell r="A408">
            <v>9949</v>
          </cell>
          <cell r="B408" t="str">
            <v>長期前払費用償却費</v>
          </cell>
        </row>
        <row r="409">
          <cell r="A409">
            <v>9950</v>
          </cell>
          <cell r="B409" t="str">
            <v>その他投資償却費</v>
          </cell>
        </row>
        <row r="410">
          <cell r="A410">
            <v>9951</v>
          </cell>
          <cell r="B410" t="str">
            <v>修繕費</v>
          </cell>
        </row>
        <row r="411">
          <cell r="A411">
            <v>9952</v>
          </cell>
          <cell r="B411" t="str">
            <v>賃借料</v>
          </cell>
        </row>
        <row r="412">
          <cell r="A412">
            <v>9953</v>
          </cell>
          <cell r="B412" t="str">
            <v>リース料</v>
          </cell>
        </row>
        <row r="413">
          <cell r="A413">
            <v>9954</v>
          </cell>
          <cell r="B413" t="str">
            <v>輸出入諸掛費</v>
          </cell>
        </row>
        <row r="414">
          <cell r="A414">
            <v>9955</v>
          </cell>
          <cell r="B414" t="str">
            <v>技術指導料</v>
          </cell>
        </row>
        <row r="415">
          <cell r="A415">
            <v>9956</v>
          </cell>
          <cell r="B415" t="str">
            <v>試験研究費</v>
          </cell>
        </row>
        <row r="416">
          <cell r="A416">
            <v>9957</v>
          </cell>
          <cell r="B416" t="str">
            <v>雑費</v>
          </cell>
        </row>
        <row r="417">
          <cell r="A417">
            <v>9958</v>
          </cell>
          <cell r="B417" t="str">
            <v>金型治工具費</v>
          </cell>
        </row>
        <row r="418">
          <cell r="A418">
            <v>9959</v>
          </cell>
          <cell r="B418" t="str">
            <v>(経費合計)</v>
          </cell>
        </row>
        <row r="419">
          <cell r="A419">
            <v>9960</v>
          </cell>
          <cell r="B419" t="str">
            <v>仕掛品期首たな卸高</v>
          </cell>
        </row>
        <row r="420">
          <cell r="A420">
            <v>9961</v>
          </cell>
          <cell r="B420" t="str">
            <v>仕掛品期末たな卸高</v>
          </cell>
        </row>
        <row r="421">
          <cell r="A421">
            <v>9962</v>
          </cell>
          <cell r="B421" t="str">
            <v>他勘定振替高</v>
          </cell>
        </row>
        <row r="422">
          <cell r="A422">
            <v>9969</v>
          </cell>
          <cell r="B422" t="str">
            <v>(当期製品製造原価)</v>
          </cell>
        </row>
        <row r="423">
          <cell r="A423">
            <v>9970</v>
          </cell>
          <cell r="B423" t="str">
            <v>リース料の総額</v>
          </cell>
        </row>
        <row r="424">
          <cell r="A424">
            <v>9971</v>
          </cell>
          <cell r="B424" t="str">
            <v>支払済リース料の累計額</v>
          </cell>
        </row>
        <row r="425">
          <cell r="A425">
            <v>9972</v>
          </cell>
          <cell r="B425" t="str">
            <v>未経過ﾘｰｽ料期末残高(1年内分)</v>
          </cell>
        </row>
        <row r="426">
          <cell r="A426">
            <v>9973</v>
          </cell>
          <cell r="B426" t="str">
            <v>未経過ﾘｰｽ料期末残高(1年超分)</v>
          </cell>
        </row>
        <row r="427">
          <cell r="A427">
            <v>9974</v>
          </cell>
          <cell r="B427" t="str">
            <v>当期支払リース料</v>
          </cell>
        </row>
      </sheetData>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1"/>
      <sheetName val="機構部品ﾘｽﾄ"/>
      <sheetName val="回路部品ﾘｽﾄ"/>
      <sheetName val="#REF!"/>
      <sheetName val="Table1"/>
      <sheetName val="Module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FGS Valuation"/>
      <sheetName val="WIP-FGS Valuation (2)"/>
      <sheetName val="FOH Alloc.Bgt Sales06 (2)"/>
      <sheetName val="#REF"/>
      <sheetName val="#REF!"/>
    </sheetNames>
    <sheetDataSet>
      <sheetData sheetId="0"/>
      <sheetData sheetId="1"/>
      <sheetData sheetId="2"/>
      <sheetData sheetId="3" refreshError="1"/>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FGS Valuation"/>
      <sheetName val="WIP-FGS Valuation (2)"/>
      <sheetName val="FOH Alloc.Bgt Sales06 (2)"/>
      <sheetName val="#REF!"/>
    </sheetNames>
    <sheetDataSet>
      <sheetData sheetId="0"/>
      <sheetData sheetId="1"/>
      <sheetData sheetId="2"/>
      <sheetData sheetId="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7"/>
      <sheetName val="Monitoring Sheet-YF"/>
      <sheetName val="PCash-OC13E"/>
      <sheetName val="#REF!"/>
    </sheetNames>
    <sheetDataSet>
      <sheetData sheetId="0"/>
      <sheetData sheetId="1" refreshError="1"/>
      <sheetData sheetId="2" refreshError="1"/>
      <sheetData sheetId="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7"/>
      <sheetName val="Monitoring Sheet-YF"/>
      <sheetName val="PCash-OC13E"/>
      <sheetName val="DEFINITION1"/>
      <sheetName val="機構部品ﾘｽﾄ"/>
      <sheetName val="回路部品ﾘｽﾄ"/>
      <sheetName val="Table1"/>
      <sheetName val="Module1"/>
      <sheetName val="#R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7"/>
      <sheetName val="Monitoring Sheet-YF"/>
      <sheetName val="PCash-OC13E"/>
    </sheetNames>
    <sheetDataSet>
      <sheetData sheetId="0"/>
      <sheetData sheetId="1" refreshError="1"/>
      <sheetData sheetId="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FGS Valuation"/>
      <sheetName val="WIP-FGS Valuation (2)"/>
      <sheetName val="FOH Alloc.Bgt Sales06 (2)"/>
      <sheetName val="#REF!"/>
    </sheetNames>
    <sheetDataSet>
      <sheetData sheetId="0"/>
      <sheetData sheetId="1"/>
      <sheetData sheetId="2"/>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FGS Valuation"/>
      <sheetName val="WIP-FGS Valuation (2)"/>
      <sheetName val="FOH Alloc.Bgt Sales06 (2)"/>
      <sheetName val="#REF!"/>
    </sheetNames>
    <sheetDataSet>
      <sheetData sheetId="0"/>
      <sheetData sheetId="1"/>
      <sheetData sheetId="2"/>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
      <sheetName val="BOM_Josef"/>
      <sheetName val="BOM_w.Supplier"/>
      <sheetName val="BOM_wo Supplier"/>
      <sheetName val="data (do not use)"/>
      <sheetName val="No dwg"/>
      <sheetName val="Order from Germany"/>
      <sheetName val="China"/>
      <sheetName val="local"/>
      <sheetName val="#REF!"/>
      <sheetName val="DEFINITION"/>
      <sheetName val="機構部品ﾘｽﾄ"/>
      <sheetName val="回路部品ﾘｽﾄ"/>
      <sheetName val="DEFINITION1"/>
      <sheetName val="RULE SA05-09"/>
      <sheetName val="_______"/>
      <sheetName val="Key7"/>
    </sheetNames>
    <sheetDataSet>
      <sheetData sheetId="0" refreshError="1">
        <row r="2">
          <cell r="B2" t="str">
            <v>00362386-</v>
          </cell>
          <cell r="C2" t="str">
            <v>Actuator compl.</v>
          </cell>
          <cell r="D2" t="str">
            <v>Betaetiger kpl.</v>
          </cell>
          <cell r="F2">
            <v>200000</v>
          </cell>
          <cell r="G2">
            <v>2</v>
          </cell>
          <cell r="H2" t="str">
            <v>ST</v>
          </cell>
          <cell r="J2" t="str">
            <v>m3</v>
          </cell>
          <cell r="K2">
            <v>2</v>
          </cell>
          <cell r="L2" t="str">
            <v>LITZLBECKA</v>
          </cell>
          <cell r="M2">
            <v>38121.62940972222</v>
          </cell>
          <cell r="N2">
            <v>38121</v>
          </cell>
          <cell r="O2">
            <v>38121.690162037034</v>
          </cell>
          <cell r="P2" t="str">
            <v>BS_MASCH</v>
          </cell>
          <cell r="R2">
            <v>401045</v>
          </cell>
          <cell r="S2">
            <v>3</v>
          </cell>
          <cell r="T2">
            <v>15</v>
          </cell>
          <cell r="V2">
            <v>10200149</v>
          </cell>
        </row>
        <row r="3">
          <cell r="B3" t="str">
            <v>00359892-</v>
          </cell>
          <cell r="C3" t="str">
            <v>Adjusting unit 1 width adjustment HS</v>
          </cell>
          <cell r="D3" t="str">
            <v>Verstelleinheit 1 Breitenverstellung HS</v>
          </cell>
          <cell r="F3">
            <v>100000</v>
          </cell>
          <cell r="G3">
            <v>1</v>
          </cell>
          <cell r="H3" t="str">
            <v>ST</v>
          </cell>
          <cell r="I3" t="str">
            <v>E</v>
          </cell>
          <cell r="J3" t="str">
            <v>m3</v>
          </cell>
          <cell r="K3">
            <v>7</v>
          </cell>
          <cell r="L3" t="str">
            <v>RAABEM</v>
          </cell>
          <cell r="M3">
            <v>38121.629363425927</v>
          </cell>
          <cell r="N3">
            <v>38121</v>
          </cell>
          <cell r="O3">
            <v>38121.688217592593</v>
          </cell>
          <cell r="P3" t="str">
            <v>BS_MASCH</v>
          </cell>
          <cell r="R3">
            <v>401045</v>
          </cell>
          <cell r="S3">
            <v>1</v>
          </cell>
          <cell r="T3">
            <v>5</v>
          </cell>
          <cell r="V3">
            <v>10200149</v>
          </cell>
        </row>
        <row r="4">
          <cell r="B4" t="str">
            <v>00359893-</v>
          </cell>
          <cell r="C4" t="str">
            <v>Adjusting unit 2 width adjustment HS</v>
          </cell>
          <cell r="D4" t="str">
            <v>Verstelleinheit 2 Breitenverstellung HS</v>
          </cell>
          <cell r="E4" t="str">
            <v>machining</v>
          </cell>
          <cell r="F4">
            <v>100000</v>
          </cell>
          <cell r="G4">
            <v>1</v>
          </cell>
          <cell r="H4" t="str">
            <v>ST</v>
          </cell>
          <cell r="I4" t="str">
            <v>E</v>
          </cell>
          <cell r="J4" t="str">
            <v>m3</v>
          </cell>
          <cell r="L4" t="str">
            <v>RAABEM</v>
          </cell>
          <cell r="M4">
            <v>38121.629259259258</v>
          </cell>
          <cell r="N4">
            <v>38121</v>
          </cell>
          <cell r="O4">
            <v>38121.685358796298</v>
          </cell>
          <cell r="P4" t="str">
            <v>BS_MASCH</v>
          </cell>
          <cell r="R4">
            <v>401045</v>
          </cell>
          <cell r="S4">
            <v>1</v>
          </cell>
          <cell r="T4">
            <v>5</v>
          </cell>
          <cell r="V4">
            <v>10200149</v>
          </cell>
        </row>
        <row r="5">
          <cell r="B5" t="str">
            <v>00365342-</v>
          </cell>
          <cell r="C5" t="str">
            <v>Air distributor compl.</v>
          </cell>
          <cell r="D5" t="str">
            <v>Luftverteiler kpl.</v>
          </cell>
          <cell r="E5" t="str">
            <v>pneumatic</v>
          </cell>
          <cell r="F5">
            <v>100000</v>
          </cell>
          <cell r="G5">
            <v>1</v>
          </cell>
          <cell r="H5" t="str">
            <v>ST</v>
          </cell>
          <cell r="J5" t="str">
            <v>m3</v>
          </cell>
          <cell r="K5" t="str">
            <v>ZU X47</v>
          </cell>
          <cell r="L5" t="str">
            <v>RAABEM</v>
          </cell>
          <cell r="M5">
            <v>38100.638703703706</v>
          </cell>
          <cell r="N5">
            <v>38121</v>
          </cell>
          <cell r="O5">
            <v>38103.721990740742</v>
          </cell>
          <cell r="P5" t="str">
            <v>BS_MASCH</v>
          </cell>
          <cell r="R5">
            <v>400996</v>
          </cell>
          <cell r="S5">
            <v>1</v>
          </cell>
          <cell r="T5">
            <v>5</v>
          </cell>
          <cell r="V5">
            <v>10200149</v>
          </cell>
        </row>
        <row r="6">
          <cell r="B6" t="str">
            <v>00369553-</v>
          </cell>
          <cell r="C6" t="str">
            <v>Base plate 1 left side</v>
          </cell>
          <cell r="D6" t="str">
            <v>Basisblech 1 links</v>
          </cell>
          <cell r="F6">
            <v>100000</v>
          </cell>
          <cell r="G6">
            <v>1</v>
          </cell>
          <cell r="H6" t="str">
            <v>ST</v>
          </cell>
          <cell r="J6" t="str">
            <v>m3</v>
          </cell>
          <cell r="K6">
            <v>15</v>
          </cell>
          <cell r="L6" t="str">
            <v>LITZLBECKA</v>
          </cell>
          <cell r="M6">
            <v>38121.629386574074</v>
          </cell>
          <cell r="N6">
            <v>38121</v>
          </cell>
          <cell r="O6">
            <v>38121.689444444448</v>
          </cell>
          <cell r="P6" t="str">
            <v>BS_MASCH</v>
          </cell>
          <cell r="R6">
            <v>401045</v>
          </cell>
          <cell r="S6">
            <v>1</v>
          </cell>
          <cell r="T6">
            <v>5</v>
          </cell>
          <cell r="V6">
            <v>10200149</v>
          </cell>
        </row>
        <row r="7">
          <cell r="B7" t="str">
            <v>00369551-</v>
          </cell>
          <cell r="C7" t="str">
            <v>base plate 1 right side</v>
          </cell>
          <cell r="D7" t="str">
            <v>Basisblech 1 rechts</v>
          </cell>
          <cell r="E7" t="str">
            <v>fabricate</v>
          </cell>
          <cell r="F7">
            <v>100000</v>
          </cell>
          <cell r="G7">
            <v>1</v>
          </cell>
          <cell r="H7" t="str">
            <v>ST</v>
          </cell>
          <cell r="J7" t="str">
            <v>m3</v>
          </cell>
          <cell r="K7">
            <v>16</v>
          </cell>
          <cell r="L7" t="str">
            <v>LITZLBECKA</v>
          </cell>
          <cell r="M7">
            <v>38121.629467592589</v>
          </cell>
          <cell r="N7">
            <v>38121</v>
          </cell>
          <cell r="O7">
            <v>38121.692175925928</v>
          </cell>
          <cell r="P7" t="str">
            <v>BS_MASCH</v>
          </cell>
          <cell r="R7">
            <v>401045</v>
          </cell>
          <cell r="S7">
            <v>1</v>
          </cell>
          <cell r="T7">
            <v>5</v>
          </cell>
          <cell r="V7">
            <v>10200149</v>
          </cell>
        </row>
        <row r="8">
          <cell r="B8" t="str">
            <v>00369552-</v>
          </cell>
          <cell r="C8" t="str">
            <v>Base plate 2 left side</v>
          </cell>
          <cell r="D8" t="str">
            <v>Basisblech 2 rechts</v>
          </cell>
          <cell r="F8">
            <v>100000</v>
          </cell>
          <cell r="G8">
            <v>1</v>
          </cell>
          <cell r="H8" t="str">
            <v>ST</v>
          </cell>
          <cell r="J8" t="str">
            <v>m3</v>
          </cell>
          <cell r="K8">
            <v>17</v>
          </cell>
          <cell r="L8" t="str">
            <v>LITZLBECKA</v>
          </cell>
          <cell r="M8">
            <v>38121.629432870373</v>
          </cell>
          <cell r="N8">
            <v>38121</v>
          </cell>
          <cell r="O8">
            <v>38121.691250000003</v>
          </cell>
          <cell r="P8" t="str">
            <v>BS_MASCH</v>
          </cell>
          <cell r="R8">
            <v>401045</v>
          </cell>
          <cell r="S8">
            <v>1</v>
          </cell>
          <cell r="T8">
            <v>5</v>
          </cell>
          <cell r="V8">
            <v>10200149</v>
          </cell>
        </row>
        <row r="9">
          <cell r="B9" t="str">
            <v>00369554-</v>
          </cell>
          <cell r="C9" t="str">
            <v>Base plate 2 left side</v>
          </cell>
          <cell r="D9" t="str">
            <v>Basisblech 2 links</v>
          </cell>
          <cell r="F9">
            <v>100000</v>
          </cell>
          <cell r="G9">
            <v>1</v>
          </cell>
          <cell r="H9" t="str">
            <v>ST</v>
          </cell>
          <cell r="J9" t="str">
            <v>m3</v>
          </cell>
          <cell r="K9">
            <v>18</v>
          </cell>
          <cell r="L9" t="str">
            <v>LITZLBECKA</v>
          </cell>
          <cell r="M9">
            <v>38121.629178240742</v>
          </cell>
          <cell r="N9">
            <v>38121</v>
          </cell>
          <cell r="O9">
            <v>38121.683344907404</v>
          </cell>
          <cell r="P9" t="str">
            <v>BS_MASCH</v>
          </cell>
          <cell r="R9">
            <v>401045</v>
          </cell>
          <cell r="S9">
            <v>1</v>
          </cell>
          <cell r="T9">
            <v>5</v>
          </cell>
          <cell r="V9">
            <v>10200149</v>
          </cell>
        </row>
        <row r="10">
          <cell r="B10" t="str">
            <v>00363678-</v>
          </cell>
          <cell r="C10" t="str">
            <v>Bearing flange 1</v>
          </cell>
          <cell r="D10" t="str">
            <v>Lagerflansch 1</v>
          </cell>
          <cell r="E10" t="str">
            <v>bearing</v>
          </cell>
          <cell r="F10">
            <v>200000</v>
          </cell>
          <cell r="G10">
            <v>2</v>
          </cell>
          <cell r="H10" t="str">
            <v>ST</v>
          </cell>
          <cell r="J10" t="str">
            <v>M3</v>
          </cell>
          <cell r="K10">
            <v>28</v>
          </cell>
          <cell r="L10" t="str">
            <v>FICHTNER</v>
          </cell>
          <cell r="M10">
            <v>37245.484942129631</v>
          </cell>
          <cell r="N10">
            <v>38121</v>
          </cell>
          <cell r="O10">
            <v>37439.668576388889</v>
          </cell>
          <cell r="P10" t="str">
            <v>BS_MASCH</v>
          </cell>
          <cell r="S10">
            <v>2</v>
          </cell>
          <cell r="T10">
            <v>10</v>
          </cell>
          <cell r="V10">
            <v>10200149</v>
          </cell>
        </row>
        <row r="11">
          <cell r="B11" t="str">
            <v>00363679-</v>
          </cell>
          <cell r="C11" t="str">
            <v>Bearing flange 2</v>
          </cell>
          <cell r="D11" t="str">
            <v>Lagerflansch 2</v>
          </cell>
          <cell r="E11" t="str">
            <v>bearing</v>
          </cell>
          <cell r="F11">
            <v>200000</v>
          </cell>
          <cell r="G11">
            <v>2</v>
          </cell>
          <cell r="H11" t="str">
            <v>ST</v>
          </cell>
          <cell r="J11" t="str">
            <v>m3</v>
          </cell>
          <cell r="L11" t="str">
            <v>RAABEM</v>
          </cell>
          <cell r="M11">
            <v>38121.629212962966</v>
          </cell>
          <cell r="N11">
            <v>38121</v>
          </cell>
          <cell r="O11">
            <v>38121.684224537035</v>
          </cell>
          <cell r="P11" t="str">
            <v>BS_MASCH</v>
          </cell>
          <cell r="R11">
            <v>401045</v>
          </cell>
          <cell r="S11">
            <v>2</v>
          </cell>
          <cell r="T11">
            <v>10</v>
          </cell>
          <cell r="V11">
            <v>10200149</v>
          </cell>
        </row>
        <row r="12">
          <cell r="B12" t="str">
            <v>00369584-</v>
          </cell>
          <cell r="C12" t="str">
            <v>Belt support  EB + AB compl.</v>
          </cell>
          <cell r="D12" t="str">
            <v>Riemenauflage EB+AB kpl.</v>
          </cell>
          <cell r="F12">
            <v>200000</v>
          </cell>
          <cell r="G12">
            <v>2</v>
          </cell>
          <cell r="H12" t="str">
            <v>ST</v>
          </cell>
          <cell r="J12" t="str">
            <v>m3</v>
          </cell>
          <cell r="K12">
            <v>29</v>
          </cell>
          <cell r="L12" t="str">
            <v>LITZLBECKA</v>
          </cell>
          <cell r="M12">
            <v>38121.629305555558</v>
          </cell>
          <cell r="N12">
            <v>38121</v>
          </cell>
          <cell r="O12">
            <v>38121.686273148145</v>
          </cell>
          <cell r="P12" t="str">
            <v>BS_MASCH</v>
          </cell>
          <cell r="R12">
            <v>401045</v>
          </cell>
          <cell r="S12">
            <v>4</v>
          </cell>
          <cell r="T12">
            <v>20</v>
          </cell>
          <cell r="V12">
            <v>10200149</v>
          </cell>
        </row>
        <row r="13">
          <cell r="B13" t="str">
            <v>00369732-</v>
          </cell>
          <cell r="C13" t="str">
            <v>belt support 1</v>
          </cell>
          <cell r="D13" t="str">
            <v>Riemenauflage 1</v>
          </cell>
          <cell r="F13">
            <v>100000</v>
          </cell>
          <cell r="G13">
            <v>1</v>
          </cell>
          <cell r="H13" t="str">
            <v>ST</v>
          </cell>
          <cell r="J13" t="str">
            <v>m3</v>
          </cell>
          <cell r="K13">
            <v>40</v>
          </cell>
          <cell r="L13" t="str">
            <v>SCHMIDR</v>
          </cell>
          <cell r="M13">
            <v>38121.629340277781</v>
          </cell>
          <cell r="N13">
            <v>38121</v>
          </cell>
          <cell r="O13">
            <v>38121.687835648147</v>
          </cell>
          <cell r="P13" t="str">
            <v>BS_MASCH</v>
          </cell>
          <cell r="R13">
            <v>401045</v>
          </cell>
          <cell r="S13">
            <v>2</v>
          </cell>
          <cell r="T13">
            <v>10</v>
          </cell>
          <cell r="V13">
            <v>10200149</v>
          </cell>
        </row>
        <row r="14">
          <cell r="B14" t="str">
            <v>00369714-</v>
          </cell>
          <cell r="C14" t="str">
            <v>Belt support 2</v>
          </cell>
          <cell r="D14" t="str">
            <v>Riemenauflage 2</v>
          </cell>
          <cell r="F14">
            <v>100000</v>
          </cell>
          <cell r="G14">
            <v>1</v>
          </cell>
          <cell r="S14">
            <v>2</v>
          </cell>
          <cell r="T14">
            <v>10</v>
          </cell>
          <cell r="V14">
            <v>10200149</v>
          </cell>
        </row>
        <row r="15">
          <cell r="B15" t="str">
            <v>00366856-</v>
          </cell>
          <cell r="C15" t="str">
            <v>Belt support intermediate belt</v>
          </cell>
          <cell r="D15" t="str">
            <v>Riemenauflage Zwischenband</v>
          </cell>
          <cell r="F15">
            <v>100000</v>
          </cell>
          <cell r="G15">
            <v>1</v>
          </cell>
          <cell r="H15" t="str">
            <v>ST</v>
          </cell>
          <cell r="J15" t="str">
            <v>m3</v>
          </cell>
          <cell r="K15">
            <v>1</v>
          </cell>
          <cell r="L15" t="str">
            <v>RAABEM</v>
          </cell>
          <cell r="M15">
            <v>38121.629178240742</v>
          </cell>
          <cell r="N15">
            <v>38082</v>
          </cell>
          <cell r="O15">
            <v>38121.683495370373</v>
          </cell>
          <cell r="P15" t="str">
            <v>BS_MASCH</v>
          </cell>
          <cell r="R15">
            <v>401045</v>
          </cell>
          <cell r="S15">
            <v>2</v>
          </cell>
          <cell r="T15">
            <v>10</v>
          </cell>
          <cell r="V15">
            <v>10200149</v>
          </cell>
        </row>
        <row r="16">
          <cell r="B16" t="str">
            <v>00362688-</v>
          </cell>
          <cell r="C16" t="str">
            <v>Board holder</v>
          </cell>
          <cell r="D16" t="str">
            <v>Platinenhalter</v>
          </cell>
          <cell r="F16">
            <v>100000</v>
          </cell>
          <cell r="G16">
            <v>1</v>
          </cell>
          <cell r="H16" t="str">
            <v>ST</v>
          </cell>
          <cell r="I16" t="str">
            <v>n</v>
          </cell>
          <cell r="J16" t="str">
            <v>m3</v>
          </cell>
          <cell r="K16">
            <v>6</v>
          </cell>
          <cell r="L16" t="str">
            <v>SCHMIDR</v>
          </cell>
          <cell r="M16">
            <v>38121.629201388889</v>
          </cell>
          <cell r="N16">
            <v>38121</v>
          </cell>
          <cell r="O16">
            <v>38121.683877314812</v>
          </cell>
          <cell r="P16" t="str">
            <v>BS_MASCH</v>
          </cell>
          <cell r="R16">
            <v>401045</v>
          </cell>
          <cell r="S16">
            <v>2</v>
          </cell>
          <cell r="T16">
            <v>10</v>
          </cell>
          <cell r="V16">
            <v>10200149</v>
          </cell>
        </row>
        <row r="17">
          <cell r="B17" t="str">
            <v>00363946-</v>
          </cell>
          <cell r="C17" t="str">
            <v>Cable channel 1 (65x30x1146)</v>
          </cell>
          <cell r="D17" t="str">
            <v>Kabelkanal 1 (65x30x1146)</v>
          </cell>
          <cell r="F17">
            <v>100000</v>
          </cell>
          <cell r="G17">
            <v>1</v>
          </cell>
          <cell r="H17" t="str">
            <v>ST</v>
          </cell>
          <cell r="I17" t="str">
            <v>n</v>
          </cell>
          <cell r="J17" t="str">
            <v>m3</v>
          </cell>
          <cell r="K17">
            <v>13</v>
          </cell>
          <cell r="L17" t="str">
            <v>SCHMIDR</v>
          </cell>
          <cell r="M17">
            <v>38071.517233796294</v>
          </cell>
          <cell r="N17">
            <v>38072</v>
          </cell>
          <cell r="O17">
            <v>38072.602708333332</v>
          </cell>
          <cell r="P17" t="str">
            <v>BS_MASCH</v>
          </cell>
          <cell r="R17">
            <v>400915</v>
          </cell>
          <cell r="S17">
            <v>1</v>
          </cell>
          <cell r="T17">
            <v>5</v>
          </cell>
          <cell r="V17">
            <v>10200149</v>
          </cell>
        </row>
        <row r="18">
          <cell r="B18" t="str">
            <v>00363947-</v>
          </cell>
          <cell r="C18" t="str">
            <v>Cable channel 2 (65x30x446)</v>
          </cell>
          <cell r="D18" t="str">
            <v>Kabelkanal 2 (65x30x446)</v>
          </cell>
          <cell r="F18">
            <v>100000</v>
          </cell>
          <cell r="G18">
            <v>1</v>
          </cell>
          <cell r="H18" t="str">
            <v>ST</v>
          </cell>
          <cell r="I18" t="str">
            <v>n</v>
          </cell>
          <cell r="J18" t="str">
            <v>M3</v>
          </cell>
          <cell r="K18">
            <v>14</v>
          </cell>
          <cell r="L18" t="str">
            <v>FICHTNER</v>
          </cell>
          <cell r="M18">
            <v>37295.62767361111</v>
          </cell>
          <cell r="N18">
            <v>38072</v>
          </cell>
          <cell r="O18">
            <v>30700</v>
          </cell>
          <cell r="P18" t="str">
            <v>BS_MASCH</v>
          </cell>
          <cell r="S18">
            <v>1</v>
          </cell>
          <cell r="T18">
            <v>5</v>
          </cell>
          <cell r="V18">
            <v>10200149</v>
          </cell>
        </row>
        <row r="19">
          <cell r="B19" t="str">
            <v>00365299-</v>
          </cell>
          <cell r="C19" t="str">
            <v>Cable extension stepping motor</v>
          </cell>
          <cell r="D19" t="str">
            <v>Kabel: Verlängerung Schrittmotor</v>
          </cell>
          <cell r="E19" t="str">
            <v>electric</v>
          </cell>
          <cell r="F19">
            <v>100000</v>
          </cell>
          <cell r="G19">
            <v>1</v>
          </cell>
          <cell r="H19" t="str">
            <v>ST</v>
          </cell>
          <cell r="I19" t="str">
            <v>n</v>
          </cell>
          <cell r="J19" t="str">
            <v>m3</v>
          </cell>
          <cell r="K19" t="str">
            <v>ZU X3</v>
          </cell>
          <cell r="L19" t="str">
            <v>RAABEM</v>
          </cell>
          <cell r="M19">
            <v>38100.638703703706</v>
          </cell>
          <cell r="N19">
            <v>38072</v>
          </cell>
          <cell r="O19">
            <v>38103.721990740742</v>
          </cell>
          <cell r="P19" t="str">
            <v>BS_MASCH</v>
          </cell>
          <cell r="R19">
            <v>400996</v>
          </cell>
          <cell r="S19">
            <v>1</v>
          </cell>
          <cell r="T19">
            <v>5</v>
          </cell>
          <cell r="V19">
            <v>10200149</v>
          </cell>
        </row>
        <row r="20">
          <cell r="B20" t="str">
            <v>00360781-</v>
          </cell>
          <cell r="C20" t="str">
            <v>Cable guide</v>
          </cell>
          <cell r="D20" t="str">
            <v>Kabelführung</v>
          </cell>
          <cell r="F20">
            <v>200000</v>
          </cell>
          <cell r="G20">
            <v>2</v>
          </cell>
          <cell r="H20" t="str">
            <v>ST</v>
          </cell>
          <cell r="I20" t="str">
            <v>n</v>
          </cell>
          <cell r="J20" t="str">
            <v>m3</v>
          </cell>
          <cell r="K20" t="str">
            <v>ZU X3</v>
          </cell>
          <cell r="L20" t="str">
            <v>RAABEM</v>
          </cell>
          <cell r="M20">
            <v>38100.638715277775</v>
          </cell>
          <cell r="N20">
            <v>38072</v>
          </cell>
          <cell r="O20">
            <v>38103.72215277778</v>
          </cell>
          <cell r="P20" t="str">
            <v>BS_MASCH</v>
          </cell>
          <cell r="R20">
            <v>400996</v>
          </cell>
          <cell r="S20">
            <v>2</v>
          </cell>
          <cell r="T20">
            <v>10</v>
          </cell>
          <cell r="V20">
            <v>10200149</v>
          </cell>
        </row>
        <row r="21">
          <cell r="B21" t="str">
            <v>00359217-</v>
          </cell>
          <cell r="C21" t="str">
            <v>Centering plate</v>
          </cell>
          <cell r="D21" t="str">
            <v>Zentrierplatte</v>
          </cell>
          <cell r="E21" t="str">
            <v>machining</v>
          </cell>
          <cell r="F21">
            <v>200000</v>
          </cell>
          <cell r="G21">
            <v>2</v>
          </cell>
          <cell r="H21" t="str">
            <v>ST</v>
          </cell>
          <cell r="I21" t="str">
            <v>n</v>
          </cell>
          <cell r="J21" t="str">
            <v>m3</v>
          </cell>
          <cell r="K21" t="str">
            <v>ZU X4</v>
          </cell>
          <cell r="L21" t="str">
            <v>RAABEM</v>
          </cell>
          <cell r="M21">
            <v>38100.638715277775</v>
          </cell>
          <cell r="N21">
            <v>38072</v>
          </cell>
          <cell r="O21">
            <v>38103.72215277778</v>
          </cell>
          <cell r="P21" t="str">
            <v>BS_MASCH</v>
          </cell>
          <cell r="R21">
            <v>400996</v>
          </cell>
          <cell r="S21">
            <v>2</v>
          </cell>
          <cell r="T21">
            <v>10</v>
          </cell>
          <cell r="V21">
            <v>10200149</v>
          </cell>
        </row>
        <row r="22">
          <cell r="B22" t="str">
            <v>00359083-</v>
          </cell>
          <cell r="C22" t="str">
            <v>Centering sleeve</v>
          </cell>
          <cell r="D22" t="str">
            <v>Zentrierhuelse</v>
          </cell>
          <cell r="E22" t="str">
            <v>machining</v>
          </cell>
          <cell r="F22">
            <v>800000</v>
          </cell>
          <cell r="G22">
            <v>8</v>
          </cell>
          <cell r="H22" t="str">
            <v>ST</v>
          </cell>
          <cell r="I22" t="str">
            <v>n</v>
          </cell>
          <cell r="J22" t="str">
            <v>m3</v>
          </cell>
          <cell r="K22" t="str">
            <v>ZU X4</v>
          </cell>
          <cell r="L22" t="str">
            <v>RAABEM</v>
          </cell>
          <cell r="M22">
            <v>38100.638692129629</v>
          </cell>
          <cell r="N22">
            <v>38072</v>
          </cell>
          <cell r="O22">
            <v>38103.722500000003</v>
          </cell>
          <cell r="P22" t="str">
            <v>BS_MASCH</v>
          </cell>
          <cell r="R22">
            <v>400996</v>
          </cell>
          <cell r="S22">
            <v>8</v>
          </cell>
          <cell r="T22">
            <v>40</v>
          </cell>
          <cell r="V22">
            <v>10200149</v>
          </cell>
        </row>
        <row r="23">
          <cell r="B23" t="str">
            <v>00359151-</v>
          </cell>
          <cell r="C23" t="str">
            <v>Clamp block</v>
          </cell>
          <cell r="D23" t="str">
            <v>Klemmklotz</v>
          </cell>
          <cell r="F23">
            <v>400000</v>
          </cell>
          <cell r="G23">
            <v>4</v>
          </cell>
          <cell r="H23" t="str">
            <v>ST</v>
          </cell>
          <cell r="I23" t="str">
            <v>n</v>
          </cell>
          <cell r="J23" t="str">
            <v>m3</v>
          </cell>
          <cell r="L23" t="str">
            <v>RAABEM</v>
          </cell>
          <cell r="M23">
            <v>38100.638680555552</v>
          </cell>
          <cell r="N23">
            <v>38072</v>
          </cell>
          <cell r="O23">
            <v>38103.733136574076</v>
          </cell>
          <cell r="P23" t="str">
            <v>BS_MASCH</v>
          </cell>
          <cell r="R23">
            <v>400996</v>
          </cell>
          <cell r="S23">
            <v>4</v>
          </cell>
          <cell r="T23">
            <v>20</v>
          </cell>
          <cell r="V23">
            <v>10200149</v>
          </cell>
        </row>
        <row r="24">
          <cell r="B24" t="str">
            <v>00371453-</v>
          </cell>
          <cell r="C24" t="str">
            <v>Clamping angle</v>
          </cell>
          <cell r="D24" t="str">
            <v>Klemmwinkel</v>
          </cell>
          <cell r="F24">
            <v>600000</v>
          </cell>
          <cell r="G24">
            <v>6</v>
          </cell>
          <cell r="H24" t="str">
            <v>ST</v>
          </cell>
          <cell r="I24" t="str">
            <v>n</v>
          </cell>
          <cell r="J24" t="str">
            <v>m3</v>
          </cell>
          <cell r="K24">
            <v>9</v>
          </cell>
          <cell r="L24" t="str">
            <v>SCHMIDR</v>
          </cell>
          <cell r="M24">
            <v>38071.517233796294</v>
          </cell>
          <cell r="N24">
            <v>38072</v>
          </cell>
          <cell r="O24">
            <v>38072.59784722222</v>
          </cell>
          <cell r="P24" t="str">
            <v>BS_MASCH</v>
          </cell>
          <cell r="R24">
            <v>400915</v>
          </cell>
          <cell r="S24">
            <v>6</v>
          </cell>
          <cell r="T24">
            <v>30</v>
          </cell>
          <cell r="V24">
            <v>10200149</v>
          </cell>
        </row>
        <row r="25">
          <cell r="B25" t="str">
            <v>00356854-</v>
          </cell>
          <cell r="C25" t="str">
            <v>cover</v>
          </cell>
          <cell r="D25" t="str">
            <v>Abdeckung</v>
          </cell>
          <cell r="F25">
            <v>100000</v>
          </cell>
          <cell r="G25">
            <v>1</v>
          </cell>
          <cell r="H25" t="str">
            <v>ST</v>
          </cell>
          <cell r="I25" t="str">
            <v>n</v>
          </cell>
          <cell r="J25" t="str">
            <v>M3</v>
          </cell>
          <cell r="K25">
            <v>37</v>
          </cell>
          <cell r="L25" t="str">
            <v>EISINGER</v>
          </cell>
          <cell r="M25">
            <v>37334</v>
          </cell>
          <cell r="N25">
            <v>38072</v>
          </cell>
          <cell r="O25">
            <v>37334</v>
          </cell>
          <cell r="P25" t="str">
            <v>BS_MASCH</v>
          </cell>
          <cell r="S25">
            <v>2</v>
          </cell>
          <cell r="T25">
            <v>10</v>
          </cell>
          <cell r="V25">
            <v>10200149</v>
          </cell>
        </row>
        <row r="26">
          <cell r="B26" t="str">
            <v>00356856-</v>
          </cell>
          <cell r="C26" t="str">
            <v>cover</v>
          </cell>
          <cell r="D26" t="str">
            <v>Fuehrungsdeckel</v>
          </cell>
          <cell r="F26">
            <v>400000</v>
          </cell>
          <cell r="G26">
            <v>4</v>
          </cell>
          <cell r="H26" t="str">
            <v>ST</v>
          </cell>
          <cell r="I26" t="str">
            <v>n</v>
          </cell>
          <cell r="J26" t="str">
            <v>M3</v>
          </cell>
          <cell r="K26">
            <v>39</v>
          </cell>
          <cell r="L26" t="str">
            <v>FICHTNER</v>
          </cell>
          <cell r="M26">
            <v>36797</v>
          </cell>
          <cell r="N26">
            <v>38072</v>
          </cell>
          <cell r="O26">
            <v>37708.535104166665</v>
          </cell>
          <cell r="P26" t="str">
            <v>BS_MASCH</v>
          </cell>
          <cell r="S26">
            <v>8</v>
          </cell>
          <cell r="T26">
            <v>40</v>
          </cell>
          <cell r="V26">
            <v>10200149</v>
          </cell>
        </row>
        <row r="27">
          <cell r="B27" t="str">
            <v>00365110-</v>
          </cell>
          <cell r="C27" t="str">
            <v>Cover 1 (cable channel)</v>
          </cell>
          <cell r="D27" t="str">
            <v>Abdeckung 1 (Kabelkanal)</v>
          </cell>
          <cell r="F27">
            <v>100000</v>
          </cell>
          <cell r="G27">
            <v>1</v>
          </cell>
          <cell r="H27" t="str">
            <v>ST</v>
          </cell>
          <cell r="I27" t="str">
            <v>n</v>
          </cell>
          <cell r="J27" t="str">
            <v>m3</v>
          </cell>
          <cell r="K27">
            <v>42</v>
          </cell>
          <cell r="L27" t="str">
            <v>ZANKL</v>
          </cell>
          <cell r="M27">
            <v>38061.557766203703</v>
          </cell>
          <cell r="N27">
            <v>38072</v>
          </cell>
          <cell r="O27">
            <v>38061.569849537038</v>
          </cell>
          <cell r="P27" t="str">
            <v>BS_MASCH</v>
          </cell>
          <cell r="S27">
            <v>1</v>
          </cell>
          <cell r="T27">
            <v>5</v>
          </cell>
          <cell r="V27">
            <v>10200149</v>
          </cell>
        </row>
        <row r="28">
          <cell r="B28" t="str">
            <v>00365201-</v>
          </cell>
          <cell r="C28" t="str">
            <v>Cover 2 (cable channel)</v>
          </cell>
          <cell r="D28" t="str">
            <v>Abdeckung 2 (Kabelkanal)</v>
          </cell>
          <cell r="F28">
            <v>100000</v>
          </cell>
          <cell r="G28">
            <v>1</v>
          </cell>
          <cell r="H28" t="str">
            <v>ST</v>
          </cell>
          <cell r="I28" t="str">
            <v>n</v>
          </cell>
          <cell r="J28" t="str">
            <v>m3</v>
          </cell>
          <cell r="K28">
            <v>43</v>
          </cell>
          <cell r="L28" t="str">
            <v>SCHMIDR</v>
          </cell>
          <cell r="M28">
            <v>38071.517210648148</v>
          </cell>
          <cell r="N28">
            <v>38072</v>
          </cell>
          <cell r="O28">
            <v>38072.601886574077</v>
          </cell>
          <cell r="P28" t="str">
            <v>BS_MASCH</v>
          </cell>
          <cell r="R28">
            <v>400915</v>
          </cell>
          <cell r="S28">
            <v>1</v>
          </cell>
          <cell r="T28">
            <v>5</v>
          </cell>
          <cell r="V28">
            <v>10200149</v>
          </cell>
        </row>
        <row r="29">
          <cell r="B29" t="str">
            <v>00365221-</v>
          </cell>
          <cell r="C29" t="str">
            <v>Cover 3 (cable channel)</v>
          </cell>
          <cell r="D29" t="str">
            <v>Abdeckung 3 (Kabelkanal)</v>
          </cell>
          <cell r="F29">
            <v>100000</v>
          </cell>
          <cell r="G29">
            <v>1</v>
          </cell>
          <cell r="H29" t="str">
            <v>ST</v>
          </cell>
          <cell r="I29" t="str">
            <v>n</v>
          </cell>
          <cell r="J29" t="str">
            <v>m3</v>
          </cell>
          <cell r="K29">
            <v>45</v>
          </cell>
          <cell r="L29" t="str">
            <v>ZANKL</v>
          </cell>
          <cell r="M29">
            <v>38061.557754629626</v>
          </cell>
          <cell r="N29">
            <v>38072</v>
          </cell>
          <cell r="O29">
            <v>38061.569594907407</v>
          </cell>
          <cell r="P29" t="str">
            <v>BS_MASCH</v>
          </cell>
          <cell r="S29">
            <v>1</v>
          </cell>
          <cell r="T29">
            <v>5</v>
          </cell>
          <cell r="V29">
            <v>10200149</v>
          </cell>
        </row>
        <row r="30">
          <cell r="B30" t="str">
            <v>00361697-</v>
          </cell>
          <cell r="C30" t="str">
            <v>Cover cable channel 20x275</v>
          </cell>
          <cell r="D30" t="str">
            <v>Kabelkanalabdeckung 20x275</v>
          </cell>
          <cell r="F30">
            <v>100000</v>
          </cell>
          <cell r="G30">
            <v>1</v>
          </cell>
          <cell r="H30" t="str">
            <v>ST</v>
          </cell>
          <cell r="I30" t="str">
            <v>n</v>
          </cell>
          <cell r="J30" t="str">
            <v>m3</v>
          </cell>
          <cell r="K30">
            <v>46</v>
          </cell>
          <cell r="L30" t="str">
            <v>ZANKL</v>
          </cell>
          <cell r="M30">
            <v>37559.446134259262</v>
          </cell>
          <cell r="N30">
            <v>38072</v>
          </cell>
          <cell r="O30">
            <v>37559.515787037039</v>
          </cell>
          <cell r="P30" t="str">
            <v>BS_MASCH</v>
          </cell>
          <cell r="S30">
            <v>2</v>
          </cell>
          <cell r="T30">
            <v>10</v>
          </cell>
          <cell r="V30">
            <v>10200149</v>
          </cell>
        </row>
        <row r="31">
          <cell r="B31" t="str">
            <v>00370326-</v>
          </cell>
          <cell r="C31" t="str">
            <v>Cover cable channel 20x405</v>
          </cell>
          <cell r="D31" t="str">
            <v>Kabelabdeckung 20x405</v>
          </cell>
          <cell r="F31">
            <v>200000</v>
          </cell>
          <cell r="G31">
            <v>2</v>
          </cell>
          <cell r="H31" t="str">
            <v>ST</v>
          </cell>
          <cell r="I31" t="str">
            <v>n</v>
          </cell>
          <cell r="J31" t="str">
            <v>m3</v>
          </cell>
          <cell r="K31">
            <v>49</v>
          </cell>
          <cell r="L31" t="str">
            <v>SCHMIDR</v>
          </cell>
          <cell r="M31">
            <v>38071.517199074071</v>
          </cell>
          <cell r="N31">
            <v>38072</v>
          </cell>
          <cell r="O31">
            <v>38072.597384259258</v>
          </cell>
          <cell r="P31" t="str">
            <v>BS_MASCH</v>
          </cell>
          <cell r="R31">
            <v>400915</v>
          </cell>
          <cell r="S31">
            <v>4</v>
          </cell>
          <cell r="T31">
            <v>20</v>
          </cell>
          <cell r="V31">
            <v>10200149</v>
          </cell>
        </row>
        <row r="32">
          <cell r="B32" t="str">
            <v>00361717-</v>
          </cell>
          <cell r="C32" t="str">
            <v>Cover cable channel 20x90</v>
          </cell>
          <cell r="D32" t="str">
            <v>Kabelkanalabdeckung 20x90</v>
          </cell>
          <cell r="F32">
            <v>200000</v>
          </cell>
          <cell r="G32">
            <v>2</v>
          </cell>
          <cell r="H32" t="str">
            <v>ST</v>
          </cell>
          <cell r="I32" t="str">
            <v>n</v>
          </cell>
          <cell r="J32" t="str">
            <v>m3</v>
          </cell>
          <cell r="K32">
            <v>51</v>
          </cell>
          <cell r="L32" t="str">
            <v>ZANKL</v>
          </cell>
          <cell r="M32">
            <v>37559.437997685185</v>
          </cell>
          <cell r="N32">
            <v>38072</v>
          </cell>
          <cell r="O32">
            <v>37559.512546296297</v>
          </cell>
          <cell r="P32" t="str">
            <v>BS_MASCH</v>
          </cell>
          <cell r="S32">
            <v>4</v>
          </cell>
          <cell r="T32">
            <v>20</v>
          </cell>
          <cell r="V32">
            <v>10200149</v>
          </cell>
        </row>
        <row r="33">
          <cell r="B33" t="str">
            <v>00360808-</v>
          </cell>
          <cell r="C33" t="str">
            <v>Cover cable channel 350x20</v>
          </cell>
          <cell r="D33" t="str">
            <v>Kabelkanalabdeckung 350x20</v>
          </cell>
          <cell r="F33">
            <v>100000</v>
          </cell>
          <cell r="G33">
            <v>1</v>
          </cell>
          <cell r="H33" t="str">
            <v>ST</v>
          </cell>
          <cell r="I33" t="str">
            <v>n</v>
          </cell>
          <cell r="J33" t="str">
            <v>m3</v>
          </cell>
          <cell r="K33">
            <v>54</v>
          </cell>
          <cell r="L33" t="str">
            <v>SCHMIDR</v>
          </cell>
          <cell r="M33">
            <v>38071.517280092594</v>
          </cell>
          <cell r="N33">
            <v>38072</v>
          </cell>
          <cell r="O33">
            <v>38072.601273148146</v>
          </cell>
          <cell r="P33" t="str">
            <v>BS_MASCH</v>
          </cell>
          <cell r="R33">
            <v>400915</v>
          </cell>
          <cell r="S33">
            <v>2</v>
          </cell>
          <cell r="T33">
            <v>10</v>
          </cell>
          <cell r="V33">
            <v>10200149</v>
          </cell>
        </row>
        <row r="34">
          <cell r="B34" t="str">
            <v>00365107-</v>
          </cell>
          <cell r="C34" t="str">
            <v>Cover conversion boards assembly contain</v>
          </cell>
          <cell r="D34" t="str">
            <v>Abdeckung Umsetzplatine Montagewanne</v>
          </cell>
          <cell r="F34">
            <v>100000</v>
          </cell>
          <cell r="G34">
            <v>1</v>
          </cell>
          <cell r="H34" t="str">
            <v>ST</v>
          </cell>
          <cell r="I34" t="str">
            <v>n</v>
          </cell>
          <cell r="J34" t="str">
            <v>m3</v>
          </cell>
          <cell r="K34">
            <v>1</v>
          </cell>
          <cell r="L34" t="str">
            <v>SCHMIDR</v>
          </cell>
          <cell r="M34">
            <v>38071.517141203702</v>
          </cell>
          <cell r="N34">
            <v>38072</v>
          </cell>
          <cell r="O34">
            <v>38072.535914351851</v>
          </cell>
          <cell r="P34" t="str">
            <v>BS_MASCH</v>
          </cell>
          <cell r="R34">
            <v>400915</v>
          </cell>
          <cell r="S34">
            <v>1</v>
          </cell>
          <cell r="T34">
            <v>5</v>
          </cell>
          <cell r="V34">
            <v>10200149</v>
          </cell>
        </row>
        <row r="35">
          <cell r="B35" t="str">
            <v>00365202-</v>
          </cell>
          <cell r="C35" t="str">
            <v>Cover conversion boards side panel</v>
          </cell>
          <cell r="D35" t="str">
            <v>Abdeckung 1 Umsetzplatine Seitenteil</v>
          </cell>
          <cell r="F35">
            <v>100000</v>
          </cell>
          <cell r="G35">
            <v>1</v>
          </cell>
          <cell r="H35" t="str">
            <v>ST</v>
          </cell>
          <cell r="I35" t="str">
            <v>n</v>
          </cell>
          <cell r="J35" t="str">
            <v>m3</v>
          </cell>
          <cell r="K35">
            <v>2</v>
          </cell>
          <cell r="L35" t="str">
            <v>SCHMIDR</v>
          </cell>
          <cell r="M35">
            <v>38071.517141203702</v>
          </cell>
          <cell r="N35">
            <v>38072</v>
          </cell>
          <cell r="O35">
            <v>38072.49181712963</v>
          </cell>
          <cell r="P35" t="str">
            <v>BS_MASCH</v>
          </cell>
          <cell r="R35">
            <v>400915</v>
          </cell>
          <cell r="S35">
            <v>1</v>
          </cell>
          <cell r="T35">
            <v>5</v>
          </cell>
          <cell r="V35">
            <v>10200149</v>
          </cell>
        </row>
        <row r="36">
          <cell r="B36" t="str">
            <v>00375732-</v>
          </cell>
          <cell r="C36" t="str">
            <v>Cover conversion boards side panel</v>
          </cell>
          <cell r="D36" t="str">
            <v>Abdeckung 2 Umsetzplatine Seitenteil</v>
          </cell>
          <cell r="F36">
            <v>100000</v>
          </cell>
          <cell r="G36">
            <v>1</v>
          </cell>
          <cell r="H36" t="str">
            <v>ST</v>
          </cell>
          <cell r="I36" t="str">
            <v>n</v>
          </cell>
          <cell r="J36" t="str">
            <v>m3</v>
          </cell>
          <cell r="K36">
            <v>3</v>
          </cell>
          <cell r="L36" t="str">
            <v>SCHMIDR</v>
          </cell>
          <cell r="M36">
            <v>38071.517141203702</v>
          </cell>
          <cell r="N36">
            <v>38072</v>
          </cell>
          <cell r="O36">
            <v>38072.600648148145</v>
          </cell>
          <cell r="P36" t="str">
            <v>BS_MASCH</v>
          </cell>
          <cell r="R36">
            <v>400915</v>
          </cell>
          <cell r="S36">
            <v>1</v>
          </cell>
          <cell r="T36">
            <v>5</v>
          </cell>
          <cell r="V36">
            <v>10200149</v>
          </cell>
        </row>
        <row r="37">
          <cell r="B37" t="str">
            <v>00370442-</v>
          </cell>
          <cell r="C37" t="str">
            <v>cover sheet</v>
          </cell>
          <cell r="D37" t="str">
            <v>Deckblech</v>
          </cell>
          <cell r="F37">
            <v>300000</v>
          </cell>
          <cell r="G37">
            <v>3</v>
          </cell>
          <cell r="H37" t="str">
            <v>ST</v>
          </cell>
          <cell r="I37" t="str">
            <v>n</v>
          </cell>
          <cell r="J37" t="str">
            <v>m3</v>
          </cell>
          <cell r="K37">
            <v>2</v>
          </cell>
          <cell r="L37" t="str">
            <v>SCHMIDR</v>
          </cell>
          <cell r="M37">
            <v>38071.517187500001</v>
          </cell>
          <cell r="N37">
            <v>38072</v>
          </cell>
          <cell r="O37">
            <v>38072.599594907406</v>
          </cell>
          <cell r="P37" t="str">
            <v>BS_MASCH</v>
          </cell>
          <cell r="R37">
            <v>400915</v>
          </cell>
          <cell r="S37">
            <v>6</v>
          </cell>
          <cell r="T37">
            <v>30</v>
          </cell>
          <cell r="V37">
            <v>10200149</v>
          </cell>
        </row>
        <row r="38">
          <cell r="B38" t="str">
            <v>00358342-</v>
          </cell>
          <cell r="C38" t="str">
            <v>DryLin N Fuehrungssystem Wagen</v>
          </cell>
          <cell r="D38" t="str">
            <v>DryLin N Fuehrungssystem Wagen</v>
          </cell>
          <cell r="F38">
            <v>200000</v>
          </cell>
          <cell r="G38">
            <v>2</v>
          </cell>
          <cell r="H38" t="str">
            <v>ST</v>
          </cell>
          <cell r="J38" t="str">
            <v>m3</v>
          </cell>
          <cell r="K38" t="str">
            <v>X6</v>
          </cell>
          <cell r="L38" t="str">
            <v>RAABEM</v>
          </cell>
          <cell r="M38">
            <v>38100.638703703706</v>
          </cell>
          <cell r="N38">
            <v>38104</v>
          </cell>
          <cell r="O38">
            <v>38103.721990740742</v>
          </cell>
          <cell r="P38" t="str">
            <v>BS_MASCH</v>
          </cell>
          <cell r="R38">
            <v>400996</v>
          </cell>
          <cell r="S38">
            <v>4</v>
          </cell>
          <cell r="T38">
            <v>20</v>
          </cell>
          <cell r="V38">
            <v>10200149</v>
          </cell>
        </row>
        <row r="39">
          <cell r="B39" t="str">
            <v>00369717-</v>
          </cell>
          <cell r="C39" t="str">
            <v>DU-tabe</v>
          </cell>
          <cell r="D39" t="str">
            <v>DU-Streifen</v>
          </cell>
          <cell r="F39">
            <v>800000</v>
          </cell>
          <cell r="G39">
            <v>8</v>
          </cell>
          <cell r="H39" t="str">
            <v>ST</v>
          </cell>
          <cell r="J39" t="str">
            <v>m3</v>
          </cell>
          <cell r="K39" t="str">
            <v>ZU X6</v>
          </cell>
          <cell r="L39" t="str">
            <v>RAABEM</v>
          </cell>
          <cell r="M39">
            <v>38100.638692129629</v>
          </cell>
          <cell r="N39">
            <v>38104</v>
          </cell>
          <cell r="O39">
            <v>38103.722500000003</v>
          </cell>
          <cell r="P39" t="str">
            <v>BS_MASCH</v>
          </cell>
          <cell r="R39">
            <v>400996</v>
          </cell>
          <cell r="S39">
            <v>16</v>
          </cell>
          <cell r="T39">
            <v>80</v>
          </cell>
          <cell r="V39">
            <v>10200149</v>
          </cell>
        </row>
        <row r="40">
          <cell r="B40" t="str">
            <v>00356831-</v>
          </cell>
          <cell r="C40" t="str">
            <v>FIXING STRIP L=591</v>
          </cell>
          <cell r="D40" t="str">
            <v>Fixierband L=591</v>
          </cell>
          <cell r="F40">
            <v>200000</v>
          </cell>
          <cell r="G40">
            <v>2</v>
          </cell>
          <cell r="H40" t="str">
            <v>ST</v>
          </cell>
          <cell r="J40" t="str">
            <v>m3</v>
          </cell>
          <cell r="L40" t="str">
            <v>RAABEM</v>
          </cell>
          <cell r="M40">
            <v>38100.638680555552</v>
          </cell>
          <cell r="N40">
            <v>38104</v>
          </cell>
          <cell r="O40">
            <v>38103.733136574076</v>
          </cell>
          <cell r="P40" t="str">
            <v>BS_MASCH</v>
          </cell>
          <cell r="R40">
            <v>400996</v>
          </cell>
          <cell r="S40">
            <v>2</v>
          </cell>
          <cell r="T40">
            <v>10</v>
          </cell>
          <cell r="V40">
            <v>10200149</v>
          </cell>
        </row>
        <row r="41">
          <cell r="B41" t="str">
            <v>00375332-</v>
          </cell>
          <cell r="C41" t="str">
            <v>Guide rail sensor</v>
          </cell>
          <cell r="D41" t="str">
            <v>Fuehrungsleiste Sensor</v>
          </cell>
          <cell r="F41">
            <v>300000</v>
          </cell>
          <cell r="G41">
            <v>3</v>
          </cell>
          <cell r="H41" t="str">
            <v>ST</v>
          </cell>
          <cell r="I41" t="str">
            <v>n</v>
          </cell>
          <cell r="J41" t="str">
            <v>m3</v>
          </cell>
          <cell r="K41" t="str">
            <v>ZU X12</v>
          </cell>
          <cell r="L41" t="str">
            <v>RAABEM</v>
          </cell>
          <cell r="M41">
            <v>38100.638703703706</v>
          </cell>
          <cell r="N41">
            <v>38103</v>
          </cell>
          <cell r="O41">
            <v>38103.721990740742</v>
          </cell>
          <cell r="P41" t="str">
            <v>BS_MASCH</v>
          </cell>
          <cell r="R41">
            <v>400996</v>
          </cell>
          <cell r="S41">
            <v>3</v>
          </cell>
          <cell r="T41">
            <v>15</v>
          </cell>
          <cell r="V41">
            <v>10200149</v>
          </cell>
        </row>
        <row r="42">
          <cell r="B42" t="str">
            <v>00356858-</v>
          </cell>
          <cell r="C42" t="str">
            <v>Guide shaft</v>
          </cell>
          <cell r="D42" t="str">
            <v>Führungswelle</v>
          </cell>
          <cell r="E42" t="str">
            <v>machining</v>
          </cell>
          <cell r="F42">
            <v>200000</v>
          </cell>
          <cell r="G42">
            <v>2</v>
          </cell>
          <cell r="H42" t="str">
            <v>ST</v>
          </cell>
          <cell r="I42" t="str">
            <v>n</v>
          </cell>
          <cell r="J42" t="str">
            <v>m3</v>
          </cell>
          <cell r="K42" t="str">
            <v>ZU X12</v>
          </cell>
          <cell r="L42" t="str">
            <v>RAABEM</v>
          </cell>
          <cell r="M42">
            <v>38100.638715277775</v>
          </cell>
          <cell r="N42">
            <v>38103</v>
          </cell>
          <cell r="O42">
            <v>38103.72215277778</v>
          </cell>
          <cell r="P42" t="str">
            <v>BS_MASCH</v>
          </cell>
          <cell r="R42">
            <v>400996</v>
          </cell>
          <cell r="S42">
            <v>2</v>
          </cell>
          <cell r="T42">
            <v>10</v>
          </cell>
          <cell r="V42">
            <v>10200149</v>
          </cell>
        </row>
        <row r="43">
          <cell r="B43" t="str">
            <v>00356861-</v>
          </cell>
          <cell r="C43" t="str">
            <v>Guide shaft WA</v>
          </cell>
          <cell r="D43" t="str">
            <v>Fuehrungswelle  W 16j5  Breitenverstellu</v>
          </cell>
          <cell r="E43" t="str">
            <v>machining</v>
          </cell>
          <cell r="F43">
            <v>400000</v>
          </cell>
          <cell r="G43">
            <v>4</v>
          </cell>
          <cell r="H43" t="str">
            <v>ST</v>
          </cell>
          <cell r="I43" t="str">
            <v>n</v>
          </cell>
          <cell r="J43" t="str">
            <v>m3</v>
          </cell>
          <cell r="K43" t="str">
            <v>ZU X12</v>
          </cell>
          <cell r="L43" t="str">
            <v>RAABEM</v>
          </cell>
          <cell r="M43">
            <v>38100.638692129629</v>
          </cell>
          <cell r="N43">
            <v>38103</v>
          </cell>
          <cell r="O43">
            <v>38103.722500000003</v>
          </cell>
          <cell r="P43" t="str">
            <v>BS_MASCH</v>
          </cell>
          <cell r="R43">
            <v>400996</v>
          </cell>
          <cell r="S43">
            <v>4</v>
          </cell>
          <cell r="T43">
            <v>20</v>
          </cell>
          <cell r="V43">
            <v>10200149</v>
          </cell>
        </row>
        <row r="44">
          <cell r="B44" t="str">
            <v>00367289-</v>
          </cell>
          <cell r="C44" t="str">
            <v>Hexagon shaft SW8x536</v>
          </cell>
          <cell r="D44" t="str">
            <v>Sechskantwelle SW8x536</v>
          </cell>
          <cell r="F44">
            <v>500000</v>
          </cell>
          <cell r="G44">
            <v>5</v>
          </cell>
          <cell r="H44" t="str">
            <v>M</v>
          </cell>
          <cell r="J44" t="str">
            <v>m3</v>
          </cell>
          <cell r="L44" t="str">
            <v>RAABEM</v>
          </cell>
          <cell r="M44">
            <v>38100.638668981483</v>
          </cell>
          <cell r="N44">
            <v>38104</v>
          </cell>
          <cell r="O44">
            <v>38104.622858796298</v>
          </cell>
          <cell r="P44" t="str">
            <v>BS_MASCH</v>
          </cell>
          <cell r="R44">
            <v>400996</v>
          </cell>
          <cell r="S44">
            <v>5</v>
          </cell>
          <cell r="T44">
            <v>25</v>
          </cell>
          <cell r="V44">
            <v>10200149</v>
          </cell>
        </row>
        <row r="45">
          <cell r="B45" t="str">
            <v>00370392-</v>
          </cell>
          <cell r="C45" t="str">
            <v>Holder</v>
          </cell>
          <cell r="D45" t="str">
            <v>Halter</v>
          </cell>
          <cell r="F45">
            <v>500000</v>
          </cell>
          <cell r="G45">
            <v>5</v>
          </cell>
          <cell r="H45" t="str">
            <v>ST</v>
          </cell>
          <cell r="J45" t="str">
            <v>m3</v>
          </cell>
          <cell r="K45" t="str">
            <v>ZU X13</v>
          </cell>
          <cell r="L45" t="str">
            <v>RAABEM</v>
          </cell>
          <cell r="M45">
            <v>38100.638692129629</v>
          </cell>
          <cell r="N45">
            <v>38104</v>
          </cell>
          <cell r="O45">
            <v>38103.722500000003</v>
          </cell>
          <cell r="P45" t="str">
            <v>BS_MASCH</v>
          </cell>
          <cell r="R45">
            <v>400996</v>
          </cell>
          <cell r="S45">
            <v>5</v>
          </cell>
          <cell r="T45">
            <v>25</v>
          </cell>
          <cell r="V45">
            <v>10200149</v>
          </cell>
        </row>
        <row r="46">
          <cell r="B46" t="str">
            <v>00369734-</v>
          </cell>
          <cell r="C46" t="str">
            <v>Intermediate plate 1</v>
          </cell>
          <cell r="D46" t="str">
            <v>Zwischenblech 1</v>
          </cell>
          <cell r="F46">
            <v>100000</v>
          </cell>
          <cell r="G46">
            <v>1</v>
          </cell>
          <cell r="H46" t="str">
            <v>ST</v>
          </cell>
          <cell r="J46" t="str">
            <v>m3</v>
          </cell>
          <cell r="K46">
            <v>2</v>
          </cell>
          <cell r="L46" t="str">
            <v>MEISSNER</v>
          </cell>
          <cell r="M46">
            <v>38106.594375000001</v>
          </cell>
          <cell r="N46">
            <v>38106</v>
          </cell>
          <cell r="O46">
            <v>38106.700092592589</v>
          </cell>
          <cell r="P46" t="str">
            <v>BS_MASCH</v>
          </cell>
          <cell r="R46">
            <v>401044</v>
          </cell>
          <cell r="S46">
            <v>2</v>
          </cell>
          <cell r="T46">
            <v>10</v>
          </cell>
          <cell r="V46">
            <v>10200149</v>
          </cell>
        </row>
        <row r="47">
          <cell r="B47" t="str">
            <v>00361831-</v>
          </cell>
          <cell r="C47" t="str">
            <v>Intermediate plate 2 left side</v>
          </cell>
          <cell r="D47" t="str">
            <v>Zwischenblech 2 links</v>
          </cell>
          <cell r="F47">
            <v>100000</v>
          </cell>
          <cell r="G47">
            <v>1</v>
          </cell>
          <cell r="H47" t="str">
            <v>ST</v>
          </cell>
          <cell r="J47" t="str">
            <v>m3</v>
          </cell>
          <cell r="K47">
            <v>4</v>
          </cell>
          <cell r="L47" t="str">
            <v>ZANKL</v>
          </cell>
          <cell r="M47">
            <v>37274.481550925928</v>
          </cell>
          <cell r="N47">
            <v>38106</v>
          </cell>
          <cell r="O47">
            <v>37274.577662037038</v>
          </cell>
          <cell r="P47" t="str">
            <v>BS_MASCH</v>
          </cell>
          <cell r="S47">
            <v>2</v>
          </cell>
          <cell r="T47">
            <v>10</v>
          </cell>
          <cell r="V47">
            <v>10200149</v>
          </cell>
        </row>
        <row r="48">
          <cell r="B48" t="str">
            <v>00363948-</v>
          </cell>
          <cell r="C48" t="str">
            <v>Kabelkanal 3 (65x66x446)</v>
          </cell>
          <cell r="D48" t="str">
            <v>Kabelkanal 3 (65x66x446)</v>
          </cell>
          <cell r="F48">
            <v>100000</v>
          </cell>
          <cell r="G48">
            <v>1</v>
          </cell>
          <cell r="H48" t="str">
            <v>ST</v>
          </cell>
          <cell r="J48" t="str">
            <v>m3</v>
          </cell>
          <cell r="L48" t="str">
            <v>RAABEM</v>
          </cell>
          <cell r="M48">
            <v>38106.594340277778</v>
          </cell>
          <cell r="N48">
            <v>38106</v>
          </cell>
          <cell r="O48">
            <v>38106.69971064815</v>
          </cell>
          <cell r="P48" t="str">
            <v>BS_MASCH</v>
          </cell>
          <cell r="R48">
            <v>401044</v>
          </cell>
          <cell r="S48">
            <v>1</v>
          </cell>
          <cell r="T48">
            <v>5</v>
          </cell>
          <cell r="V48">
            <v>10200149</v>
          </cell>
        </row>
        <row r="49">
          <cell r="B49" t="str">
            <v>00367196-</v>
          </cell>
          <cell r="C49" t="str">
            <v>Limit switch mount</v>
          </cell>
          <cell r="D49" t="str">
            <v>Halter Endschalter</v>
          </cell>
          <cell r="F49">
            <v>100000</v>
          </cell>
          <cell r="G49">
            <v>1</v>
          </cell>
          <cell r="H49" t="str">
            <v>ST</v>
          </cell>
          <cell r="J49" t="str">
            <v>m3</v>
          </cell>
          <cell r="K49">
            <v>9</v>
          </cell>
          <cell r="L49" t="str">
            <v>FICHTNER</v>
          </cell>
          <cell r="M49">
            <v>37322.54310185185</v>
          </cell>
          <cell r="N49">
            <v>38106</v>
          </cell>
          <cell r="O49">
            <v>33675</v>
          </cell>
          <cell r="P49" t="str">
            <v>BS_MASCH</v>
          </cell>
          <cell r="S49">
            <v>1</v>
          </cell>
          <cell r="T49">
            <v>5</v>
          </cell>
          <cell r="V49">
            <v>10200149</v>
          </cell>
        </row>
        <row r="50">
          <cell r="B50" t="str">
            <v>00365002-</v>
          </cell>
          <cell r="C50" t="str">
            <v>Limit switch mounting tub</v>
          </cell>
          <cell r="D50" t="str">
            <v>Endschalter Montagewanne</v>
          </cell>
          <cell r="F50">
            <v>100000</v>
          </cell>
          <cell r="G50">
            <v>1</v>
          </cell>
          <cell r="H50" t="str">
            <v>ST</v>
          </cell>
          <cell r="J50" t="str">
            <v>M3</v>
          </cell>
          <cell r="K50">
            <v>10</v>
          </cell>
          <cell r="M50">
            <v>37439.647986111115</v>
          </cell>
          <cell r="N50">
            <v>38106</v>
          </cell>
          <cell r="O50">
            <v>37439.672731481478</v>
          </cell>
          <cell r="P50" t="str">
            <v>BS_MASCH</v>
          </cell>
          <cell r="S50">
            <v>1</v>
          </cell>
          <cell r="T50">
            <v>5</v>
          </cell>
          <cell r="V50">
            <v>10200149</v>
          </cell>
        </row>
        <row r="51">
          <cell r="B51" t="str">
            <v>00365108-</v>
          </cell>
          <cell r="C51" t="str">
            <v>Limit switch width adjustment 1</v>
          </cell>
          <cell r="D51" t="str">
            <v>Endschalter Breitenverstellung 1</v>
          </cell>
          <cell r="F51">
            <v>100000</v>
          </cell>
          <cell r="G51">
            <v>1</v>
          </cell>
          <cell r="H51" t="str">
            <v>ST</v>
          </cell>
          <cell r="J51" t="str">
            <v>m3</v>
          </cell>
          <cell r="K51">
            <v>1</v>
          </cell>
          <cell r="L51" t="str">
            <v>LITZLBECKA</v>
          </cell>
          <cell r="M51">
            <v>38106.388356481482</v>
          </cell>
          <cell r="N51">
            <v>38106</v>
          </cell>
          <cell r="O51">
            <v>38106.70517361111</v>
          </cell>
          <cell r="P51" t="str">
            <v>BS_MASCH</v>
          </cell>
          <cell r="R51">
            <v>401034</v>
          </cell>
          <cell r="S51">
            <v>1</v>
          </cell>
          <cell r="T51">
            <v>5</v>
          </cell>
          <cell r="V51">
            <v>10200149</v>
          </cell>
        </row>
        <row r="52">
          <cell r="B52" t="str">
            <v>00365109-</v>
          </cell>
          <cell r="C52" t="str">
            <v>Limit switch width adjustment 2</v>
          </cell>
          <cell r="D52" t="str">
            <v>Endschalter Breitenverstellung 2</v>
          </cell>
          <cell r="F52">
            <v>100000</v>
          </cell>
          <cell r="G52">
            <v>1</v>
          </cell>
          <cell r="H52" t="str">
            <v>ST</v>
          </cell>
          <cell r="I52" t="str">
            <v>E</v>
          </cell>
          <cell r="J52" t="str">
            <v>m3</v>
          </cell>
          <cell r="K52">
            <v>2</v>
          </cell>
          <cell r="L52" t="str">
            <v>ZIMMERB</v>
          </cell>
          <cell r="M52">
            <v>37126</v>
          </cell>
          <cell r="N52">
            <v>38104</v>
          </cell>
          <cell r="O52">
            <v>37711.340868055559</v>
          </cell>
          <cell r="P52" t="str">
            <v>BS_MASCH</v>
          </cell>
          <cell r="S52">
            <v>1</v>
          </cell>
          <cell r="T52">
            <v>5</v>
          </cell>
          <cell r="V52">
            <v>10200149</v>
          </cell>
        </row>
        <row r="53">
          <cell r="B53" t="str">
            <v>00356837-</v>
          </cell>
          <cell r="C53" t="str">
            <v>Mount for limit switch</v>
          </cell>
          <cell r="D53" t="str">
            <v>Halter fuer Endschalter</v>
          </cell>
          <cell r="F53">
            <v>200000</v>
          </cell>
          <cell r="G53">
            <v>2</v>
          </cell>
          <cell r="H53" t="str">
            <v>ST</v>
          </cell>
          <cell r="J53" t="str">
            <v>M3</v>
          </cell>
          <cell r="K53">
            <v>41</v>
          </cell>
          <cell r="L53" t="str">
            <v>FICHTNER</v>
          </cell>
          <cell r="M53">
            <v>37354</v>
          </cell>
          <cell r="N53">
            <v>38106</v>
          </cell>
          <cell r="O53">
            <v>37354</v>
          </cell>
          <cell r="P53" t="str">
            <v>BS_MASCH</v>
          </cell>
          <cell r="S53">
            <v>2</v>
          </cell>
          <cell r="T53">
            <v>10</v>
          </cell>
          <cell r="V53">
            <v>10200149</v>
          </cell>
        </row>
        <row r="54">
          <cell r="B54" t="str">
            <v>00375330-</v>
          </cell>
          <cell r="C54" t="str">
            <v>Mounting bracket MS-EX10-1</v>
          </cell>
          <cell r="D54" t="str">
            <v>Halter MS-EX10-1</v>
          </cell>
          <cell r="E54" t="str">
            <v>fabricate</v>
          </cell>
          <cell r="F54">
            <v>500000</v>
          </cell>
          <cell r="G54">
            <v>5</v>
          </cell>
          <cell r="H54" t="str">
            <v>ST</v>
          </cell>
          <cell r="J54" t="str">
            <v>M3</v>
          </cell>
          <cell r="K54">
            <v>42</v>
          </cell>
          <cell r="L54" t="str">
            <v>FICHTNER</v>
          </cell>
          <cell r="M54">
            <v>37439.642152777778</v>
          </cell>
          <cell r="N54">
            <v>38106</v>
          </cell>
          <cell r="O54">
            <v>37439.668576388889</v>
          </cell>
          <cell r="P54" t="str">
            <v>BS_MASCH</v>
          </cell>
          <cell r="S54">
            <v>5</v>
          </cell>
          <cell r="T54">
            <v>25</v>
          </cell>
          <cell r="V54">
            <v>10200149</v>
          </cell>
        </row>
        <row r="55">
          <cell r="B55" t="str">
            <v>00359233-</v>
          </cell>
          <cell r="C55" t="str">
            <v>Side flange 1 cpl.</v>
          </cell>
          <cell r="D55" t="str">
            <v>Wangenflansch 1 kpl.</v>
          </cell>
          <cell r="F55">
            <v>100000</v>
          </cell>
          <cell r="G55">
            <v>1</v>
          </cell>
          <cell r="H55" t="str">
            <v>ST</v>
          </cell>
          <cell r="J55" t="str">
            <v>M3</v>
          </cell>
          <cell r="K55">
            <v>1</v>
          </cell>
          <cell r="L55" t="str">
            <v>ZIMMERB</v>
          </cell>
          <cell r="M55">
            <v>37030</v>
          </cell>
          <cell r="N55">
            <v>38103</v>
          </cell>
          <cell r="O55">
            <v>37030</v>
          </cell>
          <cell r="P55" t="str">
            <v>BS_MASCH</v>
          </cell>
          <cell r="S55">
            <v>2</v>
          </cell>
          <cell r="T55">
            <v>10</v>
          </cell>
          <cell r="V55">
            <v>10200149</v>
          </cell>
        </row>
        <row r="56">
          <cell r="B56" t="str">
            <v>00359234-</v>
          </cell>
          <cell r="C56" t="str">
            <v>Side flange 2 cpl.</v>
          </cell>
          <cell r="D56" t="str">
            <v>Wangenflansch 2 kpl.</v>
          </cell>
          <cell r="F56">
            <v>100000</v>
          </cell>
          <cell r="G56">
            <v>1</v>
          </cell>
          <cell r="H56" t="str">
            <v>ST</v>
          </cell>
          <cell r="I56" t="str">
            <v>E</v>
          </cell>
          <cell r="J56" t="str">
            <v>M3</v>
          </cell>
          <cell r="K56">
            <v>65</v>
          </cell>
          <cell r="L56" t="str">
            <v>ZIMMERB</v>
          </cell>
          <cell r="M56">
            <v>37228</v>
          </cell>
          <cell r="N56">
            <v>38106</v>
          </cell>
          <cell r="O56">
            <v>37711.358090277776</v>
          </cell>
          <cell r="P56" t="str">
            <v>BS_MASCH</v>
          </cell>
          <cell r="S56">
            <v>2</v>
          </cell>
          <cell r="T56">
            <v>10</v>
          </cell>
          <cell r="V56">
            <v>10200149</v>
          </cell>
        </row>
        <row r="57">
          <cell r="B57" t="str">
            <v>00356857-</v>
          </cell>
          <cell r="C57" t="str">
            <v>Spacer for lifting table</v>
          </cell>
          <cell r="D57" t="str">
            <v>Distanzstueck f. Hubtisch</v>
          </cell>
          <cell r="E57" t="str">
            <v>accessories</v>
          </cell>
          <cell r="F57">
            <v>400000</v>
          </cell>
          <cell r="G57">
            <v>4</v>
          </cell>
          <cell r="H57" t="str">
            <v>ST</v>
          </cell>
          <cell r="J57" t="str">
            <v>m3</v>
          </cell>
          <cell r="K57">
            <v>4</v>
          </cell>
          <cell r="L57" t="str">
            <v>MEISSNER</v>
          </cell>
          <cell r="M57">
            <v>38106.594340277778</v>
          </cell>
          <cell r="N57">
            <v>38107</v>
          </cell>
          <cell r="O57">
            <v>38106.699502314812</v>
          </cell>
          <cell r="P57" t="str">
            <v>BS_MASCH</v>
          </cell>
          <cell r="R57">
            <v>401044</v>
          </cell>
          <cell r="S57">
            <v>4</v>
          </cell>
          <cell r="T57">
            <v>20</v>
          </cell>
          <cell r="V57">
            <v>10200149</v>
          </cell>
        </row>
        <row r="58">
          <cell r="B58" t="str">
            <v>00367089-</v>
          </cell>
          <cell r="C58" t="str">
            <v>Stop plate limit switch</v>
          </cell>
          <cell r="D58" t="str">
            <v>Anschlagplatte Endschalter</v>
          </cell>
          <cell r="F58">
            <v>100000</v>
          </cell>
          <cell r="G58">
            <v>1</v>
          </cell>
          <cell r="H58" t="str">
            <v>ST</v>
          </cell>
          <cell r="J58" t="str">
            <v>M3</v>
          </cell>
          <cell r="K58">
            <v>13</v>
          </cell>
          <cell r="L58" t="str">
            <v>SPOERER</v>
          </cell>
          <cell r="M58">
            <v>37274.475590277776</v>
          </cell>
          <cell r="N58">
            <v>38106</v>
          </cell>
          <cell r="O58">
            <v>33675</v>
          </cell>
          <cell r="P58" t="str">
            <v>BS_MASCH</v>
          </cell>
          <cell r="S58">
            <v>1</v>
          </cell>
          <cell r="T58">
            <v>5</v>
          </cell>
          <cell r="V58">
            <v>10200149</v>
          </cell>
        </row>
        <row r="59">
          <cell r="B59" t="str">
            <v>00361866-</v>
          </cell>
          <cell r="C59" t="str">
            <v>Stop rail 1 left side</v>
          </cell>
          <cell r="D59" t="str">
            <v>Anschlagleiste 1 links B</v>
          </cell>
          <cell r="E59" t="str">
            <v>fabricate</v>
          </cell>
          <cell r="F59">
            <v>100000</v>
          </cell>
          <cell r="G59">
            <v>1</v>
          </cell>
          <cell r="S59">
            <v>1</v>
          </cell>
          <cell r="T59">
            <v>5</v>
          </cell>
          <cell r="V59">
            <v>10200149</v>
          </cell>
        </row>
        <row r="60">
          <cell r="B60" t="str">
            <v>00356841-</v>
          </cell>
          <cell r="C60" t="str">
            <v>Toothed belt Brecoflex 12T5/2675</v>
          </cell>
          <cell r="D60" t="str">
            <v>Zahnriemen Brecoflex 12T5/2675</v>
          </cell>
          <cell r="E60" t="str">
            <v>accessories</v>
          </cell>
          <cell r="F60">
            <v>100000</v>
          </cell>
          <cell r="G60">
            <v>1</v>
          </cell>
          <cell r="S60">
            <v>1</v>
          </cell>
          <cell r="T60">
            <v>5</v>
          </cell>
          <cell r="V60">
            <v>10200149</v>
          </cell>
        </row>
        <row r="61">
          <cell r="B61" t="str">
            <v>00360903-</v>
          </cell>
          <cell r="C61" t="str">
            <v>transition piece 1</v>
          </cell>
          <cell r="D61" t="str">
            <v>Übergangsstück 1</v>
          </cell>
          <cell r="E61" t="str">
            <v>plastic</v>
          </cell>
          <cell r="F61">
            <v>400000</v>
          </cell>
          <cell r="G61">
            <v>4</v>
          </cell>
          <cell r="H61" t="str">
            <v>ST</v>
          </cell>
          <cell r="J61" t="str">
            <v>m3</v>
          </cell>
          <cell r="K61" t="str">
            <v>X1</v>
          </cell>
          <cell r="L61" t="str">
            <v>RAABEM</v>
          </cell>
          <cell r="M61">
            <v>38100.638703703706</v>
          </cell>
          <cell r="N61">
            <v>38106</v>
          </cell>
          <cell r="O61">
            <v>38103.721990740742</v>
          </cell>
          <cell r="P61" t="str">
            <v>BS_MASCH</v>
          </cell>
          <cell r="R61">
            <v>400996</v>
          </cell>
          <cell r="S61">
            <v>8</v>
          </cell>
          <cell r="T61">
            <v>40</v>
          </cell>
          <cell r="V61">
            <v>10200149</v>
          </cell>
        </row>
        <row r="62">
          <cell r="B62" t="str">
            <v>00360904-</v>
          </cell>
          <cell r="C62" t="str">
            <v>transition piece 2a</v>
          </cell>
          <cell r="D62" t="str">
            <v>Übergangsstück 2a</v>
          </cell>
          <cell r="E62" t="str">
            <v>plastic</v>
          </cell>
          <cell r="F62">
            <v>200000</v>
          </cell>
          <cell r="G62">
            <v>2</v>
          </cell>
          <cell r="H62" t="str">
            <v>ST</v>
          </cell>
          <cell r="J62" t="str">
            <v>m3</v>
          </cell>
          <cell r="K62" t="str">
            <v>ZU X1</v>
          </cell>
          <cell r="L62" t="str">
            <v>RAABEM</v>
          </cell>
          <cell r="M62">
            <v>38100.638715277775</v>
          </cell>
          <cell r="N62">
            <v>38106</v>
          </cell>
          <cell r="O62">
            <v>38103.72215277778</v>
          </cell>
          <cell r="P62" t="str">
            <v>BS_MASCH</v>
          </cell>
          <cell r="R62">
            <v>400996</v>
          </cell>
          <cell r="S62">
            <v>2</v>
          </cell>
          <cell r="T62">
            <v>10</v>
          </cell>
          <cell r="V62">
            <v>10200149</v>
          </cell>
        </row>
        <row r="63">
          <cell r="B63" t="str">
            <v>00366224-</v>
          </cell>
          <cell r="C63" t="str">
            <v>Transmitter piece 1</v>
          </cell>
          <cell r="D63" t="str">
            <v>Geberstück 1</v>
          </cell>
          <cell r="F63">
            <v>200000</v>
          </cell>
          <cell r="G63">
            <v>2</v>
          </cell>
          <cell r="H63" t="str">
            <v>ST</v>
          </cell>
          <cell r="J63" t="str">
            <v>m3</v>
          </cell>
          <cell r="K63" t="str">
            <v>ZUM KABEL</v>
          </cell>
          <cell r="L63" t="str">
            <v>RAABEM</v>
          </cell>
          <cell r="M63">
            <v>38100.638680555552</v>
          </cell>
          <cell r="N63">
            <v>38106</v>
          </cell>
          <cell r="O63">
            <v>38103.733136574076</v>
          </cell>
          <cell r="P63" t="str">
            <v>BS_MASCH</v>
          </cell>
          <cell r="R63">
            <v>400996</v>
          </cell>
          <cell r="S63">
            <v>2</v>
          </cell>
          <cell r="T63">
            <v>10</v>
          </cell>
          <cell r="V63">
            <v>10200149</v>
          </cell>
        </row>
        <row r="64">
          <cell r="B64" t="str">
            <v>00366225-</v>
          </cell>
          <cell r="C64" t="str">
            <v>Transmitter piece 2</v>
          </cell>
          <cell r="D64" t="str">
            <v>Geberstueck 2</v>
          </cell>
          <cell r="F64">
            <v>200000</v>
          </cell>
          <cell r="G64">
            <v>2</v>
          </cell>
          <cell r="S64">
            <v>2</v>
          </cell>
          <cell r="T64">
            <v>10</v>
          </cell>
          <cell r="V64">
            <v>10200149</v>
          </cell>
        </row>
        <row r="65">
          <cell r="B65" t="str">
            <v>00359425-</v>
          </cell>
          <cell r="C65" t="str">
            <v>Umsetzplatine Transport</v>
          </cell>
          <cell r="D65" t="str">
            <v>Umsetzplatine Transport</v>
          </cell>
          <cell r="F65">
            <v>100000</v>
          </cell>
          <cell r="G65">
            <v>1</v>
          </cell>
          <cell r="H65" t="str">
            <v>ST</v>
          </cell>
          <cell r="I65" t="str">
            <v>E</v>
          </cell>
          <cell r="J65" t="str">
            <v>m3</v>
          </cell>
          <cell r="K65">
            <v>5</v>
          </cell>
          <cell r="L65" t="str">
            <v>MEISSNER</v>
          </cell>
          <cell r="M65">
            <v>38125.666863425926</v>
          </cell>
          <cell r="N65">
            <v>38126</v>
          </cell>
          <cell r="O65">
            <v>38126.589629629627</v>
          </cell>
          <cell r="P65" t="str">
            <v>BS_MASCH</v>
          </cell>
          <cell r="R65">
            <v>401056</v>
          </cell>
          <cell r="S65">
            <v>1</v>
          </cell>
          <cell r="T65">
            <v>5</v>
          </cell>
          <cell r="V65">
            <v>10200149</v>
          </cell>
        </row>
        <row r="66">
          <cell r="B66" t="str">
            <v>00359424-</v>
          </cell>
          <cell r="C66" t="str">
            <v>Umsetzplatine Transportwange</v>
          </cell>
          <cell r="D66" t="str">
            <v>Umsetzplatine Transportwange</v>
          </cell>
          <cell r="E66" t="str">
            <v>electric</v>
          </cell>
          <cell r="F66">
            <v>100000</v>
          </cell>
          <cell r="G66">
            <v>1</v>
          </cell>
          <cell r="H66" t="str">
            <v>ST</v>
          </cell>
          <cell r="J66" t="str">
            <v>M3</v>
          </cell>
          <cell r="K66">
            <v>6</v>
          </cell>
          <cell r="M66">
            <v>37349.60050925926</v>
          </cell>
          <cell r="N66">
            <v>38126</v>
          </cell>
          <cell r="O66">
            <v>38093.581608796296</v>
          </cell>
          <cell r="P66" t="str">
            <v>BS_MASCH</v>
          </cell>
          <cell r="S66">
            <v>2</v>
          </cell>
          <cell r="T66">
            <v>10</v>
          </cell>
          <cell r="V66">
            <v>10200149</v>
          </cell>
        </row>
        <row r="67">
          <cell r="B67" t="str">
            <v>00369731-</v>
          </cell>
          <cell r="C67" t="str">
            <v>washer</v>
          </cell>
          <cell r="D67" t="str">
            <v>Scheibe</v>
          </cell>
          <cell r="E67" t="str">
            <v>accessories</v>
          </cell>
          <cell r="F67">
            <v>1200000</v>
          </cell>
          <cell r="G67">
            <v>12</v>
          </cell>
          <cell r="H67" t="str">
            <v>ST</v>
          </cell>
          <cell r="J67" t="str">
            <v>M3</v>
          </cell>
          <cell r="K67">
            <v>14</v>
          </cell>
          <cell r="M67">
            <v>37336.447465277779</v>
          </cell>
          <cell r="N67">
            <v>38126</v>
          </cell>
          <cell r="O67">
            <v>37336.456134259257</v>
          </cell>
          <cell r="P67" t="str">
            <v>BS_MASCH</v>
          </cell>
          <cell r="S67">
            <v>24</v>
          </cell>
          <cell r="T67">
            <v>120</v>
          </cell>
          <cell r="V67">
            <v>10200149</v>
          </cell>
        </row>
        <row r="68">
          <cell r="B68" t="str">
            <v>00356875-</v>
          </cell>
          <cell r="C68" t="str">
            <v>Width adjustment drive</v>
          </cell>
          <cell r="D68" t="str">
            <v>Antrieb Breitenverstellung</v>
          </cell>
          <cell r="F68">
            <v>100000</v>
          </cell>
          <cell r="G68">
            <v>1</v>
          </cell>
          <cell r="H68" t="str">
            <v>ST</v>
          </cell>
          <cell r="J68" t="str">
            <v>m3</v>
          </cell>
          <cell r="K68">
            <v>17</v>
          </cell>
          <cell r="L68" t="str">
            <v>MEISSNER</v>
          </cell>
          <cell r="M68">
            <v>38125.666828703703</v>
          </cell>
          <cell r="N68">
            <v>38126</v>
          </cell>
          <cell r="O68">
            <v>38126.586909722224</v>
          </cell>
          <cell r="P68" t="str">
            <v>BS_MASCH</v>
          </cell>
          <cell r="R68">
            <v>401056</v>
          </cell>
          <cell r="S68">
            <v>1</v>
          </cell>
          <cell r="T68">
            <v>5</v>
          </cell>
          <cell r="V68">
            <v>10200149</v>
          </cell>
        </row>
        <row r="69">
          <cell r="B69" t="str">
            <v>00355321-</v>
          </cell>
          <cell r="C69" t="str">
            <v>Cable CAN-bus COM2-conveyor control</v>
          </cell>
          <cell r="D69" t="str">
            <v>Kabel CAN-Bus COM2-Transportsteuerung</v>
          </cell>
          <cell r="F69">
            <v>100000</v>
          </cell>
          <cell r="G69">
            <v>1</v>
          </cell>
          <cell r="H69" t="str">
            <v>ST</v>
          </cell>
          <cell r="I69" t="str">
            <v>n</v>
          </cell>
          <cell r="J69" t="str">
            <v>m3</v>
          </cell>
          <cell r="K69">
            <v>12</v>
          </cell>
          <cell r="L69" t="str">
            <v>SCHMIDR</v>
          </cell>
          <cell r="M69">
            <v>38071.517187500001</v>
          </cell>
          <cell r="N69">
            <v>38072</v>
          </cell>
          <cell r="O69">
            <v>38072.599097222221</v>
          </cell>
          <cell r="P69" t="str">
            <v>BS_MASCH</v>
          </cell>
          <cell r="R69">
            <v>400915</v>
          </cell>
          <cell r="S69">
            <v>1</v>
          </cell>
          <cell r="T69">
            <v>5</v>
          </cell>
          <cell r="V69">
            <v>10201965</v>
          </cell>
        </row>
        <row r="70">
          <cell r="B70" t="str">
            <v>00363438-</v>
          </cell>
          <cell r="C70" t="str">
            <v>Cable lifting table proc. area 1 track 1</v>
          </cell>
          <cell r="D70" t="str">
            <v>Kabel Hubtisch Bestückbereich 1 Spur 1</v>
          </cell>
          <cell r="F70">
            <v>100000</v>
          </cell>
          <cell r="G70">
            <v>1</v>
          </cell>
          <cell r="H70" t="str">
            <v>ST</v>
          </cell>
          <cell r="I70" t="str">
            <v>n</v>
          </cell>
          <cell r="J70" t="str">
            <v>m3</v>
          </cell>
          <cell r="K70" t="str">
            <v>ZU X3</v>
          </cell>
          <cell r="L70" t="str">
            <v>RAABEM</v>
          </cell>
          <cell r="M70">
            <v>38100.638692129629</v>
          </cell>
          <cell r="N70">
            <v>38072</v>
          </cell>
          <cell r="O70">
            <v>38103.722500000003</v>
          </cell>
          <cell r="P70" t="str">
            <v>BS_MASCH</v>
          </cell>
          <cell r="R70">
            <v>400996</v>
          </cell>
          <cell r="S70">
            <v>1</v>
          </cell>
          <cell r="T70">
            <v>5</v>
          </cell>
          <cell r="V70">
            <v>10201965</v>
          </cell>
        </row>
        <row r="71">
          <cell r="B71" t="str">
            <v>00363439-</v>
          </cell>
          <cell r="C71" t="str">
            <v>Cable lifting table proc. area 2 track 1</v>
          </cell>
          <cell r="D71" t="str">
            <v>Kabel Hubtisch Bestückbereich 2 Spur 1</v>
          </cell>
          <cell r="F71">
            <v>100000</v>
          </cell>
          <cell r="G71">
            <v>1</v>
          </cell>
          <cell r="H71" t="str">
            <v>ST</v>
          </cell>
          <cell r="I71" t="str">
            <v>n</v>
          </cell>
          <cell r="J71" t="str">
            <v>m3</v>
          </cell>
          <cell r="L71" t="str">
            <v>RAABEM</v>
          </cell>
          <cell r="M71">
            <v>38100.638680555552</v>
          </cell>
          <cell r="N71">
            <v>38072</v>
          </cell>
          <cell r="O71">
            <v>38103.733136574076</v>
          </cell>
          <cell r="P71" t="str">
            <v>BS_MASCH</v>
          </cell>
          <cell r="R71">
            <v>400996</v>
          </cell>
          <cell r="S71">
            <v>1</v>
          </cell>
          <cell r="T71">
            <v>5</v>
          </cell>
          <cell r="V71">
            <v>10201965</v>
          </cell>
        </row>
        <row r="72">
          <cell r="B72" t="str">
            <v>00363667-</v>
          </cell>
          <cell r="C72" t="str">
            <v>Cable PCB conveyor side panel A</v>
          </cell>
          <cell r="D72" t="str">
            <v>Kabel LP-Transport Seitenteil A</v>
          </cell>
          <cell r="F72">
            <v>100000</v>
          </cell>
          <cell r="G72">
            <v>1</v>
          </cell>
          <cell r="H72" t="str">
            <v>ST</v>
          </cell>
          <cell r="I72" t="str">
            <v>y</v>
          </cell>
          <cell r="J72" t="str">
            <v>m3</v>
          </cell>
          <cell r="K72">
            <v>8</v>
          </cell>
          <cell r="L72" t="str">
            <v>RAABEM</v>
          </cell>
          <cell r="M72">
            <v>38071.517175925925</v>
          </cell>
          <cell r="N72">
            <v>38072</v>
          </cell>
          <cell r="O72">
            <v>38072.598761574074</v>
          </cell>
          <cell r="P72" t="str">
            <v>BS_MASCH</v>
          </cell>
          <cell r="R72">
            <v>400915</v>
          </cell>
          <cell r="S72">
            <v>1</v>
          </cell>
          <cell r="T72">
            <v>5</v>
          </cell>
          <cell r="V72">
            <v>10201965</v>
          </cell>
        </row>
        <row r="73">
          <cell r="B73" t="str">
            <v>00363668-</v>
          </cell>
          <cell r="C73" t="str">
            <v>Cable PCB conveyor side panel B</v>
          </cell>
          <cell r="D73" t="str">
            <v>Kabel LP-Transport Seitenteil B</v>
          </cell>
          <cell r="F73">
            <v>100000</v>
          </cell>
          <cell r="G73">
            <v>1</v>
          </cell>
          <cell r="H73" t="str">
            <v>ST</v>
          </cell>
          <cell r="I73" t="str">
            <v>n</v>
          </cell>
          <cell r="J73" t="str">
            <v>m3</v>
          </cell>
          <cell r="L73" t="str">
            <v>RAABEM</v>
          </cell>
          <cell r="M73">
            <v>38071.517083333332</v>
          </cell>
          <cell r="N73">
            <v>38072</v>
          </cell>
          <cell r="O73">
            <v>38072.492048611108</v>
          </cell>
          <cell r="P73" t="str">
            <v>BS_MASCH</v>
          </cell>
          <cell r="R73">
            <v>400915</v>
          </cell>
          <cell r="S73">
            <v>1</v>
          </cell>
          <cell r="T73">
            <v>5</v>
          </cell>
          <cell r="V73">
            <v>10201965</v>
          </cell>
        </row>
        <row r="74">
          <cell r="B74" t="str">
            <v>00353436-</v>
          </cell>
          <cell r="C74" t="str">
            <v>Erdungslitze (HEP-LP-Transport)kompl.neu</v>
          </cell>
          <cell r="D74" t="str">
            <v>Erdungslitze (HEP-LP-Transport)kompl.neu</v>
          </cell>
          <cell r="F74">
            <v>100000</v>
          </cell>
          <cell r="G74">
            <v>1</v>
          </cell>
          <cell r="H74" t="str">
            <v>ST</v>
          </cell>
          <cell r="J74" t="str">
            <v>m3</v>
          </cell>
          <cell r="K74" t="str">
            <v>ZU X7</v>
          </cell>
          <cell r="L74" t="str">
            <v>RAABEM</v>
          </cell>
          <cell r="M74">
            <v>38100.638703703706</v>
          </cell>
          <cell r="N74">
            <v>38104</v>
          </cell>
          <cell r="O74">
            <v>38103.721759259257</v>
          </cell>
          <cell r="P74" t="str">
            <v>BS_MASCH</v>
          </cell>
          <cell r="R74">
            <v>400996</v>
          </cell>
          <cell r="S74">
            <v>1</v>
          </cell>
          <cell r="T74">
            <v>5</v>
          </cell>
          <cell r="V74">
            <v>10201965</v>
          </cell>
        </row>
        <row r="75">
          <cell r="B75" t="str">
            <v>00363090-</v>
          </cell>
          <cell r="C75" t="str">
            <v>LB Receiver module placement belt 1</v>
          </cell>
          <cell r="D75" t="str">
            <v>LS-Empfaengermodul Bestueckband 1</v>
          </cell>
          <cell r="E75" t="str">
            <v>electric</v>
          </cell>
          <cell r="F75">
            <v>100000</v>
          </cell>
          <cell r="G75">
            <v>1</v>
          </cell>
          <cell r="H75" t="str">
            <v>ST</v>
          </cell>
          <cell r="J75" t="str">
            <v>m3</v>
          </cell>
          <cell r="K75">
            <v>6</v>
          </cell>
          <cell r="L75" t="str">
            <v>LITZLBECKA</v>
          </cell>
          <cell r="M75">
            <v>38106.388379629629</v>
          </cell>
          <cell r="N75">
            <v>38106</v>
          </cell>
          <cell r="O75">
            <v>38106.643020833333</v>
          </cell>
          <cell r="P75" t="str">
            <v>BS_MASCH</v>
          </cell>
          <cell r="R75">
            <v>401034</v>
          </cell>
          <cell r="S75">
            <v>1</v>
          </cell>
          <cell r="T75">
            <v>5</v>
          </cell>
          <cell r="V75">
            <v>10201965</v>
          </cell>
        </row>
        <row r="76">
          <cell r="B76" t="str">
            <v>00363091-</v>
          </cell>
          <cell r="C76" t="str">
            <v>LB Receiver module placement belt 2</v>
          </cell>
          <cell r="D76" t="str">
            <v>LS-Empfaengermodul Bestueckband 2</v>
          </cell>
          <cell r="E76" t="str">
            <v>electric</v>
          </cell>
          <cell r="F76">
            <v>100000</v>
          </cell>
          <cell r="G76">
            <v>1</v>
          </cell>
          <cell r="H76" t="str">
            <v>ST</v>
          </cell>
          <cell r="I76" t="str">
            <v>n</v>
          </cell>
          <cell r="J76" t="str">
            <v>m3</v>
          </cell>
          <cell r="L76" t="str">
            <v>MEISSNER</v>
          </cell>
          <cell r="M76">
            <v>38100.638796296298</v>
          </cell>
          <cell r="N76">
            <v>38106</v>
          </cell>
          <cell r="O76">
            <v>38103.732557870368</v>
          </cell>
          <cell r="P76" t="str">
            <v>BS_MASCH</v>
          </cell>
          <cell r="R76">
            <v>400996</v>
          </cell>
          <cell r="S76">
            <v>1</v>
          </cell>
          <cell r="T76">
            <v>5</v>
          </cell>
          <cell r="V76">
            <v>10201965</v>
          </cell>
        </row>
        <row r="77">
          <cell r="B77" t="str">
            <v>00370068-</v>
          </cell>
          <cell r="C77" t="str">
            <v>Light barrier receiver input belt</v>
          </cell>
          <cell r="D77" t="str">
            <v>Lichtschranke Empfaenger  Eingabeband</v>
          </cell>
          <cell r="E77" t="str">
            <v>electric</v>
          </cell>
          <cell r="F77">
            <v>100000</v>
          </cell>
          <cell r="G77">
            <v>1</v>
          </cell>
          <cell r="H77" t="str">
            <v>ST</v>
          </cell>
          <cell r="J77" t="str">
            <v>m3</v>
          </cell>
          <cell r="K77">
            <v>10</v>
          </cell>
          <cell r="L77" t="str">
            <v>LITZLBECKA</v>
          </cell>
          <cell r="M77">
            <v>38106.388379629629</v>
          </cell>
          <cell r="N77">
            <v>38106</v>
          </cell>
          <cell r="O77">
            <v>38106.642812500002</v>
          </cell>
          <cell r="P77" t="str">
            <v>BS_MASCH</v>
          </cell>
          <cell r="R77">
            <v>401034</v>
          </cell>
          <cell r="S77">
            <v>1</v>
          </cell>
          <cell r="T77">
            <v>5</v>
          </cell>
          <cell r="V77">
            <v>10201965</v>
          </cell>
        </row>
        <row r="78">
          <cell r="B78" t="str">
            <v>00370070-</v>
          </cell>
          <cell r="C78" t="str">
            <v>Light barrier receiver intermediate belt</v>
          </cell>
          <cell r="D78" t="str">
            <v>Lichtschranke Empfaenger  Zwischenband</v>
          </cell>
          <cell r="E78" t="str">
            <v>electric</v>
          </cell>
          <cell r="F78">
            <v>100000</v>
          </cell>
          <cell r="G78">
            <v>1</v>
          </cell>
          <cell r="H78" t="str">
            <v>ST</v>
          </cell>
          <cell r="J78" t="str">
            <v>m3</v>
          </cell>
          <cell r="K78">
            <v>11</v>
          </cell>
          <cell r="L78" t="str">
            <v>LITZLBECKA</v>
          </cell>
          <cell r="M78">
            <v>38106.388368055559</v>
          </cell>
          <cell r="N78">
            <v>38106</v>
          </cell>
          <cell r="O78">
            <v>38106.643321759257</v>
          </cell>
          <cell r="P78" t="str">
            <v>BS_MASCH</v>
          </cell>
          <cell r="R78">
            <v>401034</v>
          </cell>
          <cell r="S78">
            <v>1</v>
          </cell>
          <cell r="T78">
            <v>5</v>
          </cell>
          <cell r="V78">
            <v>10201965</v>
          </cell>
        </row>
        <row r="79">
          <cell r="B79" t="str">
            <v>00370072-</v>
          </cell>
          <cell r="C79" t="str">
            <v>Light barrier receiver output belt</v>
          </cell>
          <cell r="D79" t="str">
            <v>Lichtschranke Empfaenger Ausgabeband</v>
          </cell>
          <cell r="E79" t="str">
            <v>electric</v>
          </cell>
          <cell r="F79">
            <v>100000</v>
          </cell>
          <cell r="G79">
            <v>1</v>
          </cell>
          <cell r="H79" t="str">
            <v>ST</v>
          </cell>
          <cell r="J79" t="str">
            <v>m3</v>
          </cell>
          <cell r="K79">
            <v>12</v>
          </cell>
          <cell r="L79" t="str">
            <v>LITZLBECKA</v>
          </cell>
          <cell r="M79">
            <v>38106.388368055559</v>
          </cell>
          <cell r="N79">
            <v>38106</v>
          </cell>
          <cell r="O79">
            <v>38106.643275462964</v>
          </cell>
          <cell r="P79" t="str">
            <v>BS_MASCH</v>
          </cell>
          <cell r="R79">
            <v>401034</v>
          </cell>
          <cell r="S79">
            <v>1</v>
          </cell>
          <cell r="T79">
            <v>5</v>
          </cell>
          <cell r="V79">
            <v>10201965</v>
          </cell>
        </row>
        <row r="80">
          <cell r="B80" t="str">
            <v>00370069-</v>
          </cell>
          <cell r="C80" t="str">
            <v>Light barrier receiver placement belt 1</v>
          </cell>
          <cell r="D80" t="str">
            <v>Lichtschranke Empfaenger Bestueckband 1</v>
          </cell>
          <cell r="E80" t="str">
            <v>electric</v>
          </cell>
          <cell r="F80">
            <v>100000</v>
          </cell>
          <cell r="G80">
            <v>1</v>
          </cell>
          <cell r="H80" t="str">
            <v>ST</v>
          </cell>
          <cell r="J80" t="str">
            <v>m3</v>
          </cell>
          <cell r="K80">
            <v>13</v>
          </cell>
          <cell r="L80" t="str">
            <v>MEISSNER</v>
          </cell>
          <cell r="M80">
            <v>38100.638784722221</v>
          </cell>
          <cell r="N80">
            <v>38106</v>
          </cell>
          <cell r="O80">
            <v>38103.734652777777</v>
          </cell>
          <cell r="P80" t="str">
            <v>BS_MASCH</v>
          </cell>
          <cell r="R80">
            <v>400996</v>
          </cell>
          <cell r="S80">
            <v>1</v>
          </cell>
          <cell r="T80">
            <v>5</v>
          </cell>
          <cell r="V80">
            <v>10201965</v>
          </cell>
        </row>
        <row r="81">
          <cell r="B81" t="str">
            <v>00370071-</v>
          </cell>
          <cell r="C81" t="str">
            <v>Light barrier receiver placement belt 2</v>
          </cell>
          <cell r="D81" t="str">
            <v>Lichtschranke Empfaenger Bestueckband 2</v>
          </cell>
          <cell r="E81" t="str">
            <v>electric</v>
          </cell>
          <cell r="F81">
            <v>100000</v>
          </cell>
          <cell r="G81">
            <v>1</v>
          </cell>
          <cell r="H81" t="str">
            <v>ST</v>
          </cell>
          <cell r="J81" t="str">
            <v>m3</v>
          </cell>
          <cell r="K81">
            <v>16</v>
          </cell>
          <cell r="L81" t="str">
            <v>LITZLBECKA</v>
          </cell>
          <cell r="M81">
            <v>38100.638819444444</v>
          </cell>
          <cell r="N81">
            <v>38104</v>
          </cell>
          <cell r="O81">
            <v>38103.731689814813</v>
          </cell>
          <cell r="P81" t="str">
            <v>BS_MASCH</v>
          </cell>
          <cell r="R81">
            <v>400996</v>
          </cell>
          <cell r="S81">
            <v>1</v>
          </cell>
          <cell r="T81">
            <v>5</v>
          </cell>
          <cell r="V81">
            <v>10201965</v>
          </cell>
        </row>
        <row r="82">
          <cell r="B82" t="str">
            <v>00370063-</v>
          </cell>
          <cell r="C82" t="str">
            <v>Light barrier transm. input belt</v>
          </cell>
          <cell r="D82" t="str">
            <v>Lichtschranke Sender Eingabeband</v>
          </cell>
          <cell r="F82">
            <v>100000</v>
          </cell>
          <cell r="G82">
            <v>1</v>
          </cell>
          <cell r="H82" t="str">
            <v>ST</v>
          </cell>
          <cell r="I82" t="str">
            <v>E</v>
          </cell>
          <cell r="J82" t="str">
            <v>m3</v>
          </cell>
          <cell r="K82">
            <v>2</v>
          </cell>
          <cell r="L82" t="str">
            <v>ZIMMERB</v>
          </cell>
          <cell r="M82">
            <v>37126</v>
          </cell>
          <cell r="N82">
            <v>38104</v>
          </cell>
          <cell r="O82">
            <v>37711.340868055559</v>
          </cell>
          <cell r="P82" t="str">
            <v>BS_MASCH</v>
          </cell>
          <cell r="S82">
            <v>1</v>
          </cell>
          <cell r="T82">
            <v>5</v>
          </cell>
          <cell r="V82">
            <v>10201965</v>
          </cell>
        </row>
        <row r="83">
          <cell r="B83" t="str">
            <v>00370065-</v>
          </cell>
          <cell r="C83" t="str">
            <v>Light barrier transm. intermediate belt</v>
          </cell>
          <cell r="D83" t="str">
            <v>Lichtschranke Sender Zwischenband</v>
          </cell>
          <cell r="F83">
            <v>100000</v>
          </cell>
          <cell r="G83">
            <v>1</v>
          </cell>
          <cell r="H83" t="str">
            <v>ST</v>
          </cell>
          <cell r="J83" t="str">
            <v>m3</v>
          </cell>
          <cell r="K83">
            <v>3</v>
          </cell>
          <cell r="L83" t="str">
            <v>ZIMMERB</v>
          </cell>
          <cell r="M83">
            <v>37126</v>
          </cell>
          <cell r="N83">
            <v>38104</v>
          </cell>
          <cell r="O83">
            <v>37711.34070601852</v>
          </cell>
          <cell r="P83" t="str">
            <v>BS_MASCH</v>
          </cell>
          <cell r="S83">
            <v>1</v>
          </cell>
          <cell r="T83">
            <v>5</v>
          </cell>
          <cell r="V83">
            <v>10201965</v>
          </cell>
        </row>
        <row r="84">
          <cell r="B84" t="str">
            <v>00370067-</v>
          </cell>
          <cell r="C84" t="str">
            <v>Light barrier transm. output belt</v>
          </cell>
          <cell r="D84" t="str">
            <v>Lichtschranke Sender Ausgabeband</v>
          </cell>
          <cell r="F84">
            <v>100000</v>
          </cell>
          <cell r="G84">
            <v>1</v>
          </cell>
          <cell r="H84" t="str">
            <v>ST</v>
          </cell>
          <cell r="I84" t="str">
            <v>E</v>
          </cell>
          <cell r="J84" t="str">
            <v>m3</v>
          </cell>
          <cell r="K84">
            <v>4</v>
          </cell>
          <cell r="L84" t="str">
            <v>LITZLBECKA</v>
          </cell>
          <cell r="M84">
            <v>38100.638865740744</v>
          </cell>
          <cell r="N84">
            <v>38106</v>
          </cell>
          <cell r="O84">
            <v>38103.726226851853</v>
          </cell>
          <cell r="P84" t="str">
            <v>BS_MASCH</v>
          </cell>
          <cell r="R84">
            <v>400996</v>
          </cell>
          <cell r="S84">
            <v>1</v>
          </cell>
          <cell r="T84">
            <v>5</v>
          </cell>
          <cell r="V84">
            <v>10201965</v>
          </cell>
        </row>
        <row r="85">
          <cell r="B85" t="str">
            <v>00370064-</v>
          </cell>
          <cell r="C85" t="str">
            <v>Light barrier transm. placement belt 1</v>
          </cell>
          <cell r="D85" t="str">
            <v>Lichtschranke Sender Bestueckband 1</v>
          </cell>
          <cell r="F85">
            <v>100000</v>
          </cell>
          <cell r="G85">
            <v>1</v>
          </cell>
          <cell r="H85" t="str">
            <v>ST</v>
          </cell>
          <cell r="J85" t="str">
            <v>m3</v>
          </cell>
          <cell r="K85">
            <v>5</v>
          </cell>
          <cell r="L85" t="str">
            <v>LITZLBECKA</v>
          </cell>
          <cell r="M85">
            <v>38100.638773148145</v>
          </cell>
          <cell r="N85">
            <v>38106</v>
          </cell>
          <cell r="O85">
            <v>38104.623726851853</v>
          </cell>
          <cell r="P85" t="str">
            <v>BS_MASCH</v>
          </cell>
          <cell r="R85">
            <v>400996</v>
          </cell>
          <cell r="S85">
            <v>1</v>
          </cell>
          <cell r="T85">
            <v>5</v>
          </cell>
          <cell r="V85">
            <v>10201965</v>
          </cell>
        </row>
        <row r="86">
          <cell r="B86" t="str">
            <v>00370066-</v>
          </cell>
          <cell r="C86" t="str">
            <v>Light barrier transm. placement belt 2</v>
          </cell>
          <cell r="D86" t="str">
            <v>Lichtschranke Sender Bestueckband 2</v>
          </cell>
          <cell r="F86">
            <v>100000</v>
          </cell>
          <cell r="G86">
            <v>1</v>
          </cell>
          <cell r="H86" t="str">
            <v>ST</v>
          </cell>
          <cell r="J86" t="str">
            <v>m3</v>
          </cell>
          <cell r="K86">
            <v>6</v>
          </cell>
          <cell r="L86" t="str">
            <v>LITZLBECKA</v>
          </cell>
          <cell r="M86">
            <v>38100.638773148145</v>
          </cell>
          <cell r="N86">
            <v>38106</v>
          </cell>
          <cell r="O86">
            <v>38104.623900462961</v>
          </cell>
          <cell r="P86" t="str">
            <v>BS_MASCH</v>
          </cell>
          <cell r="R86">
            <v>400996</v>
          </cell>
          <cell r="S86">
            <v>1</v>
          </cell>
          <cell r="T86">
            <v>5</v>
          </cell>
          <cell r="V86">
            <v>10201965</v>
          </cell>
        </row>
        <row r="87">
          <cell r="B87" t="str">
            <v>00363419-</v>
          </cell>
          <cell r="C87" t="str">
            <v>Motor cable conveyor track 1</v>
          </cell>
          <cell r="D87" t="str">
            <v>Motorleitung Transport Spur 1</v>
          </cell>
          <cell r="F87">
            <v>100000</v>
          </cell>
          <cell r="G87">
            <v>1</v>
          </cell>
          <cell r="H87" t="str">
            <v>ST</v>
          </cell>
          <cell r="J87" t="str">
            <v>m3</v>
          </cell>
          <cell r="K87">
            <v>31</v>
          </cell>
          <cell r="L87" t="str">
            <v>LITZLBECKA</v>
          </cell>
          <cell r="M87">
            <v>38100.638877314814</v>
          </cell>
          <cell r="N87">
            <v>38104</v>
          </cell>
          <cell r="O87">
            <v>38103.725983796299</v>
          </cell>
          <cell r="P87" t="str">
            <v>BS_MASCH</v>
          </cell>
          <cell r="R87">
            <v>400996</v>
          </cell>
          <cell r="S87">
            <v>1</v>
          </cell>
          <cell r="T87">
            <v>5</v>
          </cell>
          <cell r="V87">
            <v>10201965</v>
          </cell>
        </row>
        <row r="88">
          <cell r="B88" t="str">
            <v>00362331-</v>
          </cell>
          <cell r="C88" t="str">
            <v>Motor cable input belt</v>
          </cell>
          <cell r="D88" t="str">
            <v>Motorkabel Eingabeband</v>
          </cell>
          <cell r="E88" t="str">
            <v>electric</v>
          </cell>
          <cell r="F88">
            <v>100000</v>
          </cell>
          <cell r="G88">
            <v>1</v>
          </cell>
          <cell r="H88" t="str">
            <v>ST</v>
          </cell>
          <cell r="J88" t="str">
            <v>m3</v>
          </cell>
          <cell r="K88">
            <v>30</v>
          </cell>
          <cell r="L88" t="str">
            <v>LITZLBECKA</v>
          </cell>
          <cell r="M88">
            <v>38100.638749999998</v>
          </cell>
          <cell r="N88">
            <v>38106</v>
          </cell>
          <cell r="O88">
            <v>38104.623391203706</v>
          </cell>
          <cell r="P88" t="str">
            <v>BS_MASCH</v>
          </cell>
          <cell r="R88">
            <v>400996</v>
          </cell>
          <cell r="S88">
            <v>2</v>
          </cell>
          <cell r="T88">
            <v>10</v>
          </cell>
          <cell r="V88">
            <v>10201965</v>
          </cell>
        </row>
        <row r="89">
          <cell r="B89" t="str">
            <v>00362334-</v>
          </cell>
          <cell r="C89" t="str">
            <v>Motor cable intermediate belt</v>
          </cell>
          <cell r="D89" t="str">
            <v>Motorkabel Zwischenband</v>
          </cell>
          <cell r="E89" t="str">
            <v>electric</v>
          </cell>
          <cell r="F89">
            <v>100000</v>
          </cell>
          <cell r="G89">
            <v>1</v>
          </cell>
          <cell r="H89" t="str">
            <v>ST</v>
          </cell>
          <cell r="J89" t="str">
            <v>m3</v>
          </cell>
          <cell r="K89">
            <v>32</v>
          </cell>
          <cell r="L89" t="str">
            <v>RAABEM</v>
          </cell>
          <cell r="M89">
            <v>38100.638692129629</v>
          </cell>
          <cell r="N89">
            <v>38106</v>
          </cell>
          <cell r="O89">
            <v>38103.731516203705</v>
          </cell>
          <cell r="P89" t="str">
            <v>BS_MASCH</v>
          </cell>
          <cell r="R89">
            <v>400996</v>
          </cell>
          <cell r="S89">
            <v>1</v>
          </cell>
          <cell r="T89">
            <v>5</v>
          </cell>
          <cell r="V89">
            <v>10201965</v>
          </cell>
        </row>
        <row r="90">
          <cell r="B90" t="str">
            <v>00362337-</v>
          </cell>
          <cell r="C90" t="str">
            <v>Motor cable output belt</v>
          </cell>
          <cell r="D90" t="str">
            <v>Motorkabel Ausgabeband</v>
          </cell>
          <cell r="E90" t="str">
            <v>electric</v>
          </cell>
          <cell r="F90">
            <v>100000</v>
          </cell>
          <cell r="G90">
            <v>1</v>
          </cell>
          <cell r="H90" t="str">
            <v>ST</v>
          </cell>
          <cell r="J90" t="str">
            <v>m3</v>
          </cell>
          <cell r="K90">
            <v>3</v>
          </cell>
          <cell r="L90" t="str">
            <v>ZIMMERB</v>
          </cell>
          <cell r="M90">
            <v>37126</v>
          </cell>
          <cell r="N90">
            <v>38104</v>
          </cell>
          <cell r="O90">
            <v>37711.34070601852</v>
          </cell>
          <cell r="P90" t="str">
            <v>BS_MASCH</v>
          </cell>
          <cell r="S90">
            <v>2</v>
          </cell>
          <cell r="T90">
            <v>10</v>
          </cell>
          <cell r="V90">
            <v>10201965</v>
          </cell>
        </row>
        <row r="91">
          <cell r="B91" t="str">
            <v>00362332-</v>
          </cell>
          <cell r="C91" t="str">
            <v>Motor cable placement area 1</v>
          </cell>
          <cell r="D91" t="str">
            <v>Motorkabel Bestückbereich 1</v>
          </cell>
          <cell r="E91" t="str">
            <v>electric</v>
          </cell>
          <cell r="F91">
            <v>100000</v>
          </cell>
          <cell r="G91">
            <v>1</v>
          </cell>
          <cell r="H91" t="str">
            <v>ST</v>
          </cell>
          <cell r="J91" t="str">
            <v>m3</v>
          </cell>
          <cell r="K91">
            <v>35</v>
          </cell>
          <cell r="L91" t="str">
            <v>LITZLBECKA</v>
          </cell>
          <cell r="M91">
            <v>38100.638865740744</v>
          </cell>
          <cell r="N91">
            <v>38106</v>
          </cell>
          <cell r="O91">
            <v>38103.726226851853</v>
          </cell>
          <cell r="P91" t="str">
            <v>BS_MASCH</v>
          </cell>
          <cell r="R91">
            <v>400996</v>
          </cell>
          <cell r="S91">
            <v>1</v>
          </cell>
          <cell r="T91">
            <v>5</v>
          </cell>
          <cell r="V91">
            <v>10201965</v>
          </cell>
        </row>
        <row r="92">
          <cell r="B92" t="str">
            <v>00362336-</v>
          </cell>
          <cell r="C92" t="str">
            <v>Motor cable placement area 2</v>
          </cell>
          <cell r="D92" t="str">
            <v>Motorkabel Bestückbereich 2</v>
          </cell>
          <cell r="E92" t="str">
            <v>electric</v>
          </cell>
          <cell r="F92">
            <v>100000</v>
          </cell>
          <cell r="G92">
            <v>1</v>
          </cell>
          <cell r="H92" t="str">
            <v>ST</v>
          </cell>
          <cell r="J92" t="str">
            <v>M3</v>
          </cell>
          <cell r="K92">
            <v>36</v>
          </cell>
          <cell r="M92">
            <v>37322.703020833331</v>
          </cell>
          <cell r="N92">
            <v>38106</v>
          </cell>
          <cell r="O92">
            <v>37334.65834490741</v>
          </cell>
          <cell r="P92" t="str">
            <v>BS_MASCH</v>
          </cell>
          <cell r="S92">
            <v>1</v>
          </cell>
          <cell r="T92">
            <v>5</v>
          </cell>
          <cell r="V92">
            <v>10201965</v>
          </cell>
        </row>
        <row r="93">
          <cell r="B93" t="str">
            <v>00363420-</v>
          </cell>
          <cell r="C93" t="str">
            <v>Sensor cable 1 conveyor track 1</v>
          </cell>
          <cell r="D93" t="str">
            <v>Sensorleitung 1 Transport Spur 1</v>
          </cell>
          <cell r="F93">
            <v>100000</v>
          </cell>
          <cell r="G93">
            <v>1</v>
          </cell>
          <cell r="H93" t="str">
            <v>ST</v>
          </cell>
          <cell r="J93" t="str">
            <v>m3</v>
          </cell>
          <cell r="K93" t="str">
            <v>X13</v>
          </cell>
          <cell r="L93" t="str">
            <v>RAABEM</v>
          </cell>
          <cell r="M93">
            <v>38100.638703703706</v>
          </cell>
          <cell r="N93">
            <v>38104</v>
          </cell>
          <cell r="O93">
            <v>38103.721990740742</v>
          </cell>
          <cell r="P93" t="str">
            <v>BS_MASCH</v>
          </cell>
          <cell r="R93">
            <v>400996</v>
          </cell>
          <cell r="S93">
            <v>1</v>
          </cell>
          <cell r="T93">
            <v>5</v>
          </cell>
          <cell r="V93">
            <v>10201965</v>
          </cell>
        </row>
        <row r="94">
          <cell r="B94" t="str">
            <v>00363431-</v>
          </cell>
          <cell r="C94" t="str">
            <v>Sensor cable 2 conveyor track 1</v>
          </cell>
          <cell r="D94" t="str">
            <v>Sensorleitung 2 Transport Spur 1</v>
          </cell>
          <cell r="F94">
            <v>100000</v>
          </cell>
          <cell r="G94">
            <v>1</v>
          </cell>
          <cell r="H94" t="str">
            <v>ST</v>
          </cell>
          <cell r="J94" t="str">
            <v>m3</v>
          </cell>
          <cell r="K94" t="str">
            <v>ZU X13</v>
          </cell>
          <cell r="L94" t="str">
            <v>RAABEM</v>
          </cell>
          <cell r="M94">
            <v>38100.638715277775</v>
          </cell>
          <cell r="N94">
            <v>38104</v>
          </cell>
          <cell r="O94">
            <v>38103.722326388888</v>
          </cell>
          <cell r="P94" t="str">
            <v>BS_MASCH</v>
          </cell>
          <cell r="R94">
            <v>400996</v>
          </cell>
          <cell r="S94">
            <v>1</v>
          </cell>
          <cell r="T94">
            <v>5</v>
          </cell>
          <cell r="V94">
            <v>10201965</v>
          </cell>
        </row>
        <row r="95">
          <cell r="B95" t="str">
            <v>00363359-</v>
          </cell>
          <cell r="C95" t="str">
            <v>Steuerung komplett LP-Einfachtransport</v>
          </cell>
          <cell r="D95" t="str">
            <v>Steuerung komplett LP-Einfachtransport</v>
          </cell>
          <cell r="F95">
            <v>100000</v>
          </cell>
          <cell r="G95">
            <v>1</v>
          </cell>
          <cell r="H95" t="str">
            <v>ST</v>
          </cell>
          <cell r="I95" t="str">
            <v>E</v>
          </cell>
          <cell r="J95" t="str">
            <v>m3</v>
          </cell>
          <cell r="K95">
            <v>7</v>
          </cell>
          <cell r="L95" t="str">
            <v>MEISSNER</v>
          </cell>
          <cell r="M95">
            <v>38106.594259259262</v>
          </cell>
          <cell r="N95">
            <v>38106</v>
          </cell>
          <cell r="O95">
            <v>38106.699108796296</v>
          </cell>
          <cell r="P95" t="str">
            <v>BS_MASCH</v>
          </cell>
          <cell r="R95">
            <v>401044</v>
          </cell>
          <cell r="S95">
            <v>1</v>
          </cell>
          <cell r="T95">
            <v>5</v>
          </cell>
          <cell r="V95">
            <v>10201965</v>
          </cell>
        </row>
        <row r="96">
          <cell r="B96" t="str">
            <v>00360491-</v>
          </cell>
          <cell r="C96" t="str">
            <v>Base unit 1 transfer conveyor</v>
          </cell>
          <cell r="D96" t="str">
            <v>Grundkoerper 1 Uebergabetransp.</v>
          </cell>
          <cell r="E96" t="str">
            <v>fabricate</v>
          </cell>
          <cell r="F96">
            <v>100000</v>
          </cell>
          <cell r="G96">
            <v>1</v>
          </cell>
          <cell r="H96" t="str">
            <v>ST</v>
          </cell>
          <cell r="I96" t="str">
            <v>n</v>
          </cell>
          <cell r="J96" t="str">
            <v>M3</v>
          </cell>
          <cell r="L96" t="str">
            <v>EISINGER</v>
          </cell>
          <cell r="N96">
            <v>37424</v>
          </cell>
          <cell r="O96">
            <v>33570</v>
          </cell>
          <cell r="P96" t="str">
            <v>BS_MASCH</v>
          </cell>
          <cell r="S96">
            <v>2</v>
          </cell>
          <cell r="T96">
            <v>10</v>
          </cell>
          <cell r="V96" t="str">
            <v>KWY</v>
          </cell>
        </row>
        <row r="97">
          <cell r="B97" t="str">
            <v>00360492-</v>
          </cell>
          <cell r="C97" t="str">
            <v>Base unit 2 transfer conveyor</v>
          </cell>
          <cell r="D97" t="str">
            <v>Grundkoerper 2 Uebergabetransp.</v>
          </cell>
          <cell r="E97" t="str">
            <v>fabricate</v>
          </cell>
          <cell r="F97">
            <v>100000</v>
          </cell>
          <cell r="G97">
            <v>1</v>
          </cell>
          <cell r="H97" t="str">
            <v>ST</v>
          </cell>
          <cell r="J97" t="str">
            <v>M3</v>
          </cell>
          <cell r="K97">
            <v>20</v>
          </cell>
          <cell r="L97" t="str">
            <v>URLADUNG</v>
          </cell>
          <cell r="M97">
            <v>37239.476805555554</v>
          </cell>
          <cell r="N97">
            <v>38121</v>
          </cell>
          <cell r="O97">
            <v>37239.555162037039</v>
          </cell>
          <cell r="P97" t="str">
            <v>BS_MASCH</v>
          </cell>
          <cell r="S97">
            <v>2</v>
          </cell>
          <cell r="T97">
            <v>10</v>
          </cell>
          <cell r="V97" t="str">
            <v>KWY</v>
          </cell>
        </row>
        <row r="98">
          <cell r="B98" t="str">
            <v>00356847-</v>
          </cell>
          <cell r="C98" t="str">
            <v>carriage</v>
          </cell>
          <cell r="D98" t="str">
            <v>Fuehrungswagen</v>
          </cell>
          <cell r="F98">
            <v>200000</v>
          </cell>
          <cell r="G98">
            <v>2</v>
          </cell>
          <cell r="H98" t="str">
            <v>ST</v>
          </cell>
          <cell r="I98" t="str">
            <v>n</v>
          </cell>
          <cell r="J98" t="str">
            <v>m3</v>
          </cell>
          <cell r="K98" t="str">
            <v>ZU X4</v>
          </cell>
          <cell r="L98" t="str">
            <v>RAABEM</v>
          </cell>
          <cell r="M98">
            <v>38100.638703703706</v>
          </cell>
          <cell r="N98">
            <v>38072</v>
          </cell>
          <cell r="O98">
            <v>38103.721990740742</v>
          </cell>
          <cell r="P98" t="str">
            <v>BS_MASCH</v>
          </cell>
          <cell r="R98">
            <v>400996</v>
          </cell>
          <cell r="S98">
            <v>3</v>
          </cell>
          <cell r="T98">
            <v>15</v>
          </cell>
          <cell r="V98" t="str">
            <v>KWY</v>
          </cell>
        </row>
        <row r="99">
          <cell r="B99" t="str">
            <v>00360422-</v>
          </cell>
          <cell r="C99" t="str">
            <v>clamping device</v>
          </cell>
          <cell r="D99" t="str">
            <v>Klemmstück</v>
          </cell>
          <cell r="F99">
            <v>100000</v>
          </cell>
          <cell r="G99">
            <v>1</v>
          </cell>
          <cell r="H99" t="str">
            <v>ST</v>
          </cell>
          <cell r="I99" t="str">
            <v>n</v>
          </cell>
          <cell r="J99" t="str">
            <v>m3</v>
          </cell>
          <cell r="K99">
            <v>14</v>
          </cell>
          <cell r="L99" t="str">
            <v>SCHMIDR</v>
          </cell>
          <cell r="M99">
            <v>38071.517222222225</v>
          </cell>
          <cell r="N99">
            <v>38072</v>
          </cell>
          <cell r="O99">
            <v>38072.597685185188</v>
          </cell>
          <cell r="P99" t="str">
            <v>BS_MASCH</v>
          </cell>
          <cell r="R99">
            <v>400915</v>
          </cell>
          <cell r="S99">
            <v>17</v>
          </cell>
          <cell r="T99">
            <v>85</v>
          </cell>
          <cell r="V99" t="str">
            <v>KWY</v>
          </cell>
        </row>
        <row r="100">
          <cell r="B100" t="str">
            <v>00360719-</v>
          </cell>
          <cell r="C100" t="str">
            <v>CLAMPING RING</v>
          </cell>
          <cell r="D100" t="str">
            <v>Klemmring</v>
          </cell>
          <cell r="F100">
            <v>1000000</v>
          </cell>
          <cell r="G100">
            <v>10</v>
          </cell>
          <cell r="H100" t="str">
            <v>ST</v>
          </cell>
          <cell r="I100" t="str">
            <v>n</v>
          </cell>
          <cell r="J100" t="str">
            <v>m3</v>
          </cell>
          <cell r="K100">
            <v>33</v>
          </cell>
          <cell r="L100" t="str">
            <v>SCHMIDR</v>
          </cell>
          <cell r="M100">
            <v>38071.517210648148</v>
          </cell>
          <cell r="N100">
            <v>38072</v>
          </cell>
          <cell r="O100">
            <v>38072.602060185185</v>
          </cell>
          <cell r="P100" t="str">
            <v>BS_MASCH</v>
          </cell>
          <cell r="R100">
            <v>400915</v>
          </cell>
          <cell r="S100">
            <v>10</v>
          </cell>
          <cell r="T100">
            <v>50</v>
          </cell>
          <cell r="V100" t="str">
            <v>KWY</v>
          </cell>
        </row>
        <row r="101">
          <cell r="B101" t="str">
            <v>00356853-</v>
          </cell>
          <cell r="C101" t="str">
            <v>Guide rail 1 left side</v>
          </cell>
          <cell r="D101" t="str">
            <v>Fuehrungsleiste 1 links</v>
          </cell>
          <cell r="E101" t="str">
            <v>fabricate</v>
          </cell>
          <cell r="F101">
            <v>200000</v>
          </cell>
          <cell r="G101">
            <v>2</v>
          </cell>
          <cell r="H101" t="str">
            <v>ST</v>
          </cell>
          <cell r="J101" t="str">
            <v>m3</v>
          </cell>
          <cell r="L101" t="str">
            <v>RAABEM</v>
          </cell>
          <cell r="M101">
            <v>38100.638680555552</v>
          </cell>
          <cell r="N101">
            <v>38104</v>
          </cell>
          <cell r="O101">
            <v>38103.733136574076</v>
          </cell>
          <cell r="P101" t="str">
            <v>BS_MASCH</v>
          </cell>
          <cell r="R101">
            <v>400996</v>
          </cell>
          <cell r="S101">
            <v>2</v>
          </cell>
          <cell r="T101">
            <v>10</v>
          </cell>
          <cell r="V101" t="str">
            <v>KWY</v>
          </cell>
        </row>
        <row r="102">
          <cell r="B102" t="str">
            <v>00356852-</v>
          </cell>
          <cell r="C102" t="str">
            <v>Guide rail 1 right side</v>
          </cell>
          <cell r="D102" t="str">
            <v>Fuehrungsleiste 1 rechts</v>
          </cell>
          <cell r="E102" t="str">
            <v>fabricate</v>
          </cell>
          <cell r="F102">
            <v>200000</v>
          </cell>
          <cell r="G102">
            <v>2</v>
          </cell>
          <cell r="S102">
            <v>2</v>
          </cell>
          <cell r="T102">
            <v>10</v>
          </cell>
          <cell r="V102" t="str">
            <v>KWY</v>
          </cell>
        </row>
        <row r="103">
          <cell r="B103" t="str">
            <v>00368346-</v>
          </cell>
          <cell r="C103" t="str">
            <v>Guide rail 2 left side</v>
          </cell>
          <cell r="D103" t="str">
            <v>Fuehrungsleiste 2 links</v>
          </cell>
          <cell r="E103" t="str">
            <v>fabricate</v>
          </cell>
          <cell r="F103">
            <v>100000</v>
          </cell>
          <cell r="G103">
            <v>1</v>
          </cell>
          <cell r="H103" t="str">
            <v>ST</v>
          </cell>
          <cell r="I103" t="str">
            <v>E</v>
          </cell>
          <cell r="J103" t="str">
            <v>m3</v>
          </cell>
          <cell r="K103">
            <v>58</v>
          </cell>
          <cell r="L103" t="str">
            <v>RAABEM</v>
          </cell>
          <cell r="M103">
            <v>38100.638819444444</v>
          </cell>
          <cell r="N103">
            <v>38104</v>
          </cell>
          <cell r="O103">
            <v>38103.734409722223</v>
          </cell>
          <cell r="P103" t="str">
            <v>BS_MASCH</v>
          </cell>
          <cell r="R103">
            <v>400996</v>
          </cell>
          <cell r="S103">
            <v>1</v>
          </cell>
          <cell r="T103">
            <v>5</v>
          </cell>
          <cell r="V103" t="str">
            <v>KWY</v>
          </cell>
        </row>
        <row r="104">
          <cell r="B104" t="str">
            <v>00368345-</v>
          </cell>
          <cell r="C104" t="str">
            <v>Guide rail 2 right side 1</v>
          </cell>
          <cell r="D104" t="str">
            <v>Fuehrungsleiste 2 rechts</v>
          </cell>
          <cell r="E104" t="str">
            <v>fabricate</v>
          </cell>
          <cell r="F104">
            <v>100000</v>
          </cell>
          <cell r="G104">
            <v>1</v>
          </cell>
          <cell r="H104" t="str">
            <v>ST</v>
          </cell>
          <cell r="I104" t="str">
            <v>n</v>
          </cell>
          <cell r="J104" t="str">
            <v>m3</v>
          </cell>
          <cell r="K104" t="str">
            <v>ZU X11</v>
          </cell>
          <cell r="L104" t="str">
            <v>RAABEM</v>
          </cell>
          <cell r="M104">
            <v>38100.638703703706</v>
          </cell>
          <cell r="N104">
            <v>38103</v>
          </cell>
          <cell r="O104">
            <v>38103.721990740742</v>
          </cell>
          <cell r="P104" t="str">
            <v>BS_MASCH</v>
          </cell>
          <cell r="R104">
            <v>400996</v>
          </cell>
          <cell r="S104">
            <v>1</v>
          </cell>
          <cell r="T104">
            <v>5</v>
          </cell>
          <cell r="V104" t="str">
            <v>KWY</v>
          </cell>
        </row>
        <row r="105">
          <cell r="B105" t="str">
            <v>00368347-</v>
          </cell>
          <cell r="C105" t="str">
            <v>Guide rail 3 right side</v>
          </cell>
          <cell r="D105" t="str">
            <v>Fuehrungsleiste 3 rechts</v>
          </cell>
          <cell r="E105" t="str">
            <v>fabricate</v>
          </cell>
          <cell r="F105">
            <v>100000</v>
          </cell>
          <cell r="G105">
            <v>1</v>
          </cell>
          <cell r="H105" t="str">
            <v>ST</v>
          </cell>
          <cell r="I105" t="str">
            <v>n</v>
          </cell>
          <cell r="J105" t="str">
            <v>m3</v>
          </cell>
          <cell r="K105" t="str">
            <v>ZU X11</v>
          </cell>
          <cell r="L105" t="str">
            <v>RAABEM</v>
          </cell>
          <cell r="M105">
            <v>38100.638715277775</v>
          </cell>
          <cell r="N105">
            <v>38103</v>
          </cell>
          <cell r="O105">
            <v>38103.722326388888</v>
          </cell>
          <cell r="P105" t="str">
            <v>BS_MASCH</v>
          </cell>
          <cell r="R105">
            <v>400996</v>
          </cell>
          <cell r="S105">
            <v>1</v>
          </cell>
          <cell r="T105">
            <v>5</v>
          </cell>
          <cell r="V105" t="str">
            <v>KWY</v>
          </cell>
        </row>
        <row r="106">
          <cell r="B106" t="str">
            <v>00361797-</v>
          </cell>
          <cell r="C106" t="str">
            <v>Guide rail 4 left side</v>
          </cell>
          <cell r="D106" t="str">
            <v>Fuehrungsleiste 4 links</v>
          </cell>
          <cell r="E106" t="str">
            <v>fabricate</v>
          </cell>
          <cell r="F106">
            <v>100000</v>
          </cell>
          <cell r="G106">
            <v>1</v>
          </cell>
          <cell r="H106" t="str">
            <v>ST</v>
          </cell>
          <cell r="I106" t="str">
            <v>n</v>
          </cell>
          <cell r="J106" t="str">
            <v>m3</v>
          </cell>
          <cell r="K106" t="str">
            <v>ZU X11</v>
          </cell>
          <cell r="L106" t="str">
            <v>RAABEM</v>
          </cell>
          <cell r="M106">
            <v>38100.638715277775</v>
          </cell>
          <cell r="N106">
            <v>38103</v>
          </cell>
          <cell r="O106">
            <v>38103.72215277778</v>
          </cell>
          <cell r="P106" t="str">
            <v>BS_MASCH</v>
          </cell>
          <cell r="R106">
            <v>400996</v>
          </cell>
          <cell r="S106">
            <v>1</v>
          </cell>
          <cell r="T106">
            <v>5</v>
          </cell>
          <cell r="V106" t="str">
            <v>KWY</v>
          </cell>
        </row>
        <row r="107">
          <cell r="B107" t="str">
            <v>00368348-</v>
          </cell>
          <cell r="C107" t="str">
            <v>Guide rail 4 right side</v>
          </cell>
          <cell r="D107" t="str">
            <v>Fuehrungsleiste 4 rechts</v>
          </cell>
          <cell r="E107" t="str">
            <v>fabricate</v>
          </cell>
          <cell r="F107">
            <v>100000</v>
          </cell>
          <cell r="G107">
            <v>1</v>
          </cell>
          <cell r="H107" t="str">
            <v>ST</v>
          </cell>
          <cell r="I107" t="str">
            <v>n</v>
          </cell>
          <cell r="J107" t="str">
            <v>m3</v>
          </cell>
          <cell r="K107" t="str">
            <v>ZU X11</v>
          </cell>
          <cell r="L107" t="str">
            <v>RAABEM</v>
          </cell>
          <cell r="M107">
            <v>38100.638692129629</v>
          </cell>
          <cell r="N107">
            <v>38103</v>
          </cell>
          <cell r="O107">
            <v>38103.722500000003</v>
          </cell>
          <cell r="P107" t="str">
            <v>BS_MASCH</v>
          </cell>
          <cell r="R107">
            <v>400996</v>
          </cell>
          <cell r="S107">
            <v>1</v>
          </cell>
          <cell r="T107">
            <v>5</v>
          </cell>
          <cell r="V107" t="str">
            <v>KWY</v>
          </cell>
        </row>
        <row r="108">
          <cell r="B108" t="str">
            <v>00368350-</v>
          </cell>
          <cell r="C108" t="str">
            <v>Guide rail 5 left side</v>
          </cell>
          <cell r="D108" t="str">
            <v>Fuehrungsleiste 5 links</v>
          </cell>
          <cell r="E108" t="str">
            <v>fabricate</v>
          </cell>
          <cell r="F108">
            <v>100000</v>
          </cell>
          <cell r="G108">
            <v>1</v>
          </cell>
          <cell r="H108" t="str">
            <v>ST</v>
          </cell>
          <cell r="I108" t="str">
            <v>n</v>
          </cell>
          <cell r="J108" t="str">
            <v>m3</v>
          </cell>
          <cell r="L108" t="str">
            <v>RAABEM</v>
          </cell>
          <cell r="M108">
            <v>38100.638680555552</v>
          </cell>
          <cell r="N108">
            <v>38103</v>
          </cell>
          <cell r="O108">
            <v>38103.733136574076</v>
          </cell>
          <cell r="P108" t="str">
            <v>BS_MASCH</v>
          </cell>
          <cell r="R108">
            <v>400996</v>
          </cell>
          <cell r="S108">
            <v>1</v>
          </cell>
          <cell r="T108">
            <v>5</v>
          </cell>
          <cell r="V108" t="str">
            <v>KWY</v>
          </cell>
        </row>
        <row r="109">
          <cell r="B109" t="str">
            <v>00368372-</v>
          </cell>
          <cell r="C109" t="str">
            <v>Guide rail 5 right side</v>
          </cell>
          <cell r="D109" t="str">
            <v>Fuehrungsleiste 5 rechts</v>
          </cell>
          <cell r="E109" t="str">
            <v>fabricate</v>
          </cell>
          <cell r="F109">
            <v>100000</v>
          </cell>
          <cell r="G109">
            <v>1</v>
          </cell>
          <cell r="S109">
            <v>1</v>
          </cell>
          <cell r="T109">
            <v>5</v>
          </cell>
          <cell r="V109" t="str">
            <v>KWY</v>
          </cell>
        </row>
        <row r="110">
          <cell r="B110" t="str">
            <v>00368371-</v>
          </cell>
          <cell r="C110" t="str">
            <v>Guide rail 6 left side</v>
          </cell>
          <cell r="D110" t="str">
            <v>Fuehrungsleiste 6 links</v>
          </cell>
          <cell r="E110" t="str">
            <v>fabricate</v>
          </cell>
          <cell r="F110">
            <v>100000</v>
          </cell>
          <cell r="G110">
            <v>1</v>
          </cell>
          <cell r="H110" t="str">
            <v>ST</v>
          </cell>
          <cell r="I110" t="str">
            <v>E</v>
          </cell>
          <cell r="J110" t="str">
            <v>m3</v>
          </cell>
          <cell r="K110">
            <v>59</v>
          </cell>
          <cell r="L110" t="str">
            <v>RAABEM</v>
          </cell>
          <cell r="M110">
            <v>38100.638819444444</v>
          </cell>
          <cell r="N110">
            <v>38104</v>
          </cell>
          <cell r="O110">
            <v>38103.734212962961</v>
          </cell>
          <cell r="P110" t="str">
            <v>BS_MASCH</v>
          </cell>
          <cell r="R110">
            <v>400996</v>
          </cell>
          <cell r="S110">
            <v>1</v>
          </cell>
          <cell r="T110">
            <v>5</v>
          </cell>
          <cell r="V110" t="str">
            <v>KWY</v>
          </cell>
        </row>
        <row r="111">
          <cell r="B111" t="str">
            <v>00375331-</v>
          </cell>
          <cell r="C111" t="str">
            <v>Guide rail sensor BB</v>
          </cell>
          <cell r="D111" t="str">
            <v>Fuehrungsleiste Sensor BB</v>
          </cell>
          <cell r="F111">
            <v>200000</v>
          </cell>
          <cell r="G111">
            <v>2</v>
          </cell>
          <cell r="H111" t="str">
            <v>ST</v>
          </cell>
          <cell r="I111" t="str">
            <v>n</v>
          </cell>
          <cell r="J111" t="str">
            <v>m3</v>
          </cell>
          <cell r="K111" t="str">
            <v>ZU X12</v>
          </cell>
          <cell r="L111" t="str">
            <v>RAABEM</v>
          </cell>
          <cell r="M111">
            <v>38100.638715277775</v>
          </cell>
          <cell r="N111">
            <v>38103</v>
          </cell>
          <cell r="O111">
            <v>38103.722326388888</v>
          </cell>
          <cell r="P111" t="str">
            <v>BS_MASCH</v>
          </cell>
          <cell r="R111">
            <v>400996</v>
          </cell>
          <cell r="S111">
            <v>2</v>
          </cell>
          <cell r="T111">
            <v>10</v>
          </cell>
          <cell r="V111" t="str">
            <v>KWY</v>
          </cell>
        </row>
        <row r="112">
          <cell r="B112" t="str">
            <v>00361548-</v>
          </cell>
          <cell r="C112" t="str">
            <v>stop</v>
          </cell>
          <cell r="D112" t="str">
            <v>Anschlag</v>
          </cell>
          <cell r="F112">
            <v>400000</v>
          </cell>
          <cell r="G112">
            <v>4</v>
          </cell>
          <cell r="H112" t="str">
            <v>ST</v>
          </cell>
          <cell r="J112" t="str">
            <v>m3</v>
          </cell>
          <cell r="K112">
            <v>11</v>
          </cell>
          <cell r="L112" t="str">
            <v>MEISSNER</v>
          </cell>
          <cell r="M112">
            <v>38106.594259259262</v>
          </cell>
          <cell r="N112">
            <v>38106</v>
          </cell>
          <cell r="O112">
            <v>38106.69908564815</v>
          </cell>
          <cell r="P112" t="str">
            <v>BS_MASCH</v>
          </cell>
          <cell r="R112">
            <v>401044</v>
          </cell>
          <cell r="S112">
            <v>8</v>
          </cell>
          <cell r="T112">
            <v>40</v>
          </cell>
          <cell r="V112" t="str">
            <v>KWY</v>
          </cell>
        </row>
        <row r="113">
          <cell r="B113" t="str">
            <v>00361865-</v>
          </cell>
          <cell r="C113" t="str">
            <v>Stop rail 1 right side</v>
          </cell>
          <cell r="D113" t="str">
            <v>Anschlagsleiste 1 rechts</v>
          </cell>
          <cell r="E113" t="str">
            <v>fabricate</v>
          </cell>
          <cell r="F113">
            <v>100000</v>
          </cell>
          <cell r="G113">
            <v>1</v>
          </cell>
          <cell r="H113" t="str">
            <v>ST</v>
          </cell>
          <cell r="J113" t="str">
            <v>m3</v>
          </cell>
          <cell r="K113">
            <v>8</v>
          </cell>
          <cell r="L113" t="str">
            <v>MEISSNER</v>
          </cell>
          <cell r="M113">
            <v>38106.594421296293</v>
          </cell>
          <cell r="N113">
            <v>38106</v>
          </cell>
          <cell r="O113">
            <v>38106.700555555559</v>
          </cell>
          <cell r="P113" t="str">
            <v>BS_MASCH</v>
          </cell>
          <cell r="R113">
            <v>401044</v>
          </cell>
          <cell r="S113">
            <v>1</v>
          </cell>
          <cell r="T113">
            <v>5</v>
          </cell>
          <cell r="V113" t="str">
            <v>KWY</v>
          </cell>
        </row>
        <row r="114">
          <cell r="B114" t="str">
            <v>00361868-</v>
          </cell>
          <cell r="C114" t="str">
            <v>stop rail 2 left side B</v>
          </cell>
          <cell r="D114" t="str">
            <v>Anschlagleiste 2 links B</v>
          </cell>
          <cell r="E114" t="str">
            <v>fabricate</v>
          </cell>
          <cell r="F114">
            <v>100000</v>
          </cell>
          <cell r="G114">
            <v>1</v>
          </cell>
          <cell r="H114" t="str">
            <v>ST</v>
          </cell>
          <cell r="J114" t="str">
            <v>m3</v>
          </cell>
          <cell r="K114">
            <v>1</v>
          </cell>
          <cell r="L114" t="str">
            <v>MEISSNER</v>
          </cell>
          <cell r="M114">
            <v>38106.594398148147</v>
          </cell>
          <cell r="N114">
            <v>38106</v>
          </cell>
          <cell r="O114">
            <v>38106.700300925928</v>
          </cell>
          <cell r="P114" t="str">
            <v>BS_MASCH</v>
          </cell>
          <cell r="R114">
            <v>401044</v>
          </cell>
          <cell r="S114">
            <v>1</v>
          </cell>
          <cell r="T114">
            <v>5</v>
          </cell>
          <cell r="V114" t="str">
            <v>KWY</v>
          </cell>
        </row>
        <row r="115">
          <cell r="B115" t="str">
            <v>00361867-</v>
          </cell>
          <cell r="C115" t="str">
            <v>Stop rail 2 right side</v>
          </cell>
          <cell r="D115" t="str">
            <v>Anschlagsleiste 2 rechts</v>
          </cell>
          <cell r="E115" t="str">
            <v>fabricate</v>
          </cell>
          <cell r="F115">
            <v>100000</v>
          </cell>
          <cell r="G115">
            <v>1</v>
          </cell>
          <cell r="H115" t="str">
            <v>ST</v>
          </cell>
          <cell r="J115" t="str">
            <v>m3</v>
          </cell>
          <cell r="K115">
            <v>1</v>
          </cell>
          <cell r="L115" t="str">
            <v>MEISSNER</v>
          </cell>
          <cell r="M115">
            <v>38106.594363425924</v>
          </cell>
          <cell r="N115">
            <v>38106</v>
          </cell>
          <cell r="O115">
            <v>38106.699953703705</v>
          </cell>
          <cell r="P115" t="str">
            <v>BS_MASCH</v>
          </cell>
          <cell r="R115">
            <v>401044</v>
          </cell>
          <cell r="S115">
            <v>1</v>
          </cell>
          <cell r="T115">
            <v>5</v>
          </cell>
          <cell r="V115" t="str">
            <v>KWY</v>
          </cell>
        </row>
        <row r="116">
          <cell r="B116" t="str">
            <v>00361869-</v>
          </cell>
          <cell r="C116" t="str">
            <v>Stop rail 3</v>
          </cell>
          <cell r="D116" t="str">
            <v>Anschlagleiste 3</v>
          </cell>
          <cell r="E116" t="str">
            <v>fabricate</v>
          </cell>
          <cell r="F116">
            <v>100000</v>
          </cell>
          <cell r="G116">
            <v>1</v>
          </cell>
          <cell r="H116" t="str">
            <v>ST</v>
          </cell>
          <cell r="I116" t="str">
            <v>E</v>
          </cell>
          <cell r="J116" t="str">
            <v>m3</v>
          </cell>
          <cell r="K116">
            <v>2</v>
          </cell>
          <cell r="L116" t="str">
            <v>MEISSNER</v>
          </cell>
          <cell r="M116">
            <v>38106.594363425924</v>
          </cell>
          <cell r="N116">
            <v>38106</v>
          </cell>
          <cell r="O116">
            <v>38106.699918981481</v>
          </cell>
          <cell r="P116" t="str">
            <v>BS_MASCH</v>
          </cell>
          <cell r="R116">
            <v>401044</v>
          </cell>
          <cell r="S116">
            <v>2</v>
          </cell>
          <cell r="T116">
            <v>10</v>
          </cell>
          <cell r="V116" t="str">
            <v>KWY</v>
          </cell>
        </row>
        <row r="117">
          <cell r="B117" t="str">
            <v>00364726-</v>
          </cell>
          <cell r="C117" t="str">
            <v>Transition piece 4</v>
          </cell>
          <cell r="D117" t="str">
            <v>Uebergangsstueck 4</v>
          </cell>
          <cell r="F117">
            <v>200000</v>
          </cell>
          <cell r="G117">
            <v>2</v>
          </cell>
          <cell r="H117" t="str">
            <v>ST</v>
          </cell>
          <cell r="J117" t="str">
            <v>m3</v>
          </cell>
          <cell r="K117" t="str">
            <v>ZU X1</v>
          </cell>
          <cell r="L117" t="str">
            <v>RAABEM</v>
          </cell>
          <cell r="M117">
            <v>38100.638692129629</v>
          </cell>
          <cell r="N117">
            <v>38106</v>
          </cell>
          <cell r="O117">
            <v>38103.722500000003</v>
          </cell>
          <cell r="P117" t="str">
            <v>BS_MASCH</v>
          </cell>
          <cell r="R117">
            <v>400996</v>
          </cell>
          <cell r="S117">
            <v>2</v>
          </cell>
          <cell r="T117">
            <v>10</v>
          </cell>
          <cell r="V117" t="str">
            <v>KWY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M_Josef"/>
      <sheetName val="BOM_w.Supplier"/>
      <sheetName val="BOM_wo Supplier"/>
      <sheetName val="data (do not use)"/>
      <sheetName val="No dwg"/>
      <sheetName val="Order from Germany"/>
      <sheetName val="China"/>
      <sheetName val="local"/>
      <sheetName val="PR"/>
      <sheetName val="#REF!"/>
      <sheetName val="DEFINITION"/>
      <sheetName val="機構部品ﾘｽﾄ"/>
      <sheetName val="回路部品ﾘｽﾄ"/>
      <sheetName val="DEFINITION1"/>
      <sheetName val="RULE SA05-09"/>
      <sheetName val="_______"/>
      <sheetName val="Key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00362386-</v>
          </cell>
          <cell r="C2" t="str">
            <v>Actuator compl.</v>
          </cell>
          <cell r="D2" t="str">
            <v>Betaetiger kpl.</v>
          </cell>
          <cell r="F2">
            <v>200000</v>
          </cell>
          <cell r="G2">
            <v>2</v>
          </cell>
          <cell r="H2" t="str">
            <v>ST</v>
          </cell>
          <cell r="J2" t="str">
            <v>m3</v>
          </cell>
          <cell r="K2">
            <v>2</v>
          </cell>
          <cell r="L2" t="str">
            <v>LITZLBECKA</v>
          </cell>
          <cell r="M2">
            <v>38121.62940972222</v>
          </cell>
          <cell r="N2">
            <v>38121</v>
          </cell>
          <cell r="O2">
            <v>38121.690162037034</v>
          </cell>
          <cell r="P2" t="str">
            <v>BS_MASCH</v>
          </cell>
          <cell r="R2">
            <v>401045</v>
          </cell>
          <cell r="S2">
            <v>3</v>
          </cell>
          <cell r="T2">
            <v>15</v>
          </cell>
          <cell r="V2">
            <v>10200149</v>
          </cell>
        </row>
        <row r="3">
          <cell r="B3" t="str">
            <v>00359892-</v>
          </cell>
          <cell r="C3" t="str">
            <v>Adjusting unit 1 width adjustment HS</v>
          </cell>
          <cell r="D3" t="str">
            <v>Verstelleinheit 1 Breitenverstellung HS</v>
          </cell>
          <cell r="F3">
            <v>100000</v>
          </cell>
          <cell r="G3">
            <v>1</v>
          </cell>
          <cell r="H3" t="str">
            <v>ST</v>
          </cell>
          <cell r="I3" t="str">
            <v>E</v>
          </cell>
          <cell r="J3" t="str">
            <v>m3</v>
          </cell>
          <cell r="K3">
            <v>7</v>
          </cell>
          <cell r="L3" t="str">
            <v>RAABEM</v>
          </cell>
          <cell r="M3">
            <v>38121.629363425927</v>
          </cell>
          <cell r="N3">
            <v>38121</v>
          </cell>
          <cell r="O3">
            <v>38121.688217592593</v>
          </cell>
          <cell r="P3" t="str">
            <v>BS_MASCH</v>
          </cell>
          <cell r="R3">
            <v>401045</v>
          </cell>
          <cell r="S3">
            <v>1</v>
          </cell>
          <cell r="T3">
            <v>5</v>
          </cell>
          <cell r="V3">
            <v>10200149</v>
          </cell>
        </row>
        <row r="4">
          <cell r="B4" t="str">
            <v>00359893-</v>
          </cell>
          <cell r="C4" t="str">
            <v>Adjusting unit 2 width adjustment HS</v>
          </cell>
          <cell r="D4" t="str">
            <v>Verstelleinheit 2 Breitenverstellung HS</v>
          </cell>
          <cell r="E4" t="str">
            <v>machining</v>
          </cell>
          <cell r="F4">
            <v>100000</v>
          </cell>
          <cell r="G4">
            <v>1</v>
          </cell>
          <cell r="H4" t="str">
            <v>ST</v>
          </cell>
          <cell r="I4" t="str">
            <v>E</v>
          </cell>
          <cell r="J4" t="str">
            <v>m3</v>
          </cell>
          <cell r="L4" t="str">
            <v>RAABEM</v>
          </cell>
          <cell r="M4">
            <v>38121.629259259258</v>
          </cell>
          <cell r="N4">
            <v>38121</v>
          </cell>
          <cell r="O4">
            <v>38121.685358796298</v>
          </cell>
          <cell r="P4" t="str">
            <v>BS_MASCH</v>
          </cell>
          <cell r="R4">
            <v>401045</v>
          </cell>
          <cell r="S4">
            <v>1</v>
          </cell>
          <cell r="T4">
            <v>5</v>
          </cell>
          <cell r="V4">
            <v>10200149</v>
          </cell>
        </row>
        <row r="5">
          <cell r="B5" t="str">
            <v>00365342-</v>
          </cell>
          <cell r="C5" t="str">
            <v>Air distributor compl.</v>
          </cell>
          <cell r="D5" t="str">
            <v>Luftverteiler kpl.</v>
          </cell>
          <cell r="E5" t="str">
            <v>pneumatic</v>
          </cell>
          <cell r="F5">
            <v>100000</v>
          </cell>
          <cell r="G5">
            <v>1</v>
          </cell>
          <cell r="H5" t="str">
            <v>ST</v>
          </cell>
          <cell r="J5" t="str">
            <v>m3</v>
          </cell>
          <cell r="K5" t="str">
            <v>ZU X47</v>
          </cell>
          <cell r="L5" t="str">
            <v>RAABEM</v>
          </cell>
          <cell r="M5">
            <v>38100.638703703706</v>
          </cell>
          <cell r="N5">
            <v>38121</v>
          </cell>
          <cell r="O5">
            <v>38103.721990740742</v>
          </cell>
          <cell r="P5" t="str">
            <v>BS_MASCH</v>
          </cell>
          <cell r="R5">
            <v>400996</v>
          </cell>
          <cell r="S5">
            <v>1</v>
          </cell>
          <cell r="T5">
            <v>5</v>
          </cell>
          <cell r="V5">
            <v>10200149</v>
          </cell>
        </row>
        <row r="6">
          <cell r="B6" t="str">
            <v>00369553-</v>
          </cell>
          <cell r="C6" t="str">
            <v>Base plate 1 left side</v>
          </cell>
          <cell r="D6" t="str">
            <v>Basisblech 1 links</v>
          </cell>
          <cell r="F6">
            <v>100000</v>
          </cell>
          <cell r="G6">
            <v>1</v>
          </cell>
          <cell r="H6" t="str">
            <v>ST</v>
          </cell>
          <cell r="J6" t="str">
            <v>m3</v>
          </cell>
          <cell r="K6">
            <v>15</v>
          </cell>
          <cell r="L6" t="str">
            <v>LITZLBECKA</v>
          </cell>
          <cell r="M6">
            <v>38121.629386574074</v>
          </cell>
          <cell r="N6">
            <v>38121</v>
          </cell>
          <cell r="O6">
            <v>38121.689444444448</v>
          </cell>
          <cell r="P6" t="str">
            <v>BS_MASCH</v>
          </cell>
          <cell r="R6">
            <v>401045</v>
          </cell>
          <cell r="S6">
            <v>1</v>
          </cell>
          <cell r="T6">
            <v>5</v>
          </cell>
          <cell r="V6">
            <v>10200149</v>
          </cell>
        </row>
        <row r="7">
          <cell r="B7" t="str">
            <v>00369551-</v>
          </cell>
          <cell r="C7" t="str">
            <v>base plate 1 right side</v>
          </cell>
          <cell r="D7" t="str">
            <v>Basisblech 1 rechts</v>
          </cell>
          <cell r="E7" t="str">
            <v>fabricate</v>
          </cell>
          <cell r="F7">
            <v>100000</v>
          </cell>
          <cell r="G7">
            <v>1</v>
          </cell>
          <cell r="H7" t="str">
            <v>ST</v>
          </cell>
          <cell r="J7" t="str">
            <v>m3</v>
          </cell>
          <cell r="K7">
            <v>16</v>
          </cell>
          <cell r="L7" t="str">
            <v>LITZLBECKA</v>
          </cell>
          <cell r="M7">
            <v>38121.629467592589</v>
          </cell>
          <cell r="N7">
            <v>38121</v>
          </cell>
          <cell r="O7">
            <v>38121.692175925928</v>
          </cell>
          <cell r="P7" t="str">
            <v>BS_MASCH</v>
          </cell>
          <cell r="R7">
            <v>401045</v>
          </cell>
          <cell r="S7">
            <v>1</v>
          </cell>
          <cell r="T7">
            <v>5</v>
          </cell>
          <cell r="V7">
            <v>10200149</v>
          </cell>
        </row>
        <row r="8">
          <cell r="B8" t="str">
            <v>00369552-</v>
          </cell>
          <cell r="C8" t="str">
            <v>Base plate 2 left side</v>
          </cell>
          <cell r="D8" t="str">
            <v>Basisblech 2 rechts</v>
          </cell>
          <cell r="F8">
            <v>100000</v>
          </cell>
          <cell r="G8">
            <v>1</v>
          </cell>
          <cell r="H8" t="str">
            <v>ST</v>
          </cell>
          <cell r="J8" t="str">
            <v>m3</v>
          </cell>
          <cell r="K8">
            <v>17</v>
          </cell>
          <cell r="L8" t="str">
            <v>LITZLBECKA</v>
          </cell>
          <cell r="M8">
            <v>38121.629432870373</v>
          </cell>
          <cell r="N8">
            <v>38121</v>
          </cell>
          <cell r="O8">
            <v>38121.691250000003</v>
          </cell>
          <cell r="P8" t="str">
            <v>BS_MASCH</v>
          </cell>
          <cell r="R8">
            <v>401045</v>
          </cell>
          <cell r="S8">
            <v>1</v>
          </cell>
          <cell r="T8">
            <v>5</v>
          </cell>
          <cell r="V8">
            <v>10200149</v>
          </cell>
        </row>
        <row r="9">
          <cell r="B9" t="str">
            <v>00369554-</v>
          </cell>
          <cell r="C9" t="str">
            <v>Base plate 2 left side</v>
          </cell>
          <cell r="D9" t="str">
            <v>Basisblech 2 links</v>
          </cell>
          <cell r="F9">
            <v>100000</v>
          </cell>
          <cell r="G9">
            <v>1</v>
          </cell>
          <cell r="H9" t="str">
            <v>ST</v>
          </cell>
          <cell r="J9" t="str">
            <v>m3</v>
          </cell>
          <cell r="K9">
            <v>18</v>
          </cell>
          <cell r="L9" t="str">
            <v>LITZLBECKA</v>
          </cell>
          <cell r="M9">
            <v>38121.629178240742</v>
          </cell>
          <cell r="N9">
            <v>38121</v>
          </cell>
          <cell r="O9">
            <v>38121.683344907404</v>
          </cell>
          <cell r="P9" t="str">
            <v>BS_MASCH</v>
          </cell>
          <cell r="R9">
            <v>401045</v>
          </cell>
          <cell r="S9">
            <v>1</v>
          </cell>
          <cell r="T9">
            <v>5</v>
          </cell>
          <cell r="V9">
            <v>10200149</v>
          </cell>
        </row>
        <row r="10">
          <cell r="B10" t="str">
            <v>00363678-</v>
          </cell>
          <cell r="C10" t="str">
            <v>Bearing flange 1</v>
          </cell>
          <cell r="D10" t="str">
            <v>Lagerflansch 1</v>
          </cell>
          <cell r="E10" t="str">
            <v>bearing</v>
          </cell>
          <cell r="F10">
            <v>200000</v>
          </cell>
          <cell r="G10">
            <v>2</v>
          </cell>
          <cell r="H10" t="str">
            <v>ST</v>
          </cell>
          <cell r="J10" t="str">
            <v>M3</v>
          </cell>
          <cell r="K10">
            <v>28</v>
          </cell>
          <cell r="L10" t="str">
            <v>FICHTNER</v>
          </cell>
          <cell r="M10">
            <v>37245.484942129631</v>
          </cell>
          <cell r="N10">
            <v>38121</v>
          </cell>
          <cell r="O10">
            <v>37439.668576388889</v>
          </cell>
          <cell r="P10" t="str">
            <v>BS_MASCH</v>
          </cell>
          <cell r="S10">
            <v>2</v>
          </cell>
          <cell r="T10">
            <v>10</v>
          </cell>
          <cell r="V10">
            <v>10200149</v>
          </cell>
        </row>
        <row r="11">
          <cell r="B11" t="str">
            <v>00363679-</v>
          </cell>
          <cell r="C11" t="str">
            <v>Bearing flange 2</v>
          </cell>
          <cell r="D11" t="str">
            <v>Lagerflansch 2</v>
          </cell>
          <cell r="E11" t="str">
            <v>bearing</v>
          </cell>
          <cell r="F11">
            <v>200000</v>
          </cell>
          <cell r="G11">
            <v>2</v>
          </cell>
          <cell r="H11" t="str">
            <v>ST</v>
          </cell>
          <cell r="J11" t="str">
            <v>m3</v>
          </cell>
          <cell r="L11" t="str">
            <v>RAABEM</v>
          </cell>
          <cell r="M11">
            <v>38121.629212962966</v>
          </cell>
          <cell r="N11">
            <v>38121</v>
          </cell>
          <cell r="O11">
            <v>38121.684224537035</v>
          </cell>
          <cell r="P11" t="str">
            <v>BS_MASCH</v>
          </cell>
          <cell r="R11">
            <v>401045</v>
          </cell>
          <cell r="S11">
            <v>2</v>
          </cell>
          <cell r="T11">
            <v>10</v>
          </cell>
          <cell r="V11">
            <v>10200149</v>
          </cell>
        </row>
        <row r="12">
          <cell r="B12" t="str">
            <v>00369584-</v>
          </cell>
          <cell r="C12" t="str">
            <v>Belt support  EB + AB compl.</v>
          </cell>
          <cell r="D12" t="str">
            <v>Riemenauflage EB+AB kpl.</v>
          </cell>
          <cell r="F12">
            <v>200000</v>
          </cell>
          <cell r="G12">
            <v>2</v>
          </cell>
          <cell r="H12" t="str">
            <v>ST</v>
          </cell>
          <cell r="J12" t="str">
            <v>m3</v>
          </cell>
          <cell r="K12">
            <v>29</v>
          </cell>
          <cell r="L12" t="str">
            <v>LITZLBECKA</v>
          </cell>
          <cell r="M12">
            <v>38121.629305555558</v>
          </cell>
          <cell r="N12">
            <v>38121</v>
          </cell>
          <cell r="O12">
            <v>38121.686273148145</v>
          </cell>
          <cell r="P12" t="str">
            <v>BS_MASCH</v>
          </cell>
          <cell r="R12">
            <v>401045</v>
          </cell>
          <cell r="S12">
            <v>4</v>
          </cell>
          <cell r="T12">
            <v>20</v>
          </cell>
          <cell r="V12">
            <v>10200149</v>
          </cell>
        </row>
        <row r="13">
          <cell r="B13" t="str">
            <v>00369732-</v>
          </cell>
          <cell r="C13" t="str">
            <v>belt support 1</v>
          </cell>
          <cell r="D13" t="str">
            <v>Riemenauflage 1</v>
          </cell>
          <cell r="F13">
            <v>100000</v>
          </cell>
          <cell r="G13">
            <v>1</v>
          </cell>
          <cell r="H13" t="str">
            <v>ST</v>
          </cell>
          <cell r="J13" t="str">
            <v>m3</v>
          </cell>
          <cell r="K13">
            <v>40</v>
          </cell>
          <cell r="L13" t="str">
            <v>SCHMIDR</v>
          </cell>
          <cell r="M13">
            <v>38121.629340277781</v>
          </cell>
          <cell r="N13">
            <v>38121</v>
          </cell>
          <cell r="O13">
            <v>38121.687835648147</v>
          </cell>
          <cell r="P13" t="str">
            <v>BS_MASCH</v>
          </cell>
          <cell r="R13">
            <v>401045</v>
          </cell>
          <cell r="S13">
            <v>2</v>
          </cell>
          <cell r="T13">
            <v>10</v>
          </cell>
          <cell r="V13">
            <v>10200149</v>
          </cell>
        </row>
        <row r="14">
          <cell r="B14" t="str">
            <v>00369714-</v>
          </cell>
          <cell r="C14" t="str">
            <v>Belt support 2</v>
          </cell>
          <cell r="D14" t="str">
            <v>Riemenauflage 2</v>
          </cell>
          <cell r="F14">
            <v>100000</v>
          </cell>
          <cell r="G14">
            <v>1</v>
          </cell>
          <cell r="S14">
            <v>2</v>
          </cell>
          <cell r="T14">
            <v>10</v>
          </cell>
          <cell r="V14">
            <v>10200149</v>
          </cell>
        </row>
        <row r="15">
          <cell r="B15" t="str">
            <v>00366856-</v>
          </cell>
          <cell r="C15" t="str">
            <v>Belt support intermediate belt</v>
          </cell>
          <cell r="D15" t="str">
            <v>Riemenauflage Zwischenband</v>
          </cell>
          <cell r="F15">
            <v>100000</v>
          </cell>
          <cell r="G15">
            <v>1</v>
          </cell>
          <cell r="H15" t="str">
            <v>ST</v>
          </cell>
          <cell r="J15" t="str">
            <v>m3</v>
          </cell>
          <cell r="K15">
            <v>1</v>
          </cell>
          <cell r="L15" t="str">
            <v>RAABEM</v>
          </cell>
          <cell r="M15">
            <v>38121.629178240742</v>
          </cell>
          <cell r="N15">
            <v>38082</v>
          </cell>
          <cell r="O15">
            <v>38121.683495370373</v>
          </cell>
          <cell r="P15" t="str">
            <v>BS_MASCH</v>
          </cell>
          <cell r="R15">
            <v>401045</v>
          </cell>
          <cell r="S15">
            <v>2</v>
          </cell>
          <cell r="T15">
            <v>10</v>
          </cell>
          <cell r="V15">
            <v>10200149</v>
          </cell>
        </row>
        <row r="16">
          <cell r="B16" t="str">
            <v>00362688-</v>
          </cell>
          <cell r="C16" t="str">
            <v>Board holder</v>
          </cell>
          <cell r="D16" t="str">
            <v>Platinenhalter</v>
          </cell>
          <cell r="F16">
            <v>100000</v>
          </cell>
          <cell r="G16">
            <v>1</v>
          </cell>
          <cell r="H16" t="str">
            <v>ST</v>
          </cell>
          <cell r="I16" t="str">
            <v>n</v>
          </cell>
          <cell r="J16" t="str">
            <v>m3</v>
          </cell>
          <cell r="K16">
            <v>6</v>
          </cell>
          <cell r="L16" t="str">
            <v>SCHMIDR</v>
          </cell>
          <cell r="M16">
            <v>38121.629201388889</v>
          </cell>
          <cell r="N16">
            <v>38121</v>
          </cell>
          <cell r="O16">
            <v>38121.683877314812</v>
          </cell>
          <cell r="P16" t="str">
            <v>BS_MASCH</v>
          </cell>
          <cell r="R16">
            <v>401045</v>
          </cell>
          <cell r="S16">
            <v>2</v>
          </cell>
          <cell r="T16">
            <v>10</v>
          </cell>
          <cell r="V16">
            <v>10200149</v>
          </cell>
        </row>
        <row r="17">
          <cell r="B17" t="str">
            <v>00363946-</v>
          </cell>
          <cell r="C17" t="str">
            <v>Cable channel 1 (65x30x1146)</v>
          </cell>
          <cell r="D17" t="str">
            <v>Kabelkanal 1 (65x30x1146)</v>
          </cell>
          <cell r="F17">
            <v>100000</v>
          </cell>
          <cell r="G17">
            <v>1</v>
          </cell>
          <cell r="H17" t="str">
            <v>ST</v>
          </cell>
          <cell r="I17" t="str">
            <v>n</v>
          </cell>
          <cell r="J17" t="str">
            <v>m3</v>
          </cell>
          <cell r="K17">
            <v>13</v>
          </cell>
          <cell r="L17" t="str">
            <v>SCHMIDR</v>
          </cell>
          <cell r="M17">
            <v>38071.517233796294</v>
          </cell>
          <cell r="N17">
            <v>38072</v>
          </cell>
          <cell r="O17">
            <v>38072.602708333332</v>
          </cell>
          <cell r="P17" t="str">
            <v>BS_MASCH</v>
          </cell>
          <cell r="R17">
            <v>400915</v>
          </cell>
          <cell r="S17">
            <v>1</v>
          </cell>
          <cell r="T17">
            <v>5</v>
          </cell>
          <cell r="V17">
            <v>10200149</v>
          </cell>
        </row>
        <row r="18">
          <cell r="B18" t="str">
            <v>00363947-</v>
          </cell>
          <cell r="C18" t="str">
            <v>Cable channel 2 (65x30x446)</v>
          </cell>
          <cell r="D18" t="str">
            <v>Kabelkanal 2 (65x30x446)</v>
          </cell>
          <cell r="F18">
            <v>100000</v>
          </cell>
          <cell r="G18">
            <v>1</v>
          </cell>
          <cell r="H18" t="str">
            <v>ST</v>
          </cell>
          <cell r="I18" t="str">
            <v>n</v>
          </cell>
          <cell r="J18" t="str">
            <v>M3</v>
          </cell>
          <cell r="K18">
            <v>14</v>
          </cell>
          <cell r="L18" t="str">
            <v>FICHTNER</v>
          </cell>
          <cell r="M18">
            <v>37295.62767361111</v>
          </cell>
          <cell r="N18">
            <v>38072</v>
          </cell>
          <cell r="O18">
            <v>30700</v>
          </cell>
          <cell r="P18" t="str">
            <v>BS_MASCH</v>
          </cell>
          <cell r="S18">
            <v>1</v>
          </cell>
          <cell r="T18">
            <v>5</v>
          </cell>
          <cell r="V18">
            <v>10200149</v>
          </cell>
        </row>
        <row r="19">
          <cell r="B19" t="str">
            <v>00365299-</v>
          </cell>
          <cell r="C19" t="str">
            <v>Cable extension stepping motor</v>
          </cell>
          <cell r="D19" t="str">
            <v>Kabel: Verlängerung Schrittmotor</v>
          </cell>
          <cell r="E19" t="str">
            <v>electric</v>
          </cell>
          <cell r="F19">
            <v>100000</v>
          </cell>
          <cell r="G19">
            <v>1</v>
          </cell>
          <cell r="H19" t="str">
            <v>ST</v>
          </cell>
          <cell r="I19" t="str">
            <v>n</v>
          </cell>
          <cell r="J19" t="str">
            <v>m3</v>
          </cell>
          <cell r="K19" t="str">
            <v>ZU X3</v>
          </cell>
          <cell r="L19" t="str">
            <v>RAABEM</v>
          </cell>
          <cell r="M19">
            <v>38100.638703703706</v>
          </cell>
          <cell r="N19">
            <v>38072</v>
          </cell>
          <cell r="O19">
            <v>38103.721990740742</v>
          </cell>
          <cell r="P19" t="str">
            <v>BS_MASCH</v>
          </cell>
          <cell r="R19">
            <v>400996</v>
          </cell>
          <cell r="S19">
            <v>1</v>
          </cell>
          <cell r="T19">
            <v>5</v>
          </cell>
          <cell r="V19">
            <v>10200149</v>
          </cell>
        </row>
        <row r="20">
          <cell r="B20" t="str">
            <v>00360781-</v>
          </cell>
          <cell r="C20" t="str">
            <v>Cable guide</v>
          </cell>
          <cell r="D20" t="str">
            <v>Kabelführung</v>
          </cell>
          <cell r="F20">
            <v>200000</v>
          </cell>
          <cell r="G20">
            <v>2</v>
          </cell>
          <cell r="H20" t="str">
            <v>ST</v>
          </cell>
          <cell r="I20" t="str">
            <v>n</v>
          </cell>
          <cell r="J20" t="str">
            <v>m3</v>
          </cell>
          <cell r="K20" t="str">
            <v>ZU X3</v>
          </cell>
          <cell r="L20" t="str">
            <v>RAABEM</v>
          </cell>
          <cell r="M20">
            <v>38100.638715277775</v>
          </cell>
          <cell r="N20">
            <v>38072</v>
          </cell>
          <cell r="O20">
            <v>38103.72215277778</v>
          </cell>
          <cell r="P20" t="str">
            <v>BS_MASCH</v>
          </cell>
          <cell r="R20">
            <v>400996</v>
          </cell>
          <cell r="S20">
            <v>2</v>
          </cell>
          <cell r="T20">
            <v>10</v>
          </cell>
          <cell r="V20">
            <v>10200149</v>
          </cell>
        </row>
        <row r="21">
          <cell r="B21" t="str">
            <v>00359217-</v>
          </cell>
          <cell r="C21" t="str">
            <v>Centering plate</v>
          </cell>
          <cell r="D21" t="str">
            <v>Zentrierplatte</v>
          </cell>
          <cell r="E21" t="str">
            <v>machining</v>
          </cell>
          <cell r="F21">
            <v>200000</v>
          </cell>
          <cell r="G21">
            <v>2</v>
          </cell>
          <cell r="H21" t="str">
            <v>ST</v>
          </cell>
          <cell r="I21" t="str">
            <v>n</v>
          </cell>
          <cell r="J21" t="str">
            <v>m3</v>
          </cell>
          <cell r="K21" t="str">
            <v>ZU X4</v>
          </cell>
          <cell r="L21" t="str">
            <v>RAABEM</v>
          </cell>
          <cell r="M21">
            <v>38100.638715277775</v>
          </cell>
          <cell r="N21">
            <v>38072</v>
          </cell>
          <cell r="O21">
            <v>38103.72215277778</v>
          </cell>
          <cell r="P21" t="str">
            <v>BS_MASCH</v>
          </cell>
          <cell r="R21">
            <v>400996</v>
          </cell>
          <cell r="S21">
            <v>2</v>
          </cell>
          <cell r="T21">
            <v>10</v>
          </cell>
          <cell r="V21">
            <v>10200149</v>
          </cell>
        </row>
        <row r="22">
          <cell r="B22" t="str">
            <v>00359083-</v>
          </cell>
          <cell r="C22" t="str">
            <v>Centering sleeve</v>
          </cell>
          <cell r="D22" t="str">
            <v>Zentrierhuelse</v>
          </cell>
          <cell r="E22" t="str">
            <v>machining</v>
          </cell>
          <cell r="F22">
            <v>800000</v>
          </cell>
          <cell r="G22">
            <v>8</v>
          </cell>
          <cell r="H22" t="str">
            <v>ST</v>
          </cell>
          <cell r="I22" t="str">
            <v>n</v>
          </cell>
          <cell r="J22" t="str">
            <v>m3</v>
          </cell>
          <cell r="K22" t="str">
            <v>ZU X4</v>
          </cell>
          <cell r="L22" t="str">
            <v>RAABEM</v>
          </cell>
          <cell r="M22">
            <v>38100.638692129629</v>
          </cell>
          <cell r="N22">
            <v>38072</v>
          </cell>
          <cell r="O22">
            <v>38103.722500000003</v>
          </cell>
          <cell r="P22" t="str">
            <v>BS_MASCH</v>
          </cell>
          <cell r="R22">
            <v>400996</v>
          </cell>
          <cell r="S22">
            <v>8</v>
          </cell>
          <cell r="T22">
            <v>40</v>
          </cell>
          <cell r="V22">
            <v>10200149</v>
          </cell>
        </row>
        <row r="23">
          <cell r="B23" t="str">
            <v>00359151-</v>
          </cell>
          <cell r="C23" t="str">
            <v>Clamp block</v>
          </cell>
          <cell r="D23" t="str">
            <v>Klemmklotz</v>
          </cell>
          <cell r="F23">
            <v>400000</v>
          </cell>
          <cell r="G23">
            <v>4</v>
          </cell>
          <cell r="H23" t="str">
            <v>ST</v>
          </cell>
          <cell r="I23" t="str">
            <v>n</v>
          </cell>
          <cell r="J23" t="str">
            <v>m3</v>
          </cell>
          <cell r="L23" t="str">
            <v>RAABEM</v>
          </cell>
          <cell r="M23">
            <v>38100.638680555552</v>
          </cell>
          <cell r="N23">
            <v>38072</v>
          </cell>
          <cell r="O23">
            <v>38103.733136574076</v>
          </cell>
          <cell r="P23" t="str">
            <v>BS_MASCH</v>
          </cell>
          <cell r="R23">
            <v>400996</v>
          </cell>
          <cell r="S23">
            <v>4</v>
          </cell>
          <cell r="T23">
            <v>20</v>
          </cell>
          <cell r="V23">
            <v>10200149</v>
          </cell>
        </row>
        <row r="24">
          <cell r="B24" t="str">
            <v>00371453-</v>
          </cell>
          <cell r="C24" t="str">
            <v>Clamping angle</v>
          </cell>
          <cell r="D24" t="str">
            <v>Klemmwinkel</v>
          </cell>
          <cell r="F24">
            <v>600000</v>
          </cell>
          <cell r="G24">
            <v>6</v>
          </cell>
          <cell r="H24" t="str">
            <v>ST</v>
          </cell>
          <cell r="I24" t="str">
            <v>n</v>
          </cell>
          <cell r="J24" t="str">
            <v>m3</v>
          </cell>
          <cell r="K24">
            <v>9</v>
          </cell>
          <cell r="L24" t="str">
            <v>SCHMIDR</v>
          </cell>
          <cell r="M24">
            <v>38071.517233796294</v>
          </cell>
          <cell r="N24">
            <v>38072</v>
          </cell>
          <cell r="O24">
            <v>38072.59784722222</v>
          </cell>
          <cell r="P24" t="str">
            <v>BS_MASCH</v>
          </cell>
          <cell r="R24">
            <v>400915</v>
          </cell>
          <cell r="S24">
            <v>6</v>
          </cell>
          <cell r="T24">
            <v>30</v>
          </cell>
          <cell r="V24">
            <v>10200149</v>
          </cell>
        </row>
        <row r="25">
          <cell r="B25" t="str">
            <v>00356854-</v>
          </cell>
          <cell r="C25" t="str">
            <v>cover</v>
          </cell>
          <cell r="D25" t="str">
            <v>Abdeckung</v>
          </cell>
          <cell r="F25">
            <v>100000</v>
          </cell>
          <cell r="G25">
            <v>1</v>
          </cell>
          <cell r="H25" t="str">
            <v>ST</v>
          </cell>
          <cell r="I25" t="str">
            <v>n</v>
          </cell>
          <cell r="J25" t="str">
            <v>M3</v>
          </cell>
          <cell r="K25">
            <v>37</v>
          </cell>
          <cell r="L25" t="str">
            <v>EISINGER</v>
          </cell>
          <cell r="M25">
            <v>37334</v>
          </cell>
          <cell r="N25">
            <v>38072</v>
          </cell>
          <cell r="O25">
            <v>37334</v>
          </cell>
          <cell r="P25" t="str">
            <v>BS_MASCH</v>
          </cell>
          <cell r="S25">
            <v>2</v>
          </cell>
          <cell r="T25">
            <v>10</v>
          </cell>
          <cell r="V25">
            <v>10200149</v>
          </cell>
        </row>
        <row r="26">
          <cell r="B26" t="str">
            <v>00356856-</v>
          </cell>
          <cell r="C26" t="str">
            <v>cover</v>
          </cell>
          <cell r="D26" t="str">
            <v>Fuehrungsdeckel</v>
          </cell>
          <cell r="F26">
            <v>400000</v>
          </cell>
          <cell r="G26">
            <v>4</v>
          </cell>
          <cell r="H26" t="str">
            <v>ST</v>
          </cell>
          <cell r="I26" t="str">
            <v>n</v>
          </cell>
          <cell r="J26" t="str">
            <v>M3</v>
          </cell>
          <cell r="K26">
            <v>39</v>
          </cell>
          <cell r="L26" t="str">
            <v>FICHTNER</v>
          </cell>
          <cell r="M26">
            <v>36797</v>
          </cell>
          <cell r="N26">
            <v>38072</v>
          </cell>
          <cell r="O26">
            <v>37708.535104166665</v>
          </cell>
          <cell r="P26" t="str">
            <v>BS_MASCH</v>
          </cell>
          <cell r="S26">
            <v>8</v>
          </cell>
          <cell r="T26">
            <v>40</v>
          </cell>
          <cell r="V26">
            <v>10200149</v>
          </cell>
        </row>
        <row r="27">
          <cell r="B27" t="str">
            <v>00365110-</v>
          </cell>
          <cell r="C27" t="str">
            <v>Cover 1 (cable channel)</v>
          </cell>
          <cell r="D27" t="str">
            <v>Abdeckung 1 (Kabelkanal)</v>
          </cell>
          <cell r="F27">
            <v>100000</v>
          </cell>
          <cell r="G27">
            <v>1</v>
          </cell>
          <cell r="H27" t="str">
            <v>ST</v>
          </cell>
          <cell r="I27" t="str">
            <v>n</v>
          </cell>
          <cell r="J27" t="str">
            <v>m3</v>
          </cell>
          <cell r="K27">
            <v>42</v>
          </cell>
          <cell r="L27" t="str">
            <v>ZANKL</v>
          </cell>
          <cell r="M27">
            <v>38061.557766203703</v>
          </cell>
          <cell r="N27">
            <v>38072</v>
          </cell>
          <cell r="O27">
            <v>38061.569849537038</v>
          </cell>
          <cell r="P27" t="str">
            <v>BS_MASCH</v>
          </cell>
          <cell r="S27">
            <v>1</v>
          </cell>
          <cell r="T27">
            <v>5</v>
          </cell>
          <cell r="V27">
            <v>10200149</v>
          </cell>
        </row>
        <row r="28">
          <cell r="B28" t="str">
            <v>00365201-</v>
          </cell>
          <cell r="C28" t="str">
            <v>Cover 2 (cable channel)</v>
          </cell>
          <cell r="D28" t="str">
            <v>Abdeckung 2 (Kabelkanal)</v>
          </cell>
          <cell r="F28">
            <v>100000</v>
          </cell>
          <cell r="G28">
            <v>1</v>
          </cell>
          <cell r="H28" t="str">
            <v>ST</v>
          </cell>
          <cell r="I28" t="str">
            <v>n</v>
          </cell>
          <cell r="J28" t="str">
            <v>m3</v>
          </cell>
          <cell r="K28">
            <v>43</v>
          </cell>
          <cell r="L28" t="str">
            <v>SCHMIDR</v>
          </cell>
          <cell r="M28">
            <v>38071.517210648148</v>
          </cell>
          <cell r="N28">
            <v>38072</v>
          </cell>
          <cell r="O28">
            <v>38072.601886574077</v>
          </cell>
          <cell r="P28" t="str">
            <v>BS_MASCH</v>
          </cell>
          <cell r="R28">
            <v>400915</v>
          </cell>
          <cell r="S28">
            <v>1</v>
          </cell>
          <cell r="T28">
            <v>5</v>
          </cell>
          <cell r="V28">
            <v>10200149</v>
          </cell>
        </row>
        <row r="29">
          <cell r="B29" t="str">
            <v>00365221-</v>
          </cell>
          <cell r="C29" t="str">
            <v>Cover 3 (cable channel)</v>
          </cell>
          <cell r="D29" t="str">
            <v>Abdeckung 3 (Kabelkanal)</v>
          </cell>
          <cell r="F29">
            <v>100000</v>
          </cell>
          <cell r="G29">
            <v>1</v>
          </cell>
          <cell r="H29" t="str">
            <v>ST</v>
          </cell>
          <cell r="I29" t="str">
            <v>n</v>
          </cell>
          <cell r="J29" t="str">
            <v>m3</v>
          </cell>
          <cell r="K29">
            <v>45</v>
          </cell>
          <cell r="L29" t="str">
            <v>ZANKL</v>
          </cell>
          <cell r="M29">
            <v>38061.557754629626</v>
          </cell>
          <cell r="N29">
            <v>38072</v>
          </cell>
          <cell r="O29">
            <v>38061.569594907407</v>
          </cell>
          <cell r="P29" t="str">
            <v>BS_MASCH</v>
          </cell>
          <cell r="S29">
            <v>1</v>
          </cell>
          <cell r="T29">
            <v>5</v>
          </cell>
          <cell r="V29">
            <v>10200149</v>
          </cell>
        </row>
        <row r="30">
          <cell r="B30" t="str">
            <v>00361697-</v>
          </cell>
          <cell r="C30" t="str">
            <v>Cover cable channel 20x275</v>
          </cell>
          <cell r="D30" t="str">
            <v>Kabelkanalabdeckung 20x275</v>
          </cell>
          <cell r="F30">
            <v>100000</v>
          </cell>
          <cell r="G30">
            <v>1</v>
          </cell>
          <cell r="H30" t="str">
            <v>ST</v>
          </cell>
          <cell r="I30" t="str">
            <v>n</v>
          </cell>
          <cell r="J30" t="str">
            <v>m3</v>
          </cell>
          <cell r="K30">
            <v>46</v>
          </cell>
          <cell r="L30" t="str">
            <v>ZANKL</v>
          </cell>
          <cell r="M30">
            <v>37559.446134259262</v>
          </cell>
          <cell r="N30">
            <v>38072</v>
          </cell>
          <cell r="O30">
            <v>37559.515787037039</v>
          </cell>
          <cell r="P30" t="str">
            <v>BS_MASCH</v>
          </cell>
          <cell r="S30">
            <v>2</v>
          </cell>
          <cell r="T30">
            <v>10</v>
          </cell>
          <cell r="V30">
            <v>10200149</v>
          </cell>
        </row>
        <row r="31">
          <cell r="B31" t="str">
            <v>00370326-</v>
          </cell>
          <cell r="C31" t="str">
            <v>Cover cable channel 20x405</v>
          </cell>
          <cell r="D31" t="str">
            <v>Kabelabdeckung 20x405</v>
          </cell>
          <cell r="F31">
            <v>200000</v>
          </cell>
          <cell r="G31">
            <v>2</v>
          </cell>
          <cell r="H31" t="str">
            <v>ST</v>
          </cell>
          <cell r="I31" t="str">
            <v>n</v>
          </cell>
          <cell r="J31" t="str">
            <v>m3</v>
          </cell>
          <cell r="K31">
            <v>49</v>
          </cell>
          <cell r="L31" t="str">
            <v>SCHMIDR</v>
          </cell>
          <cell r="M31">
            <v>38071.517199074071</v>
          </cell>
          <cell r="N31">
            <v>38072</v>
          </cell>
          <cell r="O31">
            <v>38072.597384259258</v>
          </cell>
          <cell r="P31" t="str">
            <v>BS_MASCH</v>
          </cell>
          <cell r="R31">
            <v>400915</v>
          </cell>
          <cell r="S31">
            <v>4</v>
          </cell>
          <cell r="T31">
            <v>20</v>
          </cell>
          <cell r="V31">
            <v>10200149</v>
          </cell>
        </row>
        <row r="32">
          <cell r="B32" t="str">
            <v>00361717-</v>
          </cell>
          <cell r="C32" t="str">
            <v>Cover cable channel 20x90</v>
          </cell>
          <cell r="D32" t="str">
            <v>Kabelkanalabdeckung 20x90</v>
          </cell>
          <cell r="F32">
            <v>200000</v>
          </cell>
          <cell r="G32">
            <v>2</v>
          </cell>
          <cell r="H32" t="str">
            <v>ST</v>
          </cell>
          <cell r="I32" t="str">
            <v>n</v>
          </cell>
          <cell r="J32" t="str">
            <v>m3</v>
          </cell>
          <cell r="K32">
            <v>51</v>
          </cell>
          <cell r="L32" t="str">
            <v>ZANKL</v>
          </cell>
          <cell r="M32">
            <v>37559.437997685185</v>
          </cell>
          <cell r="N32">
            <v>38072</v>
          </cell>
          <cell r="O32">
            <v>37559.512546296297</v>
          </cell>
          <cell r="P32" t="str">
            <v>BS_MASCH</v>
          </cell>
          <cell r="S32">
            <v>4</v>
          </cell>
          <cell r="T32">
            <v>20</v>
          </cell>
          <cell r="V32">
            <v>10200149</v>
          </cell>
        </row>
        <row r="33">
          <cell r="B33" t="str">
            <v>00360808-</v>
          </cell>
          <cell r="C33" t="str">
            <v>Cover cable channel 350x20</v>
          </cell>
          <cell r="D33" t="str">
            <v>Kabelkanalabdeckung 350x20</v>
          </cell>
          <cell r="F33">
            <v>100000</v>
          </cell>
          <cell r="G33">
            <v>1</v>
          </cell>
          <cell r="H33" t="str">
            <v>ST</v>
          </cell>
          <cell r="I33" t="str">
            <v>n</v>
          </cell>
          <cell r="J33" t="str">
            <v>m3</v>
          </cell>
          <cell r="K33">
            <v>54</v>
          </cell>
          <cell r="L33" t="str">
            <v>SCHMIDR</v>
          </cell>
          <cell r="M33">
            <v>38071.517280092594</v>
          </cell>
          <cell r="N33">
            <v>38072</v>
          </cell>
          <cell r="O33">
            <v>38072.601273148146</v>
          </cell>
          <cell r="P33" t="str">
            <v>BS_MASCH</v>
          </cell>
          <cell r="R33">
            <v>400915</v>
          </cell>
          <cell r="S33">
            <v>2</v>
          </cell>
          <cell r="T33">
            <v>10</v>
          </cell>
          <cell r="V33">
            <v>10200149</v>
          </cell>
        </row>
        <row r="34">
          <cell r="B34" t="str">
            <v>00365107-</v>
          </cell>
          <cell r="C34" t="str">
            <v>Cover conversion boards assembly contain</v>
          </cell>
          <cell r="D34" t="str">
            <v>Abdeckung Umsetzplatine Montagewanne</v>
          </cell>
          <cell r="F34">
            <v>100000</v>
          </cell>
          <cell r="G34">
            <v>1</v>
          </cell>
          <cell r="H34" t="str">
            <v>ST</v>
          </cell>
          <cell r="I34" t="str">
            <v>n</v>
          </cell>
          <cell r="J34" t="str">
            <v>m3</v>
          </cell>
          <cell r="K34">
            <v>1</v>
          </cell>
          <cell r="L34" t="str">
            <v>SCHMIDR</v>
          </cell>
          <cell r="M34">
            <v>38071.517141203702</v>
          </cell>
          <cell r="N34">
            <v>38072</v>
          </cell>
          <cell r="O34">
            <v>38072.535914351851</v>
          </cell>
          <cell r="P34" t="str">
            <v>BS_MASCH</v>
          </cell>
          <cell r="R34">
            <v>400915</v>
          </cell>
          <cell r="S34">
            <v>1</v>
          </cell>
          <cell r="T34">
            <v>5</v>
          </cell>
          <cell r="V34">
            <v>10200149</v>
          </cell>
        </row>
        <row r="35">
          <cell r="B35" t="str">
            <v>00365202-</v>
          </cell>
          <cell r="C35" t="str">
            <v>Cover conversion boards side panel</v>
          </cell>
          <cell r="D35" t="str">
            <v>Abdeckung 1 Umsetzplatine Seitenteil</v>
          </cell>
          <cell r="F35">
            <v>100000</v>
          </cell>
          <cell r="G35">
            <v>1</v>
          </cell>
          <cell r="H35" t="str">
            <v>ST</v>
          </cell>
          <cell r="I35" t="str">
            <v>n</v>
          </cell>
          <cell r="J35" t="str">
            <v>m3</v>
          </cell>
          <cell r="K35">
            <v>2</v>
          </cell>
          <cell r="L35" t="str">
            <v>SCHMIDR</v>
          </cell>
          <cell r="M35">
            <v>38071.517141203702</v>
          </cell>
          <cell r="N35">
            <v>38072</v>
          </cell>
          <cell r="O35">
            <v>38072.49181712963</v>
          </cell>
          <cell r="P35" t="str">
            <v>BS_MASCH</v>
          </cell>
          <cell r="R35">
            <v>400915</v>
          </cell>
          <cell r="S35">
            <v>1</v>
          </cell>
          <cell r="T35">
            <v>5</v>
          </cell>
          <cell r="V35">
            <v>10200149</v>
          </cell>
        </row>
        <row r="36">
          <cell r="B36" t="str">
            <v>00375732-</v>
          </cell>
          <cell r="C36" t="str">
            <v>Cover conversion boards side panel</v>
          </cell>
          <cell r="D36" t="str">
            <v>Abdeckung 2 Umsetzplatine Seitenteil</v>
          </cell>
          <cell r="F36">
            <v>100000</v>
          </cell>
          <cell r="G36">
            <v>1</v>
          </cell>
          <cell r="H36" t="str">
            <v>ST</v>
          </cell>
          <cell r="I36" t="str">
            <v>n</v>
          </cell>
          <cell r="J36" t="str">
            <v>m3</v>
          </cell>
          <cell r="K36">
            <v>3</v>
          </cell>
          <cell r="L36" t="str">
            <v>SCHMIDR</v>
          </cell>
          <cell r="M36">
            <v>38071.517141203702</v>
          </cell>
          <cell r="N36">
            <v>38072</v>
          </cell>
          <cell r="O36">
            <v>38072.600648148145</v>
          </cell>
          <cell r="P36" t="str">
            <v>BS_MASCH</v>
          </cell>
          <cell r="R36">
            <v>400915</v>
          </cell>
          <cell r="S36">
            <v>1</v>
          </cell>
          <cell r="T36">
            <v>5</v>
          </cell>
          <cell r="V36">
            <v>10200149</v>
          </cell>
        </row>
        <row r="37">
          <cell r="B37" t="str">
            <v>00370442-</v>
          </cell>
          <cell r="C37" t="str">
            <v>cover sheet</v>
          </cell>
          <cell r="D37" t="str">
            <v>Deckblech</v>
          </cell>
          <cell r="F37">
            <v>300000</v>
          </cell>
          <cell r="G37">
            <v>3</v>
          </cell>
          <cell r="H37" t="str">
            <v>ST</v>
          </cell>
          <cell r="I37" t="str">
            <v>n</v>
          </cell>
          <cell r="J37" t="str">
            <v>m3</v>
          </cell>
          <cell r="K37">
            <v>2</v>
          </cell>
          <cell r="L37" t="str">
            <v>SCHMIDR</v>
          </cell>
          <cell r="M37">
            <v>38071.517187500001</v>
          </cell>
          <cell r="N37">
            <v>38072</v>
          </cell>
          <cell r="O37">
            <v>38072.599594907406</v>
          </cell>
          <cell r="P37" t="str">
            <v>BS_MASCH</v>
          </cell>
          <cell r="R37">
            <v>400915</v>
          </cell>
          <cell r="S37">
            <v>6</v>
          </cell>
          <cell r="T37">
            <v>30</v>
          </cell>
          <cell r="V37">
            <v>10200149</v>
          </cell>
        </row>
        <row r="38">
          <cell r="B38" t="str">
            <v>00358342-</v>
          </cell>
          <cell r="C38" t="str">
            <v>DryLin N Fuehrungssystem Wagen</v>
          </cell>
          <cell r="D38" t="str">
            <v>DryLin N Fuehrungssystem Wagen</v>
          </cell>
          <cell r="F38">
            <v>200000</v>
          </cell>
          <cell r="G38">
            <v>2</v>
          </cell>
          <cell r="H38" t="str">
            <v>ST</v>
          </cell>
          <cell r="J38" t="str">
            <v>m3</v>
          </cell>
          <cell r="K38" t="str">
            <v>X6</v>
          </cell>
          <cell r="L38" t="str">
            <v>RAABEM</v>
          </cell>
          <cell r="M38">
            <v>38100.638703703706</v>
          </cell>
          <cell r="N38">
            <v>38104</v>
          </cell>
          <cell r="O38">
            <v>38103.721990740742</v>
          </cell>
          <cell r="P38" t="str">
            <v>BS_MASCH</v>
          </cell>
          <cell r="R38">
            <v>400996</v>
          </cell>
          <cell r="S38">
            <v>4</v>
          </cell>
          <cell r="T38">
            <v>20</v>
          </cell>
          <cell r="V38">
            <v>10200149</v>
          </cell>
        </row>
        <row r="39">
          <cell r="B39" t="str">
            <v>00369717-</v>
          </cell>
          <cell r="C39" t="str">
            <v>DU-tabe</v>
          </cell>
          <cell r="D39" t="str">
            <v>DU-Streifen</v>
          </cell>
          <cell r="F39">
            <v>800000</v>
          </cell>
          <cell r="G39">
            <v>8</v>
          </cell>
          <cell r="H39" t="str">
            <v>ST</v>
          </cell>
          <cell r="J39" t="str">
            <v>m3</v>
          </cell>
          <cell r="K39" t="str">
            <v>ZU X6</v>
          </cell>
          <cell r="L39" t="str">
            <v>RAABEM</v>
          </cell>
          <cell r="M39">
            <v>38100.638692129629</v>
          </cell>
          <cell r="N39">
            <v>38104</v>
          </cell>
          <cell r="O39">
            <v>38103.722500000003</v>
          </cell>
          <cell r="P39" t="str">
            <v>BS_MASCH</v>
          </cell>
          <cell r="R39">
            <v>400996</v>
          </cell>
          <cell r="S39">
            <v>16</v>
          </cell>
          <cell r="T39">
            <v>80</v>
          </cell>
          <cell r="V39">
            <v>10200149</v>
          </cell>
        </row>
        <row r="40">
          <cell r="B40" t="str">
            <v>00356831-</v>
          </cell>
          <cell r="C40" t="str">
            <v>FIXING STRIP L=591</v>
          </cell>
          <cell r="D40" t="str">
            <v>Fixierband L=591</v>
          </cell>
          <cell r="F40">
            <v>200000</v>
          </cell>
          <cell r="G40">
            <v>2</v>
          </cell>
          <cell r="H40" t="str">
            <v>ST</v>
          </cell>
          <cell r="J40" t="str">
            <v>m3</v>
          </cell>
          <cell r="L40" t="str">
            <v>RAABEM</v>
          </cell>
          <cell r="M40">
            <v>38100.638680555552</v>
          </cell>
          <cell r="N40">
            <v>38104</v>
          </cell>
          <cell r="O40">
            <v>38103.733136574076</v>
          </cell>
          <cell r="P40" t="str">
            <v>BS_MASCH</v>
          </cell>
          <cell r="R40">
            <v>400996</v>
          </cell>
          <cell r="S40">
            <v>2</v>
          </cell>
          <cell r="T40">
            <v>10</v>
          </cell>
          <cell r="V40">
            <v>10200149</v>
          </cell>
        </row>
        <row r="41">
          <cell r="B41" t="str">
            <v>00375332-</v>
          </cell>
          <cell r="C41" t="str">
            <v>Guide rail sensor</v>
          </cell>
          <cell r="D41" t="str">
            <v>Fuehrungsleiste Sensor</v>
          </cell>
          <cell r="F41">
            <v>300000</v>
          </cell>
          <cell r="G41">
            <v>3</v>
          </cell>
          <cell r="H41" t="str">
            <v>ST</v>
          </cell>
          <cell r="I41" t="str">
            <v>n</v>
          </cell>
          <cell r="J41" t="str">
            <v>m3</v>
          </cell>
          <cell r="K41" t="str">
            <v>ZU X12</v>
          </cell>
          <cell r="L41" t="str">
            <v>RAABEM</v>
          </cell>
          <cell r="M41">
            <v>38100.638703703706</v>
          </cell>
          <cell r="N41">
            <v>38103</v>
          </cell>
          <cell r="O41">
            <v>38103.721990740742</v>
          </cell>
          <cell r="P41" t="str">
            <v>BS_MASCH</v>
          </cell>
          <cell r="R41">
            <v>400996</v>
          </cell>
          <cell r="S41">
            <v>3</v>
          </cell>
          <cell r="T41">
            <v>15</v>
          </cell>
          <cell r="V41">
            <v>10200149</v>
          </cell>
        </row>
        <row r="42">
          <cell r="B42" t="str">
            <v>00356858-</v>
          </cell>
          <cell r="C42" t="str">
            <v>Guide shaft</v>
          </cell>
          <cell r="D42" t="str">
            <v>Führungswelle</v>
          </cell>
          <cell r="E42" t="str">
            <v>machining</v>
          </cell>
          <cell r="F42">
            <v>200000</v>
          </cell>
          <cell r="G42">
            <v>2</v>
          </cell>
          <cell r="H42" t="str">
            <v>ST</v>
          </cell>
          <cell r="I42" t="str">
            <v>n</v>
          </cell>
          <cell r="J42" t="str">
            <v>m3</v>
          </cell>
          <cell r="K42" t="str">
            <v>ZU X12</v>
          </cell>
          <cell r="L42" t="str">
            <v>RAABEM</v>
          </cell>
          <cell r="M42">
            <v>38100.638715277775</v>
          </cell>
          <cell r="N42">
            <v>38103</v>
          </cell>
          <cell r="O42">
            <v>38103.72215277778</v>
          </cell>
          <cell r="P42" t="str">
            <v>BS_MASCH</v>
          </cell>
          <cell r="R42">
            <v>400996</v>
          </cell>
          <cell r="S42">
            <v>2</v>
          </cell>
          <cell r="T42">
            <v>10</v>
          </cell>
          <cell r="V42">
            <v>10200149</v>
          </cell>
        </row>
        <row r="43">
          <cell r="B43" t="str">
            <v>00356861-</v>
          </cell>
          <cell r="C43" t="str">
            <v>Guide shaft WA</v>
          </cell>
          <cell r="D43" t="str">
            <v>Fuehrungswelle  W 16j5  Breitenverstellu</v>
          </cell>
          <cell r="E43" t="str">
            <v>machining</v>
          </cell>
          <cell r="F43">
            <v>400000</v>
          </cell>
          <cell r="G43">
            <v>4</v>
          </cell>
          <cell r="H43" t="str">
            <v>ST</v>
          </cell>
          <cell r="I43" t="str">
            <v>n</v>
          </cell>
          <cell r="J43" t="str">
            <v>m3</v>
          </cell>
          <cell r="K43" t="str">
            <v>ZU X12</v>
          </cell>
          <cell r="L43" t="str">
            <v>RAABEM</v>
          </cell>
          <cell r="M43">
            <v>38100.638692129629</v>
          </cell>
          <cell r="N43">
            <v>38103</v>
          </cell>
          <cell r="O43">
            <v>38103.722500000003</v>
          </cell>
          <cell r="P43" t="str">
            <v>BS_MASCH</v>
          </cell>
          <cell r="R43">
            <v>400996</v>
          </cell>
          <cell r="S43">
            <v>4</v>
          </cell>
          <cell r="T43">
            <v>20</v>
          </cell>
          <cell r="V43">
            <v>10200149</v>
          </cell>
        </row>
        <row r="44">
          <cell r="B44" t="str">
            <v>00367289-</v>
          </cell>
          <cell r="C44" t="str">
            <v>Hexagon shaft SW8x536</v>
          </cell>
          <cell r="D44" t="str">
            <v>Sechskantwelle SW8x536</v>
          </cell>
          <cell r="F44">
            <v>500000</v>
          </cell>
          <cell r="G44">
            <v>5</v>
          </cell>
          <cell r="H44" t="str">
            <v>M</v>
          </cell>
          <cell r="J44" t="str">
            <v>m3</v>
          </cell>
          <cell r="L44" t="str">
            <v>RAABEM</v>
          </cell>
          <cell r="M44">
            <v>38100.638668981483</v>
          </cell>
          <cell r="N44">
            <v>38104</v>
          </cell>
          <cell r="O44">
            <v>38104.622858796298</v>
          </cell>
          <cell r="P44" t="str">
            <v>BS_MASCH</v>
          </cell>
          <cell r="R44">
            <v>400996</v>
          </cell>
          <cell r="S44">
            <v>5</v>
          </cell>
          <cell r="T44">
            <v>25</v>
          </cell>
          <cell r="V44">
            <v>10200149</v>
          </cell>
        </row>
        <row r="45">
          <cell r="B45" t="str">
            <v>00370392-</v>
          </cell>
          <cell r="C45" t="str">
            <v>Holder</v>
          </cell>
          <cell r="D45" t="str">
            <v>Halter</v>
          </cell>
          <cell r="F45">
            <v>500000</v>
          </cell>
          <cell r="G45">
            <v>5</v>
          </cell>
          <cell r="H45" t="str">
            <v>ST</v>
          </cell>
          <cell r="J45" t="str">
            <v>m3</v>
          </cell>
          <cell r="K45" t="str">
            <v>ZU X13</v>
          </cell>
          <cell r="L45" t="str">
            <v>RAABEM</v>
          </cell>
          <cell r="M45">
            <v>38100.638692129629</v>
          </cell>
          <cell r="N45">
            <v>38104</v>
          </cell>
          <cell r="O45">
            <v>38103.722500000003</v>
          </cell>
          <cell r="P45" t="str">
            <v>BS_MASCH</v>
          </cell>
          <cell r="R45">
            <v>400996</v>
          </cell>
          <cell r="S45">
            <v>5</v>
          </cell>
          <cell r="T45">
            <v>25</v>
          </cell>
          <cell r="V45">
            <v>10200149</v>
          </cell>
        </row>
        <row r="46">
          <cell r="B46" t="str">
            <v>00369734-</v>
          </cell>
          <cell r="C46" t="str">
            <v>Intermediate plate 1</v>
          </cell>
          <cell r="D46" t="str">
            <v>Zwischenblech 1</v>
          </cell>
          <cell r="F46">
            <v>100000</v>
          </cell>
          <cell r="G46">
            <v>1</v>
          </cell>
          <cell r="H46" t="str">
            <v>ST</v>
          </cell>
          <cell r="J46" t="str">
            <v>m3</v>
          </cell>
          <cell r="K46">
            <v>2</v>
          </cell>
          <cell r="L46" t="str">
            <v>MEISSNER</v>
          </cell>
          <cell r="M46">
            <v>38106.594375000001</v>
          </cell>
          <cell r="N46">
            <v>38106</v>
          </cell>
          <cell r="O46">
            <v>38106.700092592589</v>
          </cell>
          <cell r="P46" t="str">
            <v>BS_MASCH</v>
          </cell>
          <cell r="R46">
            <v>401044</v>
          </cell>
          <cell r="S46">
            <v>2</v>
          </cell>
          <cell r="T46">
            <v>10</v>
          </cell>
          <cell r="V46">
            <v>10200149</v>
          </cell>
        </row>
        <row r="47">
          <cell r="B47" t="str">
            <v>00361831-</v>
          </cell>
          <cell r="C47" t="str">
            <v>Intermediate plate 2 left side</v>
          </cell>
          <cell r="D47" t="str">
            <v>Zwischenblech 2 links</v>
          </cell>
          <cell r="F47">
            <v>100000</v>
          </cell>
          <cell r="G47">
            <v>1</v>
          </cell>
          <cell r="H47" t="str">
            <v>ST</v>
          </cell>
          <cell r="J47" t="str">
            <v>m3</v>
          </cell>
          <cell r="K47">
            <v>4</v>
          </cell>
          <cell r="L47" t="str">
            <v>ZANKL</v>
          </cell>
          <cell r="M47">
            <v>37274.481550925928</v>
          </cell>
          <cell r="N47">
            <v>38106</v>
          </cell>
          <cell r="O47">
            <v>37274.577662037038</v>
          </cell>
          <cell r="P47" t="str">
            <v>BS_MASCH</v>
          </cell>
          <cell r="S47">
            <v>2</v>
          </cell>
          <cell r="T47">
            <v>10</v>
          </cell>
          <cell r="V47">
            <v>10200149</v>
          </cell>
        </row>
        <row r="48">
          <cell r="B48" t="str">
            <v>00363948-</v>
          </cell>
          <cell r="C48" t="str">
            <v>Kabelkanal 3 (65x66x446)</v>
          </cell>
          <cell r="D48" t="str">
            <v>Kabelkanal 3 (65x66x446)</v>
          </cell>
          <cell r="F48">
            <v>100000</v>
          </cell>
          <cell r="G48">
            <v>1</v>
          </cell>
          <cell r="H48" t="str">
            <v>ST</v>
          </cell>
          <cell r="J48" t="str">
            <v>m3</v>
          </cell>
          <cell r="L48" t="str">
            <v>RAABEM</v>
          </cell>
          <cell r="M48">
            <v>38106.594340277778</v>
          </cell>
          <cell r="N48">
            <v>38106</v>
          </cell>
          <cell r="O48">
            <v>38106.69971064815</v>
          </cell>
          <cell r="P48" t="str">
            <v>BS_MASCH</v>
          </cell>
          <cell r="R48">
            <v>401044</v>
          </cell>
          <cell r="S48">
            <v>1</v>
          </cell>
          <cell r="T48">
            <v>5</v>
          </cell>
          <cell r="V48">
            <v>10200149</v>
          </cell>
        </row>
        <row r="49">
          <cell r="B49" t="str">
            <v>00367196-</v>
          </cell>
          <cell r="C49" t="str">
            <v>Limit switch mount</v>
          </cell>
          <cell r="D49" t="str">
            <v>Halter Endschalter</v>
          </cell>
          <cell r="F49">
            <v>100000</v>
          </cell>
          <cell r="G49">
            <v>1</v>
          </cell>
          <cell r="H49" t="str">
            <v>ST</v>
          </cell>
          <cell r="J49" t="str">
            <v>m3</v>
          </cell>
          <cell r="K49">
            <v>9</v>
          </cell>
          <cell r="L49" t="str">
            <v>FICHTNER</v>
          </cell>
          <cell r="M49">
            <v>37322.54310185185</v>
          </cell>
          <cell r="N49">
            <v>38106</v>
          </cell>
          <cell r="O49">
            <v>33675</v>
          </cell>
          <cell r="P49" t="str">
            <v>BS_MASCH</v>
          </cell>
          <cell r="S49">
            <v>1</v>
          </cell>
          <cell r="T49">
            <v>5</v>
          </cell>
          <cell r="V49">
            <v>10200149</v>
          </cell>
        </row>
        <row r="50">
          <cell r="B50" t="str">
            <v>00365002-</v>
          </cell>
          <cell r="C50" t="str">
            <v>Limit switch mounting tub</v>
          </cell>
          <cell r="D50" t="str">
            <v>Endschalter Montagewanne</v>
          </cell>
          <cell r="F50">
            <v>100000</v>
          </cell>
          <cell r="G50">
            <v>1</v>
          </cell>
          <cell r="H50" t="str">
            <v>ST</v>
          </cell>
          <cell r="J50" t="str">
            <v>M3</v>
          </cell>
          <cell r="K50">
            <v>10</v>
          </cell>
          <cell r="M50">
            <v>37439.647986111115</v>
          </cell>
          <cell r="N50">
            <v>38106</v>
          </cell>
          <cell r="O50">
            <v>37439.672731481478</v>
          </cell>
          <cell r="P50" t="str">
            <v>BS_MASCH</v>
          </cell>
          <cell r="S50">
            <v>1</v>
          </cell>
          <cell r="T50">
            <v>5</v>
          </cell>
          <cell r="V50">
            <v>10200149</v>
          </cell>
        </row>
        <row r="51">
          <cell r="B51" t="str">
            <v>00365108-</v>
          </cell>
          <cell r="C51" t="str">
            <v>Limit switch width adjustment 1</v>
          </cell>
          <cell r="D51" t="str">
            <v>Endschalter Breitenverstellung 1</v>
          </cell>
          <cell r="F51">
            <v>100000</v>
          </cell>
          <cell r="G51">
            <v>1</v>
          </cell>
          <cell r="H51" t="str">
            <v>ST</v>
          </cell>
          <cell r="J51" t="str">
            <v>m3</v>
          </cell>
          <cell r="K51">
            <v>1</v>
          </cell>
          <cell r="L51" t="str">
            <v>LITZLBECKA</v>
          </cell>
          <cell r="M51">
            <v>38106.388356481482</v>
          </cell>
          <cell r="N51">
            <v>38106</v>
          </cell>
          <cell r="O51">
            <v>38106.70517361111</v>
          </cell>
          <cell r="P51" t="str">
            <v>BS_MASCH</v>
          </cell>
          <cell r="R51">
            <v>401034</v>
          </cell>
          <cell r="S51">
            <v>1</v>
          </cell>
          <cell r="T51">
            <v>5</v>
          </cell>
          <cell r="V51">
            <v>10200149</v>
          </cell>
        </row>
        <row r="52">
          <cell r="B52" t="str">
            <v>00365109-</v>
          </cell>
          <cell r="C52" t="str">
            <v>Limit switch width adjustment 2</v>
          </cell>
          <cell r="D52" t="str">
            <v>Endschalter Breitenverstellung 2</v>
          </cell>
          <cell r="F52">
            <v>100000</v>
          </cell>
          <cell r="G52">
            <v>1</v>
          </cell>
          <cell r="H52" t="str">
            <v>ST</v>
          </cell>
          <cell r="I52" t="str">
            <v>E</v>
          </cell>
          <cell r="J52" t="str">
            <v>m3</v>
          </cell>
          <cell r="K52">
            <v>2</v>
          </cell>
          <cell r="L52" t="str">
            <v>ZIMMERB</v>
          </cell>
          <cell r="M52">
            <v>37126</v>
          </cell>
          <cell r="N52">
            <v>38104</v>
          </cell>
          <cell r="O52">
            <v>37711.340868055559</v>
          </cell>
          <cell r="P52" t="str">
            <v>BS_MASCH</v>
          </cell>
          <cell r="S52">
            <v>1</v>
          </cell>
          <cell r="T52">
            <v>5</v>
          </cell>
          <cell r="V52">
            <v>10200149</v>
          </cell>
        </row>
        <row r="53">
          <cell r="B53" t="str">
            <v>00356837-</v>
          </cell>
          <cell r="C53" t="str">
            <v>Mount for limit switch</v>
          </cell>
          <cell r="D53" t="str">
            <v>Halter fuer Endschalter</v>
          </cell>
          <cell r="F53">
            <v>200000</v>
          </cell>
          <cell r="G53">
            <v>2</v>
          </cell>
          <cell r="H53" t="str">
            <v>ST</v>
          </cell>
          <cell r="J53" t="str">
            <v>M3</v>
          </cell>
          <cell r="K53">
            <v>41</v>
          </cell>
          <cell r="L53" t="str">
            <v>FICHTNER</v>
          </cell>
          <cell r="M53">
            <v>37354</v>
          </cell>
          <cell r="N53">
            <v>38106</v>
          </cell>
          <cell r="O53">
            <v>37354</v>
          </cell>
          <cell r="P53" t="str">
            <v>BS_MASCH</v>
          </cell>
          <cell r="S53">
            <v>2</v>
          </cell>
          <cell r="T53">
            <v>10</v>
          </cell>
          <cell r="V53">
            <v>10200149</v>
          </cell>
        </row>
        <row r="54">
          <cell r="B54" t="str">
            <v>00375330-</v>
          </cell>
          <cell r="C54" t="str">
            <v>Mounting bracket MS-EX10-1</v>
          </cell>
          <cell r="D54" t="str">
            <v>Halter MS-EX10-1</v>
          </cell>
          <cell r="E54" t="str">
            <v>fabricate</v>
          </cell>
          <cell r="F54">
            <v>500000</v>
          </cell>
          <cell r="G54">
            <v>5</v>
          </cell>
          <cell r="H54" t="str">
            <v>ST</v>
          </cell>
          <cell r="J54" t="str">
            <v>M3</v>
          </cell>
          <cell r="K54">
            <v>42</v>
          </cell>
          <cell r="L54" t="str">
            <v>FICHTNER</v>
          </cell>
          <cell r="M54">
            <v>37439.642152777778</v>
          </cell>
          <cell r="N54">
            <v>38106</v>
          </cell>
          <cell r="O54">
            <v>37439.668576388889</v>
          </cell>
          <cell r="P54" t="str">
            <v>BS_MASCH</v>
          </cell>
          <cell r="S54">
            <v>5</v>
          </cell>
          <cell r="T54">
            <v>25</v>
          </cell>
          <cell r="V54">
            <v>10200149</v>
          </cell>
        </row>
        <row r="55">
          <cell r="B55" t="str">
            <v>00359233-</v>
          </cell>
          <cell r="C55" t="str">
            <v>Side flange 1 cpl.</v>
          </cell>
          <cell r="D55" t="str">
            <v>Wangenflansch 1 kpl.</v>
          </cell>
          <cell r="F55">
            <v>100000</v>
          </cell>
          <cell r="G55">
            <v>1</v>
          </cell>
          <cell r="H55" t="str">
            <v>ST</v>
          </cell>
          <cell r="J55" t="str">
            <v>M3</v>
          </cell>
          <cell r="K55">
            <v>1</v>
          </cell>
          <cell r="L55" t="str">
            <v>ZIMMERB</v>
          </cell>
          <cell r="M55">
            <v>37030</v>
          </cell>
          <cell r="N55">
            <v>38103</v>
          </cell>
          <cell r="O55">
            <v>37030</v>
          </cell>
          <cell r="P55" t="str">
            <v>BS_MASCH</v>
          </cell>
          <cell r="S55">
            <v>2</v>
          </cell>
          <cell r="T55">
            <v>10</v>
          </cell>
          <cell r="V55">
            <v>10200149</v>
          </cell>
        </row>
        <row r="56">
          <cell r="B56" t="str">
            <v>00359234-</v>
          </cell>
          <cell r="C56" t="str">
            <v>Side flange 2 cpl.</v>
          </cell>
          <cell r="D56" t="str">
            <v>Wangenflansch 2 kpl.</v>
          </cell>
          <cell r="F56">
            <v>100000</v>
          </cell>
          <cell r="G56">
            <v>1</v>
          </cell>
          <cell r="H56" t="str">
            <v>ST</v>
          </cell>
          <cell r="I56" t="str">
            <v>E</v>
          </cell>
          <cell r="J56" t="str">
            <v>M3</v>
          </cell>
          <cell r="K56">
            <v>65</v>
          </cell>
          <cell r="L56" t="str">
            <v>ZIMMERB</v>
          </cell>
          <cell r="M56">
            <v>37228</v>
          </cell>
          <cell r="N56">
            <v>38106</v>
          </cell>
          <cell r="O56">
            <v>37711.358090277776</v>
          </cell>
          <cell r="P56" t="str">
            <v>BS_MASCH</v>
          </cell>
          <cell r="S56">
            <v>2</v>
          </cell>
          <cell r="T56">
            <v>10</v>
          </cell>
          <cell r="V56">
            <v>10200149</v>
          </cell>
        </row>
        <row r="57">
          <cell r="B57" t="str">
            <v>00356857-</v>
          </cell>
          <cell r="C57" t="str">
            <v>Spacer for lifting table</v>
          </cell>
          <cell r="D57" t="str">
            <v>Distanzstueck f. Hubtisch</v>
          </cell>
          <cell r="E57" t="str">
            <v>accessories</v>
          </cell>
          <cell r="F57">
            <v>400000</v>
          </cell>
          <cell r="G57">
            <v>4</v>
          </cell>
          <cell r="H57" t="str">
            <v>ST</v>
          </cell>
          <cell r="J57" t="str">
            <v>m3</v>
          </cell>
          <cell r="K57">
            <v>4</v>
          </cell>
          <cell r="L57" t="str">
            <v>MEISSNER</v>
          </cell>
          <cell r="M57">
            <v>38106.594340277778</v>
          </cell>
          <cell r="N57">
            <v>38107</v>
          </cell>
          <cell r="O57">
            <v>38106.699502314812</v>
          </cell>
          <cell r="P57" t="str">
            <v>BS_MASCH</v>
          </cell>
          <cell r="R57">
            <v>401044</v>
          </cell>
          <cell r="S57">
            <v>4</v>
          </cell>
          <cell r="T57">
            <v>20</v>
          </cell>
          <cell r="V57">
            <v>10200149</v>
          </cell>
        </row>
        <row r="58">
          <cell r="B58" t="str">
            <v>00367089-</v>
          </cell>
          <cell r="C58" t="str">
            <v>Stop plate limit switch</v>
          </cell>
          <cell r="D58" t="str">
            <v>Anschlagplatte Endschalter</v>
          </cell>
          <cell r="F58">
            <v>100000</v>
          </cell>
          <cell r="G58">
            <v>1</v>
          </cell>
          <cell r="H58" t="str">
            <v>ST</v>
          </cell>
          <cell r="J58" t="str">
            <v>M3</v>
          </cell>
          <cell r="K58">
            <v>13</v>
          </cell>
          <cell r="L58" t="str">
            <v>SPOERER</v>
          </cell>
          <cell r="M58">
            <v>37274.475590277776</v>
          </cell>
          <cell r="N58">
            <v>38106</v>
          </cell>
          <cell r="O58">
            <v>33675</v>
          </cell>
          <cell r="P58" t="str">
            <v>BS_MASCH</v>
          </cell>
          <cell r="S58">
            <v>1</v>
          </cell>
          <cell r="T58">
            <v>5</v>
          </cell>
          <cell r="V58">
            <v>10200149</v>
          </cell>
        </row>
        <row r="59">
          <cell r="B59" t="str">
            <v>00361866-</v>
          </cell>
          <cell r="C59" t="str">
            <v>Stop rail 1 left side</v>
          </cell>
          <cell r="D59" t="str">
            <v>Anschlagleiste 1 links B</v>
          </cell>
          <cell r="E59" t="str">
            <v>fabricate</v>
          </cell>
          <cell r="F59">
            <v>100000</v>
          </cell>
          <cell r="G59">
            <v>1</v>
          </cell>
          <cell r="S59">
            <v>1</v>
          </cell>
          <cell r="T59">
            <v>5</v>
          </cell>
          <cell r="V59">
            <v>10200149</v>
          </cell>
        </row>
        <row r="60">
          <cell r="B60" t="str">
            <v>00356841-</v>
          </cell>
          <cell r="C60" t="str">
            <v>Toothed belt Brecoflex 12T5/2675</v>
          </cell>
          <cell r="D60" t="str">
            <v>Zahnriemen Brecoflex 12T5/2675</v>
          </cell>
          <cell r="E60" t="str">
            <v>accessories</v>
          </cell>
          <cell r="F60">
            <v>100000</v>
          </cell>
          <cell r="G60">
            <v>1</v>
          </cell>
          <cell r="S60">
            <v>1</v>
          </cell>
          <cell r="T60">
            <v>5</v>
          </cell>
          <cell r="V60">
            <v>10200149</v>
          </cell>
        </row>
        <row r="61">
          <cell r="B61" t="str">
            <v>00360903-</v>
          </cell>
          <cell r="C61" t="str">
            <v>transition piece 1</v>
          </cell>
          <cell r="D61" t="str">
            <v>Übergangsstück 1</v>
          </cell>
          <cell r="E61" t="str">
            <v>plastic</v>
          </cell>
          <cell r="F61">
            <v>400000</v>
          </cell>
          <cell r="G61">
            <v>4</v>
          </cell>
          <cell r="H61" t="str">
            <v>ST</v>
          </cell>
          <cell r="J61" t="str">
            <v>m3</v>
          </cell>
          <cell r="K61" t="str">
            <v>X1</v>
          </cell>
          <cell r="L61" t="str">
            <v>RAABEM</v>
          </cell>
          <cell r="M61">
            <v>38100.638703703706</v>
          </cell>
          <cell r="N61">
            <v>38106</v>
          </cell>
          <cell r="O61">
            <v>38103.721990740742</v>
          </cell>
          <cell r="P61" t="str">
            <v>BS_MASCH</v>
          </cell>
          <cell r="R61">
            <v>400996</v>
          </cell>
          <cell r="S61">
            <v>8</v>
          </cell>
          <cell r="T61">
            <v>40</v>
          </cell>
          <cell r="V61">
            <v>10200149</v>
          </cell>
        </row>
        <row r="62">
          <cell r="B62" t="str">
            <v>00360904-</v>
          </cell>
          <cell r="C62" t="str">
            <v>transition piece 2a</v>
          </cell>
          <cell r="D62" t="str">
            <v>Übergangsstück 2a</v>
          </cell>
          <cell r="E62" t="str">
            <v>plastic</v>
          </cell>
          <cell r="F62">
            <v>200000</v>
          </cell>
          <cell r="G62">
            <v>2</v>
          </cell>
          <cell r="H62" t="str">
            <v>ST</v>
          </cell>
          <cell r="J62" t="str">
            <v>m3</v>
          </cell>
          <cell r="K62" t="str">
            <v>ZU X1</v>
          </cell>
          <cell r="L62" t="str">
            <v>RAABEM</v>
          </cell>
          <cell r="M62">
            <v>38100.638715277775</v>
          </cell>
          <cell r="N62">
            <v>38106</v>
          </cell>
          <cell r="O62">
            <v>38103.72215277778</v>
          </cell>
          <cell r="P62" t="str">
            <v>BS_MASCH</v>
          </cell>
          <cell r="R62">
            <v>400996</v>
          </cell>
          <cell r="S62">
            <v>2</v>
          </cell>
          <cell r="T62">
            <v>10</v>
          </cell>
          <cell r="V62">
            <v>10200149</v>
          </cell>
        </row>
        <row r="63">
          <cell r="B63" t="str">
            <v>00366224-</v>
          </cell>
          <cell r="C63" t="str">
            <v>Transmitter piece 1</v>
          </cell>
          <cell r="D63" t="str">
            <v>Geberstück 1</v>
          </cell>
          <cell r="F63">
            <v>200000</v>
          </cell>
          <cell r="G63">
            <v>2</v>
          </cell>
          <cell r="H63" t="str">
            <v>ST</v>
          </cell>
          <cell r="J63" t="str">
            <v>m3</v>
          </cell>
          <cell r="K63" t="str">
            <v>ZUM KABEL</v>
          </cell>
          <cell r="L63" t="str">
            <v>RAABEM</v>
          </cell>
          <cell r="M63">
            <v>38100.638680555552</v>
          </cell>
          <cell r="N63">
            <v>38106</v>
          </cell>
          <cell r="O63">
            <v>38103.733136574076</v>
          </cell>
          <cell r="P63" t="str">
            <v>BS_MASCH</v>
          </cell>
          <cell r="R63">
            <v>400996</v>
          </cell>
          <cell r="S63">
            <v>2</v>
          </cell>
          <cell r="T63">
            <v>10</v>
          </cell>
          <cell r="V63">
            <v>10200149</v>
          </cell>
        </row>
        <row r="64">
          <cell r="B64" t="str">
            <v>00366225-</v>
          </cell>
          <cell r="C64" t="str">
            <v>Transmitter piece 2</v>
          </cell>
          <cell r="D64" t="str">
            <v>Geberstueck 2</v>
          </cell>
          <cell r="F64">
            <v>200000</v>
          </cell>
          <cell r="G64">
            <v>2</v>
          </cell>
          <cell r="S64">
            <v>2</v>
          </cell>
          <cell r="T64">
            <v>10</v>
          </cell>
          <cell r="V64">
            <v>10200149</v>
          </cell>
        </row>
        <row r="65">
          <cell r="B65" t="str">
            <v>00359425-</v>
          </cell>
          <cell r="C65" t="str">
            <v>Umsetzplatine Transport</v>
          </cell>
          <cell r="D65" t="str">
            <v>Umsetzplatine Transport</v>
          </cell>
          <cell r="F65">
            <v>100000</v>
          </cell>
          <cell r="G65">
            <v>1</v>
          </cell>
          <cell r="H65" t="str">
            <v>ST</v>
          </cell>
          <cell r="I65" t="str">
            <v>E</v>
          </cell>
          <cell r="J65" t="str">
            <v>m3</v>
          </cell>
          <cell r="K65">
            <v>5</v>
          </cell>
          <cell r="L65" t="str">
            <v>MEISSNER</v>
          </cell>
          <cell r="M65">
            <v>38125.666863425926</v>
          </cell>
          <cell r="N65">
            <v>38126</v>
          </cell>
          <cell r="O65">
            <v>38126.589629629627</v>
          </cell>
          <cell r="P65" t="str">
            <v>BS_MASCH</v>
          </cell>
          <cell r="R65">
            <v>401056</v>
          </cell>
          <cell r="S65">
            <v>1</v>
          </cell>
          <cell r="T65">
            <v>5</v>
          </cell>
          <cell r="V65">
            <v>10200149</v>
          </cell>
        </row>
        <row r="66">
          <cell r="B66" t="str">
            <v>00359424-</v>
          </cell>
          <cell r="C66" t="str">
            <v>Umsetzplatine Transportwange</v>
          </cell>
          <cell r="D66" t="str">
            <v>Umsetzplatine Transportwange</v>
          </cell>
          <cell r="E66" t="str">
            <v>electric</v>
          </cell>
          <cell r="F66">
            <v>100000</v>
          </cell>
          <cell r="G66">
            <v>1</v>
          </cell>
          <cell r="H66" t="str">
            <v>ST</v>
          </cell>
          <cell r="J66" t="str">
            <v>M3</v>
          </cell>
          <cell r="K66">
            <v>6</v>
          </cell>
          <cell r="M66">
            <v>37349.60050925926</v>
          </cell>
          <cell r="N66">
            <v>38126</v>
          </cell>
          <cell r="O66">
            <v>38093.581608796296</v>
          </cell>
          <cell r="P66" t="str">
            <v>BS_MASCH</v>
          </cell>
          <cell r="S66">
            <v>2</v>
          </cell>
          <cell r="T66">
            <v>10</v>
          </cell>
          <cell r="V66">
            <v>10200149</v>
          </cell>
        </row>
        <row r="67">
          <cell r="B67" t="str">
            <v>00369731-</v>
          </cell>
          <cell r="C67" t="str">
            <v>washer</v>
          </cell>
          <cell r="D67" t="str">
            <v>Scheibe</v>
          </cell>
          <cell r="E67" t="str">
            <v>accessories</v>
          </cell>
          <cell r="F67">
            <v>1200000</v>
          </cell>
          <cell r="G67">
            <v>12</v>
          </cell>
          <cell r="H67" t="str">
            <v>ST</v>
          </cell>
          <cell r="J67" t="str">
            <v>M3</v>
          </cell>
          <cell r="K67">
            <v>14</v>
          </cell>
          <cell r="M67">
            <v>37336.447465277779</v>
          </cell>
          <cell r="N67">
            <v>38126</v>
          </cell>
          <cell r="O67">
            <v>37336.456134259257</v>
          </cell>
          <cell r="P67" t="str">
            <v>BS_MASCH</v>
          </cell>
          <cell r="S67">
            <v>24</v>
          </cell>
          <cell r="T67">
            <v>120</v>
          </cell>
          <cell r="V67">
            <v>10200149</v>
          </cell>
        </row>
        <row r="68">
          <cell r="B68" t="str">
            <v>00356875-</v>
          </cell>
          <cell r="C68" t="str">
            <v>Width adjustment drive</v>
          </cell>
          <cell r="D68" t="str">
            <v>Antrieb Breitenverstellung</v>
          </cell>
          <cell r="F68">
            <v>100000</v>
          </cell>
          <cell r="G68">
            <v>1</v>
          </cell>
          <cell r="H68" t="str">
            <v>ST</v>
          </cell>
          <cell r="J68" t="str">
            <v>m3</v>
          </cell>
          <cell r="K68">
            <v>17</v>
          </cell>
          <cell r="L68" t="str">
            <v>MEISSNER</v>
          </cell>
          <cell r="M68">
            <v>38125.666828703703</v>
          </cell>
          <cell r="N68">
            <v>38126</v>
          </cell>
          <cell r="O68">
            <v>38126.586909722224</v>
          </cell>
          <cell r="P68" t="str">
            <v>BS_MASCH</v>
          </cell>
          <cell r="R68">
            <v>401056</v>
          </cell>
          <cell r="S68">
            <v>1</v>
          </cell>
          <cell r="T68">
            <v>5</v>
          </cell>
          <cell r="V68">
            <v>10200149</v>
          </cell>
        </row>
        <row r="69">
          <cell r="B69" t="str">
            <v>00355321-</v>
          </cell>
          <cell r="C69" t="str">
            <v>Cable CAN-bus COM2-conveyor control</v>
          </cell>
          <cell r="D69" t="str">
            <v>Kabel CAN-Bus COM2-Transportsteuerung</v>
          </cell>
          <cell r="F69">
            <v>100000</v>
          </cell>
          <cell r="G69">
            <v>1</v>
          </cell>
          <cell r="H69" t="str">
            <v>ST</v>
          </cell>
          <cell r="I69" t="str">
            <v>n</v>
          </cell>
          <cell r="J69" t="str">
            <v>m3</v>
          </cell>
          <cell r="K69">
            <v>12</v>
          </cell>
          <cell r="L69" t="str">
            <v>SCHMIDR</v>
          </cell>
          <cell r="M69">
            <v>38071.517187500001</v>
          </cell>
          <cell r="N69">
            <v>38072</v>
          </cell>
          <cell r="O69">
            <v>38072.599097222221</v>
          </cell>
          <cell r="P69" t="str">
            <v>BS_MASCH</v>
          </cell>
          <cell r="R69">
            <v>400915</v>
          </cell>
          <cell r="S69">
            <v>1</v>
          </cell>
          <cell r="T69">
            <v>5</v>
          </cell>
          <cell r="V69">
            <v>10201965</v>
          </cell>
        </row>
        <row r="70">
          <cell r="B70" t="str">
            <v>00363438-</v>
          </cell>
          <cell r="C70" t="str">
            <v>Cable lifting table proc. area 1 track 1</v>
          </cell>
          <cell r="D70" t="str">
            <v>Kabel Hubtisch Bestückbereich 1 Spur 1</v>
          </cell>
          <cell r="F70">
            <v>100000</v>
          </cell>
          <cell r="G70">
            <v>1</v>
          </cell>
          <cell r="H70" t="str">
            <v>ST</v>
          </cell>
          <cell r="I70" t="str">
            <v>n</v>
          </cell>
          <cell r="J70" t="str">
            <v>m3</v>
          </cell>
          <cell r="K70" t="str">
            <v>ZU X3</v>
          </cell>
          <cell r="L70" t="str">
            <v>RAABEM</v>
          </cell>
          <cell r="M70">
            <v>38100.638692129629</v>
          </cell>
          <cell r="N70">
            <v>38072</v>
          </cell>
          <cell r="O70">
            <v>38103.722500000003</v>
          </cell>
          <cell r="P70" t="str">
            <v>BS_MASCH</v>
          </cell>
          <cell r="R70">
            <v>400996</v>
          </cell>
          <cell r="S70">
            <v>1</v>
          </cell>
          <cell r="T70">
            <v>5</v>
          </cell>
          <cell r="V70">
            <v>10201965</v>
          </cell>
        </row>
        <row r="71">
          <cell r="B71" t="str">
            <v>00363439-</v>
          </cell>
          <cell r="C71" t="str">
            <v>Cable lifting table proc. area 2 track 1</v>
          </cell>
          <cell r="D71" t="str">
            <v>Kabel Hubtisch Bestückbereich 2 Spur 1</v>
          </cell>
          <cell r="F71">
            <v>100000</v>
          </cell>
          <cell r="G71">
            <v>1</v>
          </cell>
          <cell r="H71" t="str">
            <v>ST</v>
          </cell>
          <cell r="I71" t="str">
            <v>n</v>
          </cell>
          <cell r="J71" t="str">
            <v>m3</v>
          </cell>
          <cell r="L71" t="str">
            <v>RAABEM</v>
          </cell>
          <cell r="M71">
            <v>38100.638680555552</v>
          </cell>
          <cell r="N71">
            <v>38072</v>
          </cell>
          <cell r="O71">
            <v>38103.733136574076</v>
          </cell>
          <cell r="P71" t="str">
            <v>BS_MASCH</v>
          </cell>
          <cell r="R71">
            <v>400996</v>
          </cell>
          <cell r="S71">
            <v>1</v>
          </cell>
          <cell r="T71">
            <v>5</v>
          </cell>
          <cell r="V71">
            <v>10201965</v>
          </cell>
        </row>
        <row r="72">
          <cell r="B72" t="str">
            <v>00363667-</v>
          </cell>
          <cell r="C72" t="str">
            <v>Cable PCB conveyor side panel A</v>
          </cell>
          <cell r="D72" t="str">
            <v>Kabel LP-Transport Seitenteil A</v>
          </cell>
          <cell r="F72">
            <v>100000</v>
          </cell>
          <cell r="G72">
            <v>1</v>
          </cell>
          <cell r="H72" t="str">
            <v>ST</v>
          </cell>
          <cell r="I72" t="str">
            <v>y</v>
          </cell>
          <cell r="J72" t="str">
            <v>m3</v>
          </cell>
          <cell r="K72">
            <v>8</v>
          </cell>
          <cell r="L72" t="str">
            <v>RAABEM</v>
          </cell>
          <cell r="M72">
            <v>38071.517175925925</v>
          </cell>
          <cell r="N72">
            <v>38072</v>
          </cell>
          <cell r="O72">
            <v>38072.598761574074</v>
          </cell>
          <cell r="P72" t="str">
            <v>BS_MASCH</v>
          </cell>
          <cell r="R72">
            <v>400915</v>
          </cell>
          <cell r="S72">
            <v>1</v>
          </cell>
          <cell r="T72">
            <v>5</v>
          </cell>
          <cell r="V72">
            <v>10201965</v>
          </cell>
        </row>
        <row r="73">
          <cell r="B73" t="str">
            <v>00363668-</v>
          </cell>
          <cell r="C73" t="str">
            <v>Cable PCB conveyor side panel B</v>
          </cell>
          <cell r="D73" t="str">
            <v>Kabel LP-Transport Seitenteil B</v>
          </cell>
          <cell r="F73">
            <v>100000</v>
          </cell>
          <cell r="G73">
            <v>1</v>
          </cell>
          <cell r="H73" t="str">
            <v>ST</v>
          </cell>
          <cell r="I73" t="str">
            <v>n</v>
          </cell>
          <cell r="J73" t="str">
            <v>m3</v>
          </cell>
          <cell r="L73" t="str">
            <v>RAABEM</v>
          </cell>
          <cell r="M73">
            <v>38071.517083333332</v>
          </cell>
          <cell r="N73">
            <v>38072</v>
          </cell>
          <cell r="O73">
            <v>38072.492048611108</v>
          </cell>
          <cell r="P73" t="str">
            <v>BS_MASCH</v>
          </cell>
          <cell r="R73">
            <v>400915</v>
          </cell>
          <cell r="S73">
            <v>1</v>
          </cell>
          <cell r="T73">
            <v>5</v>
          </cell>
          <cell r="V73">
            <v>10201965</v>
          </cell>
        </row>
        <row r="74">
          <cell r="B74" t="str">
            <v>00353436-</v>
          </cell>
          <cell r="C74" t="str">
            <v>Erdungslitze (HEP-LP-Transport)kompl.neu</v>
          </cell>
          <cell r="D74" t="str">
            <v>Erdungslitze (HEP-LP-Transport)kompl.neu</v>
          </cell>
          <cell r="F74">
            <v>100000</v>
          </cell>
          <cell r="G74">
            <v>1</v>
          </cell>
          <cell r="H74" t="str">
            <v>ST</v>
          </cell>
          <cell r="J74" t="str">
            <v>m3</v>
          </cell>
          <cell r="K74" t="str">
            <v>ZU X7</v>
          </cell>
          <cell r="L74" t="str">
            <v>RAABEM</v>
          </cell>
          <cell r="M74">
            <v>38100.638703703706</v>
          </cell>
          <cell r="N74">
            <v>38104</v>
          </cell>
          <cell r="O74">
            <v>38103.721759259257</v>
          </cell>
          <cell r="P74" t="str">
            <v>BS_MASCH</v>
          </cell>
          <cell r="R74">
            <v>400996</v>
          </cell>
          <cell r="S74">
            <v>1</v>
          </cell>
          <cell r="T74">
            <v>5</v>
          </cell>
          <cell r="V74">
            <v>10201965</v>
          </cell>
        </row>
        <row r="75">
          <cell r="B75" t="str">
            <v>00363090-</v>
          </cell>
          <cell r="C75" t="str">
            <v>LB Receiver module placement belt 1</v>
          </cell>
          <cell r="D75" t="str">
            <v>LS-Empfaengermodul Bestueckband 1</v>
          </cell>
          <cell r="E75" t="str">
            <v>electric</v>
          </cell>
          <cell r="F75">
            <v>100000</v>
          </cell>
          <cell r="G75">
            <v>1</v>
          </cell>
          <cell r="H75" t="str">
            <v>ST</v>
          </cell>
          <cell r="J75" t="str">
            <v>m3</v>
          </cell>
          <cell r="K75">
            <v>6</v>
          </cell>
          <cell r="L75" t="str">
            <v>LITZLBECKA</v>
          </cell>
          <cell r="M75">
            <v>38106.388379629629</v>
          </cell>
          <cell r="N75">
            <v>38106</v>
          </cell>
          <cell r="O75">
            <v>38106.643020833333</v>
          </cell>
          <cell r="P75" t="str">
            <v>BS_MASCH</v>
          </cell>
          <cell r="R75">
            <v>401034</v>
          </cell>
          <cell r="S75">
            <v>1</v>
          </cell>
          <cell r="T75">
            <v>5</v>
          </cell>
          <cell r="V75">
            <v>10201965</v>
          </cell>
        </row>
        <row r="76">
          <cell r="B76" t="str">
            <v>00363091-</v>
          </cell>
          <cell r="C76" t="str">
            <v>LB Receiver module placement belt 2</v>
          </cell>
          <cell r="D76" t="str">
            <v>LS-Empfaengermodul Bestueckband 2</v>
          </cell>
          <cell r="E76" t="str">
            <v>electric</v>
          </cell>
          <cell r="F76">
            <v>100000</v>
          </cell>
          <cell r="G76">
            <v>1</v>
          </cell>
          <cell r="H76" t="str">
            <v>ST</v>
          </cell>
          <cell r="I76" t="str">
            <v>n</v>
          </cell>
          <cell r="J76" t="str">
            <v>m3</v>
          </cell>
          <cell r="L76" t="str">
            <v>MEISSNER</v>
          </cell>
          <cell r="M76">
            <v>38100.638796296298</v>
          </cell>
          <cell r="N76">
            <v>38106</v>
          </cell>
          <cell r="O76">
            <v>38103.732557870368</v>
          </cell>
          <cell r="P76" t="str">
            <v>BS_MASCH</v>
          </cell>
          <cell r="R76">
            <v>400996</v>
          </cell>
          <cell r="S76">
            <v>1</v>
          </cell>
          <cell r="T76">
            <v>5</v>
          </cell>
          <cell r="V76">
            <v>10201965</v>
          </cell>
        </row>
        <row r="77">
          <cell r="B77" t="str">
            <v>00370068-</v>
          </cell>
          <cell r="C77" t="str">
            <v>Light barrier receiver input belt</v>
          </cell>
          <cell r="D77" t="str">
            <v>Lichtschranke Empfaenger  Eingabeband</v>
          </cell>
          <cell r="E77" t="str">
            <v>electric</v>
          </cell>
          <cell r="F77">
            <v>100000</v>
          </cell>
          <cell r="G77">
            <v>1</v>
          </cell>
          <cell r="H77" t="str">
            <v>ST</v>
          </cell>
          <cell r="J77" t="str">
            <v>m3</v>
          </cell>
          <cell r="K77">
            <v>10</v>
          </cell>
          <cell r="L77" t="str">
            <v>LITZLBECKA</v>
          </cell>
          <cell r="M77">
            <v>38106.388379629629</v>
          </cell>
          <cell r="N77">
            <v>38106</v>
          </cell>
          <cell r="O77">
            <v>38106.642812500002</v>
          </cell>
          <cell r="P77" t="str">
            <v>BS_MASCH</v>
          </cell>
          <cell r="R77">
            <v>401034</v>
          </cell>
          <cell r="S77">
            <v>1</v>
          </cell>
          <cell r="T77">
            <v>5</v>
          </cell>
          <cell r="V77">
            <v>10201965</v>
          </cell>
        </row>
        <row r="78">
          <cell r="B78" t="str">
            <v>00370070-</v>
          </cell>
          <cell r="C78" t="str">
            <v>Light barrier receiver intermediate belt</v>
          </cell>
          <cell r="D78" t="str">
            <v>Lichtschranke Empfaenger  Zwischenband</v>
          </cell>
          <cell r="E78" t="str">
            <v>electric</v>
          </cell>
          <cell r="F78">
            <v>100000</v>
          </cell>
          <cell r="G78">
            <v>1</v>
          </cell>
          <cell r="H78" t="str">
            <v>ST</v>
          </cell>
          <cell r="J78" t="str">
            <v>m3</v>
          </cell>
          <cell r="K78">
            <v>11</v>
          </cell>
          <cell r="L78" t="str">
            <v>LITZLBECKA</v>
          </cell>
          <cell r="M78">
            <v>38106.388368055559</v>
          </cell>
          <cell r="N78">
            <v>38106</v>
          </cell>
          <cell r="O78">
            <v>38106.643321759257</v>
          </cell>
          <cell r="P78" t="str">
            <v>BS_MASCH</v>
          </cell>
          <cell r="R78">
            <v>401034</v>
          </cell>
          <cell r="S78">
            <v>1</v>
          </cell>
          <cell r="T78">
            <v>5</v>
          </cell>
          <cell r="V78">
            <v>10201965</v>
          </cell>
        </row>
        <row r="79">
          <cell r="B79" t="str">
            <v>00370072-</v>
          </cell>
          <cell r="C79" t="str">
            <v>Light barrier receiver output belt</v>
          </cell>
          <cell r="D79" t="str">
            <v>Lichtschranke Empfaenger Ausgabeband</v>
          </cell>
          <cell r="E79" t="str">
            <v>electric</v>
          </cell>
          <cell r="F79">
            <v>100000</v>
          </cell>
          <cell r="G79">
            <v>1</v>
          </cell>
          <cell r="H79" t="str">
            <v>ST</v>
          </cell>
          <cell r="J79" t="str">
            <v>m3</v>
          </cell>
          <cell r="K79">
            <v>12</v>
          </cell>
          <cell r="L79" t="str">
            <v>LITZLBECKA</v>
          </cell>
          <cell r="M79">
            <v>38106.388368055559</v>
          </cell>
          <cell r="N79">
            <v>38106</v>
          </cell>
          <cell r="O79">
            <v>38106.643275462964</v>
          </cell>
          <cell r="P79" t="str">
            <v>BS_MASCH</v>
          </cell>
          <cell r="R79">
            <v>401034</v>
          </cell>
          <cell r="S79">
            <v>1</v>
          </cell>
          <cell r="T79">
            <v>5</v>
          </cell>
          <cell r="V79">
            <v>10201965</v>
          </cell>
        </row>
        <row r="80">
          <cell r="B80" t="str">
            <v>00370069-</v>
          </cell>
          <cell r="C80" t="str">
            <v>Light barrier receiver placement belt 1</v>
          </cell>
          <cell r="D80" t="str">
            <v>Lichtschranke Empfaenger Bestueckband 1</v>
          </cell>
          <cell r="E80" t="str">
            <v>electric</v>
          </cell>
          <cell r="F80">
            <v>100000</v>
          </cell>
          <cell r="G80">
            <v>1</v>
          </cell>
          <cell r="H80" t="str">
            <v>ST</v>
          </cell>
          <cell r="J80" t="str">
            <v>m3</v>
          </cell>
          <cell r="K80">
            <v>13</v>
          </cell>
          <cell r="L80" t="str">
            <v>MEISSNER</v>
          </cell>
          <cell r="M80">
            <v>38100.638784722221</v>
          </cell>
          <cell r="N80">
            <v>38106</v>
          </cell>
          <cell r="O80">
            <v>38103.734652777777</v>
          </cell>
          <cell r="P80" t="str">
            <v>BS_MASCH</v>
          </cell>
          <cell r="R80">
            <v>400996</v>
          </cell>
          <cell r="S80">
            <v>1</v>
          </cell>
          <cell r="T80">
            <v>5</v>
          </cell>
          <cell r="V80">
            <v>10201965</v>
          </cell>
        </row>
        <row r="81">
          <cell r="B81" t="str">
            <v>00370071-</v>
          </cell>
          <cell r="C81" t="str">
            <v>Light barrier receiver placement belt 2</v>
          </cell>
          <cell r="D81" t="str">
            <v>Lichtschranke Empfaenger Bestueckband 2</v>
          </cell>
          <cell r="E81" t="str">
            <v>electric</v>
          </cell>
          <cell r="F81">
            <v>100000</v>
          </cell>
          <cell r="G81">
            <v>1</v>
          </cell>
          <cell r="H81" t="str">
            <v>ST</v>
          </cell>
          <cell r="J81" t="str">
            <v>m3</v>
          </cell>
          <cell r="K81">
            <v>16</v>
          </cell>
          <cell r="L81" t="str">
            <v>LITZLBECKA</v>
          </cell>
          <cell r="M81">
            <v>38100.638819444444</v>
          </cell>
          <cell r="N81">
            <v>38104</v>
          </cell>
          <cell r="O81">
            <v>38103.731689814813</v>
          </cell>
          <cell r="P81" t="str">
            <v>BS_MASCH</v>
          </cell>
          <cell r="R81">
            <v>400996</v>
          </cell>
          <cell r="S81">
            <v>1</v>
          </cell>
          <cell r="T81">
            <v>5</v>
          </cell>
          <cell r="V81">
            <v>10201965</v>
          </cell>
        </row>
        <row r="82">
          <cell r="B82" t="str">
            <v>00370063-</v>
          </cell>
          <cell r="C82" t="str">
            <v>Light barrier transm. input belt</v>
          </cell>
          <cell r="D82" t="str">
            <v>Lichtschranke Sender Eingabeband</v>
          </cell>
          <cell r="F82">
            <v>100000</v>
          </cell>
          <cell r="G82">
            <v>1</v>
          </cell>
          <cell r="H82" t="str">
            <v>ST</v>
          </cell>
          <cell r="I82" t="str">
            <v>E</v>
          </cell>
          <cell r="J82" t="str">
            <v>m3</v>
          </cell>
          <cell r="K82">
            <v>2</v>
          </cell>
          <cell r="L82" t="str">
            <v>ZIMMERB</v>
          </cell>
          <cell r="M82">
            <v>37126</v>
          </cell>
          <cell r="N82">
            <v>38104</v>
          </cell>
          <cell r="O82">
            <v>37711.340868055559</v>
          </cell>
          <cell r="P82" t="str">
            <v>BS_MASCH</v>
          </cell>
          <cell r="S82">
            <v>1</v>
          </cell>
          <cell r="T82">
            <v>5</v>
          </cell>
          <cell r="V82">
            <v>10201965</v>
          </cell>
        </row>
        <row r="83">
          <cell r="B83" t="str">
            <v>00370065-</v>
          </cell>
          <cell r="C83" t="str">
            <v>Light barrier transm. intermediate belt</v>
          </cell>
          <cell r="D83" t="str">
            <v>Lichtschranke Sender Zwischenband</v>
          </cell>
          <cell r="F83">
            <v>100000</v>
          </cell>
          <cell r="G83">
            <v>1</v>
          </cell>
          <cell r="H83" t="str">
            <v>ST</v>
          </cell>
          <cell r="J83" t="str">
            <v>m3</v>
          </cell>
          <cell r="K83">
            <v>3</v>
          </cell>
          <cell r="L83" t="str">
            <v>ZIMMERB</v>
          </cell>
          <cell r="M83">
            <v>37126</v>
          </cell>
          <cell r="N83">
            <v>38104</v>
          </cell>
          <cell r="O83">
            <v>37711.34070601852</v>
          </cell>
          <cell r="P83" t="str">
            <v>BS_MASCH</v>
          </cell>
          <cell r="S83">
            <v>1</v>
          </cell>
          <cell r="T83">
            <v>5</v>
          </cell>
          <cell r="V83">
            <v>10201965</v>
          </cell>
        </row>
        <row r="84">
          <cell r="B84" t="str">
            <v>00370067-</v>
          </cell>
          <cell r="C84" t="str">
            <v>Light barrier transm. output belt</v>
          </cell>
          <cell r="D84" t="str">
            <v>Lichtschranke Sender Ausgabeband</v>
          </cell>
          <cell r="F84">
            <v>100000</v>
          </cell>
          <cell r="G84">
            <v>1</v>
          </cell>
          <cell r="H84" t="str">
            <v>ST</v>
          </cell>
          <cell r="I84" t="str">
            <v>E</v>
          </cell>
          <cell r="J84" t="str">
            <v>m3</v>
          </cell>
          <cell r="K84">
            <v>4</v>
          </cell>
          <cell r="L84" t="str">
            <v>LITZLBECKA</v>
          </cell>
          <cell r="M84">
            <v>38100.638865740744</v>
          </cell>
          <cell r="N84">
            <v>38106</v>
          </cell>
          <cell r="O84">
            <v>38103.726226851853</v>
          </cell>
          <cell r="P84" t="str">
            <v>BS_MASCH</v>
          </cell>
          <cell r="R84">
            <v>400996</v>
          </cell>
          <cell r="S84">
            <v>1</v>
          </cell>
          <cell r="T84">
            <v>5</v>
          </cell>
          <cell r="V84">
            <v>10201965</v>
          </cell>
        </row>
        <row r="85">
          <cell r="B85" t="str">
            <v>00370064-</v>
          </cell>
          <cell r="C85" t="str">
            <v>Light barrier transm. placement belt 1</v>
          </cell>
          <cell r="D85" t="str">
            <v>Lichtschranke Sender Bestueckband 1</v>
          </cell>
          <cell r="F85">
            <v>100000</v>
          </cell>
          <cell r="G85">
            <v>1</v>
          </cell>
          <cell r="H85" t="str">
            <v>ST</v>
          </cell>
          <cell r="J85" t="str">
            <v>m3</v>
          </cell>
          <cell r="K85">
            <v>5</v>
          </cell>
          <cell r="L85" t="str">
            <v>LITZLBECKA</v>
          </cell>
          <cell r="M85">
            <v>38100.638773148145</v>
          </cell>
          <cell r="N85">
            <v>38106</v>
          </cell>
          <cell r="O85">
            <v>38104.623726851853</v>
          </cell>
          <cell r="P85" t="str">
            <v>BS_MASCH</v>
          </cell>
          <cell r="R85">
            <v>400996</v>
          </cell>
          <cell r="S85">
            <v>1</v>
          </cell>
          <cell r="T85">
            <v>5</v>
          </cell>
          <cell r="V85">
            <v>10201965</v>
          </cell>
        </row>
        <row r="86">
          <cell r="B86" t="str">
            <v>00370066-</v>
          </cell>
          <cell r="C86" t="str">
            <v>Light barrier transm. placement belt 2</v>
          </cell>
          <cell r="D86" t="str">
            <v>Lichtschranke Sender Bestueckband 2</v>
          </cell>
          <cell r="F86">
            <v>100000</v>
          </cell>
          <cell r="G86">
            <v>1</v>
          </cell>
          <cell r="H86" t="str">
            <v>ST</v>
          </cell>
          <cell r="J86" t="str">
            <v>m3</v>
          </cell>
          <cell r="K86">
            <v>6</v>
          </cell>
          <cell r="L86" t="str">
            <v>LITZLBECKA</v>
          </cell>
          <cell r="M86">
            <v>38100.638773148145</v>
          </cell>
          <cell r="N86">
            <v>38106</v>
          </cell>
          <cell r="O86">
            <v>38104.623900462961</v>
          </cell>
          <cell r="P86" t="str">
            <v>BS_MASCH</v>
          </cell>
          <cell r="R86">
            <v>400996</v>
          </cell>
          <cell r="S86">
            <v>1</v>
          </cell>
          <cell r="T86">
            <v>5</v>
          </cell>
          <cell r="V86">
            <v>10201965</v>
          </cell>
        </row>
        <row r="87">
          <cell r="B87" t="str">
            <v>00363419-</v>
          </cell>
          <cell r="C87" t="str">
            <v>Motor cable conveyor track 1</v>
          </cell>
          <cell r="D87" t="str">
            <v>Motorleitung Transport Spur 1</v>
          </cell>
          <cell r="F87">
            <v>100000</v>
          </cell>
          <cell r="G87">
            <v>1</v>
          </cell>
          <cell r="H87" t="str">
            <v>ST</v>
          </cell>
          <cell r="J87" t="str">
            <v>m3</v>
          </cell>
          <cell r="K87">
            <v>31</v>
          </cell>
          <cell r="L87" t="str">
            <v>LITZLBECKA</v>
          </cell>
          <cell r="M87">
            <v>38100.638877314814</v>
          </cell>
          <cell r="N87">
            <v>38104</v>
          </cell>
          <cell r="O87">
            <v>38103.725983796299</v>
          </cell>
          <cell r="P87" t="str">
            <v>BS_MASCH</v>
          </cell>
          <cell r="R87">
            <v>400996</v>
          </cell>
          <cell r="S87">
            <v>1</v>
          </cell>
          <cell r="T87">
            <v>5</v>
          </cell>
          <cell r="V87">
            <v>10201965</v>
          </cell>
        </row>
        <row r="88">
          <cell r="B88" t="str">
            <v>00362331-</v>
          </cell>
          <cell r="C88" t="str">
            <v>Motor cable input belt</v>
          </cell>
          <cell r="D88" t="str">
            <v>Motorkabel Eingabeband</v>
          </cell>
          <cell r="E88" t="str">
            <v>electric</v>
          </cell>
          <cell r="F88">
            <v>100000</v>
          </cell>
          <cell r="G88">
            <v>1</v>
          </cell>
          <cell r="H88" t="str">
            <v>ST</v>
          </cell>
          <cell r="J88" t="str">
            <v>m3</v>
          </cell>
          <cell r="K88">
            <v>30</v>
          </cell>
          <cell r="L88" t="str">
            <v>LITZLBECKA</v>
          </cell>
          <cell r="M88">
            <v>38100.638749999998</v>
          </cell>
          <cell r="N88">
            <v>38106</v>
          </cell>
          <cell r="O88">
            <v>38104.623391203706</v>
          </cell>
          <cell r="P88" t="str">
            <v>BS_MASCH</v>
          </cell>
          <cell r="R88">
            <v>400996</v>
          </cell>
          <cell r="S88">
            <v>2</v>
          </cell>
          <cell r="T88">
            <v>10</v>
          </cell>
          <cell r="V88">
            <v>10201965</v>
          </cell>
        </row>
        <row r="89">
          <cell r="B89" t="str">
            <v>00362334-</v>
          </cell>
          <cell r="C89" t="str">
            <v>Motor cable intermediate belt</v>
          </cell>
          <cell r="D89" t="str">
            <v>Motorkabel Zwischenband</v>
          </cell>
          <cell r="E89" t="str">
            <v>electric</v>
          </cell>
          <cell r="F89">
            <v>100000</v>
          </cell>
          <cell r="G89">
            <v>1</v>
          </cell>
          <cell r="H89" t="str">
            <v>ST</v>
          </cell>
          <cell r="J89" t="str">
            <v>m3</v>
          </cell>
          <cell r="K89">
            <v>32</v>
          </cell>
          <cell r="L89" t="str">
            <v>RAABEM</v>
          </cell>
          <cell r="M89">
            <v>38100.638692129629</v>
          </cell>
          <cell r="N89">
            <v>38106</v>
          </cell>
          <cell r="O89">
            <v>38103.731516203705</v>
          </cell>
          <cell r="P89" t="str">
            <v>BS_MASCH</v>
          </cell>
          <cell r="R89">
            <v>400996</v>
          </cell>
          <cell r="S89">
            <v>1</v>
          </cell>
          <cell r="T89">
            <v>5</v>
          </cell>
          <cell r="V89">
            <v>10201965</v>
          </cell>
        </row>
        <row r="90">
          <cell r="B90" t="str">
            <v>00362337-</v>
          </cell>
          <cell r="C90" t="str">
            <v>Motor cable output belt</v>
          </cell>
          <cell r="D90" t="str">
            <v>Motorkabel Ausgabeband</v>
          </cell>
          <cell r="E90" t="str">
            <v>electric</v>
          </cell>
          <cell r="F90">
            <v>100000</v>
          </cell>
          <cell r="G90">
            <v>1</v>
          </cell>
          <cell r="H90" t="str">
            <v>ST</v>
          </cell>
          <cell r="J90" t="str">
            <v>m3</v>
          </cell>
          <cell r="K90">
            <v>3</v>
          </cell>
          <cell r="L90" t="str">
            <v>ZIMMERB</v>
          </cell>
          <cell r="M90">
            <v>37126</v>
          </cell>
          <cell r="N90">
            <v>38104</v>
          </cell>
          <cell r="O90">
            <v>37711.34070601852</v>
          </cell>
          <cell r="P90" t="str">
            <v>BS_MASCH</v>
          </cell>
          <cell r="S90">
            <v>2</v>
          </cell>
          <cell r="T90">
            <v>10</v>
          </cell>
          <cell r="V90">
            <v>10201965</v>
          </cell>
        </row>
        <row r="91">
          <cell r="B91" t="str">
            <v>00362332-</v>
          </cell>
          <cell r="C91" t="str">
            <v>Motor cable placement area 1</v>
          </cell>
          <cell r="D91" t="str">
            <v>Motorkabel Bestückbereich 1</v>
          </cell>
          <cell r="E91" t="str">
            <v>electric</v>
          </cell>
          <cell r="F91">
            <v>100000</v>
          </cell>
          <cell r="G91">
            <v>1</v>
          </cell>
          <cell r="H91" t="str">
            <v>ST</v>
          </cell>
          <cell r="J91" t="str">
            <v>m3</v>
          </cell>
          <cell r="K91">
            <v>35</v>
          </cell>
          <cell r="L91" t="str">
            <v>LITZLBECKA</v>
          </cell>
          <cell r="M91">
            <v>38100.638865740744</v>
          </cell>
          <cell r="N91">
            <v>38106</v>
          </cell>
          <cell r="O91">
            <v>38103.726226851853</v>
          </cell>
          <cell r="P91" t="str">
            <v>BS_MASCH</v>
          </cell>
          <cell r="R91">
            <v>400996</v>
          </cell>
          <cell r="S91">
            <v>1</v>
          </cell>
          <cell r="T91">
            <v>5</v>
          </cell>
          <cell r="V91">
            <v>10201965</v>
          </cell>
        </row>
        <row r="92">
          <cell r="B92" t="str">
            <v>00362336-</v>
          </cell>
          <cell r="C92" t="str">
            <v>Motor cable placement area 2</v>
          </cell>
          <cell r="D92" t="str">
            <v>Motorkabel Bestückbereich 2</v>
          </cell>
          <cell r="E92" t="str">
            <v>electric</v>
          </cell>
          <cell r="F92">
            <v>100000</v>
          </cell>
          <cell r="G92">
            <v>1</v>
          </cell>
          <cell r="H92" t="str">
            <v>ST</v>
          </cell>
          <cell r="J92" t="str">
            <v>M3</v>
          </cell>
          <cell r="K92">
            <v>36</v>
          </cell>
          <cell r="M92">
            <v>37322.703020833331</v>
          </cell>
          <cell r="N92">
            <v>38106</v>
          </cell>
          <cell r="O92">
            <v>37334.65834490741</v>
          </cell>
          <cell r="P92" t="str">
            <v>BS_MASCH</v>
          </cell>
          <cell r="S92">
            <v>1</v>
          </cell>
          <cell r="T92">
            <v>5</v>
          </cell>
          <cell r="V92">
            <v>10201965</v>
          </cell>
        </row>
        <row r="93">
          <cell r="B93" t="str">
            <v>00363420-</v>
          </cell>
          <cell r="C93" t="str">
            <v>Sensor cable 1 conveyor track 1</v>
          </cell>
          <cell r="D93" t="str">
            <v>Sensorleitung 1 Transport Spur 1</v>
          </cell>
          <cell r="F93">
            <v>100000</v>
          </cell>
          <cell r="G93">
            <v>1</v>
          </cell>
          <cell r="H93" t="str">
            <v>ST</v>
          </cell>
          <cell r="J93" t="str">
            <v>m3</v>
          </cell>
          <cell r="K93" t="str">
            <v>X13</v>
          </cell>
          <cell r="L93" t="str">
            <v>RAABEM</v>
          </cell>
          <cell r="M93">
            <v>38100.638703703706</v>
          </cell>
          <cell r="N93">
            <v>38104</v>
          </cell>
          <cell r="O93">
            <v>38103.721990740742</v>
          </cell>
          <cell r="P93" t="str">
            <v>BS_MASCH</v>
          </cell>
          <cell r="R93">
            <v>400996</v>
          </cell>
          <cell r="S93">
            <v>1</v>
          </cell>
          <cell r="T93">
            <v>5</v>
          </cell>
          <cell r="V93">
            <v>10201965</v>
          </cell>
        </row>
        <row r="94">
          <cell r="B94" t="str">
            <v>00363431-</v>
          </cell>
          <cell r="C94" t="str">
            <v>Sensor cable 2 conveyor track 1</v>
          </cell>
          <cell r="D94" t="str">
            <v>Sensorleitung 2 Transport Spur 1</v>
          </cell>
          <cell r="F94">
            <v>100000</v>
          </cell>
          <cell r="G94">
            <v>1</v>
          </cell>
          <cell r="H94" t="str">
            <v>ST</v>
          </cell>
          <cell r="J94" t="str">
            <v>m3</v>
          </cell>
          <cell r="K94" t="str">
            <v>ZU X13</v>
          </cell>
          <cell r="L94" t="str">
            <v>RAABEM</v>
          </cell>
          <cell r="M94">
            <v>38100.638715277775</v>
          </cell>
          <cell r="N94">
            <v>38104</v>
          </cell>
          <cell r="O94">
            <v>38103.722326388888</v>
          </cell>
          <cell r="P94" t="str">
            <v>BS_MASCH</v>
          </cell>
          <cell r="R94">
            <v>400996</v>
          </cell>
          <cell r="S94">
            <v>1</v>
          </cell>
          <cell r="T94">
            <v>5</v>
          </cell>
          <cell r="V94">
            <v>10201965</v>
          </cell>
        </row>
        <row r="95">
          <cell r="B95" t="str">
            <v>00363359-</v>
          </cell>
          <cell r="C95" t="str">
            <v>Steuerung komplett LP-Einfachtransport</v>
          </cell>
          <cell r="D95" t="str">
            <v>Steuerung komplett LP-Einfachtransport</v>
          </cell>
          <cell r="F95">
            <v>100000</v>
          </cell>
          <cell r="G95">
            <v>1</v>
          </cell>
          <cell r="H95" t="str">
            <v>ST</v>
          </cell>
          <cell r="I95" t="str">
            <v>E</v>
          </cell>
          <cell r="J95" t="str">
            <v>m3</v>
          </cell>
          <cell r="K95">
            <v>7</v>
          </cell>
          <cell r="L95" t="str">
            <v>MEISSNER</v>
          </cell>
          <cell r="M95">
            <v>38106.594259259262</v>
          </cell>
          <cell r="N95">
            <v>38106</v>
          </cell>
          <cell r="O95">
            <v>38106.699108796296</v>
          </cell>
          <cell r="P95" t="str">
            <v>BS_MASCH</v>
          </cell>
          <cell r="R95">
            <v>401044</v>
          </cell>
          <cell r="S95">
            <v>1</v>
          </cell>
          <cell r="T95">
            <v>5</v>
          </cell>
          <cell r="V95">
            <v>10201965</v>
          </cell>
        </row>
        <row r="96">
          <cell r="B96" t="str">
            <v>00360491-</v>
          </cell>
          <cell r="C96" t="str">
            <v>Base unit 1 transfer conveyor</v>
          </cell>
          <cell r="D96" t="str">
            <v>Grundkoerper 1 Uebergabetransp.</v>
          </cell>
          <cell r="E96" t="str">
            <v>fabricate</v>
          </cell>
          <cell r="F96">
            <v>100000</v>
          </cell>
          <cell r="G96">
            <v>1</v>
          </cell>
          <cell r="H96" t="str">
            <v>ST</v>
          </cell>
          <cell r="I96" t="str">
            <v>n</v>
          </cell>
          <cell r="J96" t="str">
            <v>M3</v>
          </cell>
          <cell r="L96" t="str">
            <v>EISINGER</v>
          </cell>
          <cell r="N96">
            <v>37424</v>
          </cell>
          <cell r="O96">
            <v>33570</v>
          </cell>
          <cell r="P96" t="str">
            <v>BS_MASCH</v>
          </cell>
          <cell r="S96">
            <v>2</v>
          </cell>
          <cell r="T96">
            <v>10</v>
          </cell>
          <cell r="V96" t="str">
            <v>KWY</v>
          </cell>
        </row>
        <row r="97">
          <cell r="B97" t="str">
            <v>00360492-</v>
          </cell>
          <cell r="C97" t="str">
            <v>Base unit 2 transfer conveyor</v>
          </cell>
          <cell r="D97" t="str">
            <v>Grundkoerper 2 Uebergabetransp.</v>
          </cell>
          <cell r="E97" t="str">
            <v>fabricate</v>
          </cell>
          <cell r="F97">
            <v>100000</v>
          </cell>
          <cell r="G97">
            <v>1</v>
          </cell>
          <cell r="H97" t="str">
            <v>ST</v>
          </cell>
          <cell r="J97" t="str">
            <v>M3</v>
          </cell>
          <cell r="K97">
            <v>20</v>
          </cell>
          <cell r="L97" t="str">
            <v>URLADUNG</v>
          </cell>
          <cell r="M97">
            <v>37239.476805555554</v>
          </cell>
          <cell r="N97">
            <v>38121</v>
          </cell>
          <cell r="O97">
            <v>37239.555162037039</v>
          </cell>
          <cell r="P97" t="str">
            <v>BS_MASCH</v>
          </cell>
          <cell r="S97">
            <v>2</v>
          </cell>
          <cell r="T97">
            <v>10</v>
          </cell>
          <cell r="V97" t="str">
            <v>KWY</v>
          </cell>
        </row>
        <row r="98">
          <cell r="B98" t="str">
            <v>00356847-</v>
          </cell>
          <cell r="C98" t="str">
            <v>carriage</v>
          </cell>
          <cell r="D98" t="str">
            <v>Fuehrungswagen</v>
          </cell>
          <cell r="F98">
            <v>200000</v>
          </cell>
          <cell r="G98">
            <v>2</v>
          </cell>
          <cell r="H98" t="str">
            <v>ST</v>
          </cell>
          <cell r="I98" t="str">
            <v>n</v>
          </cell>
          <cell r="J98" t="str">
            <v>m3</v>
          </cell>
          <cell r="K98" t="str">
            <v>ZU X4</v>
          </cell>
          <cell r="L98" t="str">
            <v>RAABEM</v>
          </cell>
          <cell r="M98">
            <v>38100.638703703706</v>
          </cell>
          <cell r="N98">
            <v>38072</v>
          </cell>
          <cell r="O98">
            <v>38103.721990740742</v>
          </cell>
          <cell r="P98" t="str">
            <v>BS_MASCH</v>
          </cell>
          <cell r="R98">
            <v>400996</v>
          </cell>
          <cell r="S98">
            <v>3</v>
          </cell>
          <cell r="T98">
            <v>15</v>
          </cell>
          <cell r="V98" t="str">
            <v>KWY</v>
          </cell>
        </row>
        <row r="99">
          <cell r="B99" t="str">
            <v>00360422-</v>
          </cell>
          <cell r="C99" t="str">
            <v>clamping device</v>
          </cell>
          <cell r="D99" t="str">
            <v>Klemmstück</v>
          </cell>
          <cell r="F99">
            <v>100000</v>
          </cell>
          <cell r="G99">
            <v>1</v>
          </cell>
          <cell r="H99" t="str">
            <v>ST</v>
          </cell>
          <cell r="I99" t="str">
            <v>n</v>
          </cell>
          <cell r="J99" t="str">
            <v>m3</v>
          </cell>
          <cell r="K99">
            <v>14</v>
          </cell>
          <cell r="L99" t="str">
            <v>SCHMIDR</v>
          </cell>
          <cell r="M99">
            <v>38071.517222222225</v>
          </cell>
          <cell r="N99">
            <v>38072</v>
          </cell>
          <cell r="O99">
            <v>38072.597685185188</v>
          </cell>
          <cell r="P99" t="str">
            <v>BS_MASCH</v>
          </cell>
          <cell r="R99">
            <v>400915</v>
          </cell>
          <cell r="S99">
            <v>17</v>
          </cell>
          <cell r="T99">
            <v>85</v>
          </cell>
          <cell r="V99" t="str">
            <v>KWY</v>
          </cell>
        </row>
        <row r="100">
          <cell r="B100" t="str">
            <v>00360719-</v>
          </cell>
          <cell r="C100" t="str">
            <v>CLAMPING RING</v>
          </cell>
          <cell r="D100" t="str">
            <v>Klemmring</v>
          </cell>
          <cell r="F100">
            <v>1000000</v>
          </cell>
          <cell r="G100">
            <v>10</v>
          </cell>
          <cell r="H100" t="str">
            <v>ST</v>
          </cell>
          <cell r="I100" t="str">
            <v>n</v>
          </cell>
          <cell r="J100" t="str">
            <v>m3</v>
          </cell>
          <cell r="K100">
            <v>33</v>
          </cell>
          <cell r="L100" t="str">
            <v>SCHMIDR</v>
          </cell>
          <cell r="M100">
            <v>38071.517210648148</v>
          </cell>
          <cell r="N100">
            <v>38072</v>
          </cell>
          <cell r="O100">
            <v>38072.602060185185</v>
          </cell>
          <cell r="P100" t="str">
            <v>BS_MASCH</v>
          </cell>
          <cell r="R100">
            <v>400915</v>
          </cell>
          <cell r="S100">
            <v>10</v>
          </cell>
          <cell r="T100">
            <v>50</v>
          </cell>
          <cell r="V100" t="str">
            <v>KWY</v>
          </cell>
        </row>
        <row r="101">
          <cell r="B101" t="str">
            <v>00356853-</v>
          </cell>
          <cell r="C101" t="str">
            <v>Guide rail 1 left side</v>
          </cell>
          <cell r="D101" t="str">
            <v>Fuehrungsleiste 1 links</v>
          </cell>
          <cell r="E101" t="str">
            <v>fabricate</v>
          </cell>
          <cell r="F101">
            <v>200000</v>
          </cell>
          <cell r="G101">
            <v>2</v>
          </cell>
          <cell r="H101" t="str">
            <v>ST</v>
          </cell>
          <cell r="J101" t="str">
            <v>m3</v>
          </cell>
          <cell r="L101" t="str">
            <v>RAABEM</v>
          </cell>
          <cell r="M101">
            <v>38100.638680555552</v>
          </cell>
          <cell r="N101">
            <v>38104</v>
          </cell>
          <cell r="O101">
            <v>38103.733136574076</v>
          </cell>
          <cell r="P101" t="str">
            <v>BS_MASCH</v>
          </cell>
          <cell r="R101">
            <v>400996</v>
          </cell>
          <cell r="S101">
            <v>2</v>
          </cell>
          <cell r="T101">
            <v>10</v>
          </cell>
          <cell r="V101" t="str">
            <v>KWY</v>
          </cell>
        </row>
        <row r="102">
          <cell r="B102" t="str">
            <v>00356852-</v>
          </cell>
          <cell r="C102" t="str">
            <v>Guide rail 1 right side</v>
          </cell>
          <cell r="D102" t="str">
            <v>Fuehrungsleiste 1 rechts</v>
          </cell>
          <cell r="E102" t="str">
            <v>fabricate</v>
          </cell>
          <cell r="F102">
            <v>200000</v>
          </cell>
          <cell r="G102">
            <v>2</v>
          </cell>
          <cell r="S102">
            <v>2</v>
          </cell>
          <cell r="T102">
            <v>10</v>
          </cell>
          <cell r="V102" t="str">
            <v>KWY</v>
          </cell>
        </row>
        <row r="103">
          <cell r="B103" t="str">
            <v>00368346-</v>
          </cell>
          <cell r="C103" t="str">
            <v>Guide rail 2 left side</v>
          </cell>
          <cell r="D103" t="str">
            <v>Fuehrungsleiste 2 links</v>
          </cell>
          <cell r="E103" t="str">
            <v>fabricate</v>
          </cell>
          <cell r="F103">
            <v>100000</v>
          </cell>
          <cell r="G103">
            <v>1</v>
          </cell>
          <cell r="H103" t="str">
            <v>ST</v>
          </cell>
          <cell r="I103" t="str">
            <v>E</v>
          </cell>
          <cell r="J103" t="str">
            <v>m3</v>
          </cell>
          <cell r="K103">
            <v>58</v>
          </cell>
          <cell r="L103" t="str">
            <v>RAABEM</v>
          </cell>
          <cell r="M103">
            <v>38100.638819444444</v>
          </cell>
          <cell r="N103">
            <v>38104</v>
          </cell>
          <cell r="O103">
            <v>38103.734409722223</v>
          </cell>
          <cell r="P103" t="str">
            <v>BS_MASCH</v>
          </cell>
          <cell r="R103">
            <v>400996</v>
          </cell>
          <cell r="S103">
            <v>1</v>
          </cell>
          <cell r="T103">
            <v>5</v>
          </cell>
          <cell r="V103" t="str">
            <v>KWY</v>
          </cell>
        </row>
        <row r="104">
          <cell r="B104" t="str">
            <v>00368345-</v>
          </cell>
          <cell r="C104" t="str">
            <v>Guide rail 2 right side 1</v>
          </cell>
          <cell r="D104" t="str">
            <v>Fuehrungsleiste 2 rechts</v>
          </cell>
          <cell r="E104" t="str">
            <v>fabricate</v>
          </cell>
          <cell r="F104">
            <v>100000</v>
          </cell>
          <cell r="G104">
            <v>1</v>
          </cell>
          <cell r="H104" t="str">
            <v>ST</v>
          </cell>
          <cell r="I104" t="str">
            <v>n</v>
          </cell>
          <cell r="J104" t="str">
            <v>m3</v>
          </cell>
          <cell r="K104" t="str">
            <v>ZU X11</v>
          </cell>
          <cell r="L104" t="str">
            <v>RAABEM</v>
          </cell>
          <cell r="M104">
            <v>38100.638703703706</v>
          </cell>
          <cell r="N104">
            <v>38103</v>
          </cell>
          <cell r="O104">
            <v>38103.721990740742</v>
          </cell>
          <cell r="P104" t="str">
            <v>BS_MASCH</v>
          </cell>
          <cell r="R104">
            <v>400996</v>
          </cell>
          <cell r="S104">
            <v>1</v>
          </cell>
          <cell r="T104">
            <v>5</v>
          </cell>
          <cell r="V104" t="str">
            <v>KWY</v>
          </cell>
        </row>
        <row r="105">
          <cell r="B105" t="str">
            <v>00368347-</v>
          </cell>
          <cell r="C105" t="str">
            <v>Guide rail 3 right side</v>
          </cell>
          <cell r="D105" t="str">
            <v>Fuehrungsleiste 3 rechts</v>
          </cell>
          <cell r="E105" t="str">
            <v>fabricate</v>
          </cell>
          <cell r="F105">
            <v>100000</v>
          </cell>
          <cell r="G105">
            <v>1</v>
          </cell>
          <cell r="H105" t="str">
            <v>ST</v>
          </cell>
          <cell r="I105" t="str">
            <v>n</v>
          </cell>
          <cell r="J105" t="str">
            <v>m3</v>
          </cell>
          <cell r="K105" t="str">
            <v>ZU X11</v>
          </cell>
          <cell r="L105" t="str">
            <v>RAABEM</v>
          </cell>
          <cell r="M105">
            <v>38100.638715277775</v>
          </cell>
          <cell r="N105">
            <v>38103</v>
          </cell>
          <cell r="O105">
            <v>38103.722326388888</v>
          </cell>
          <cell r="P105" t="str">
            <v>BS_MASCH</v>
          </cell>
          <cell r="R105">
            <v>400996</v>
          </cell>
          <cell r="S105">
            <v>1</v>
          </cell>
          <cell r="T105">
            <v>5</v>
          </cell>
          <cell r="V105" t="str">
            <v>KWY</v>
          </cell>
        </row>
        <row r="106">
          <cell r="B106" t="str">
            <v>00361797-</v>
          </cell>
          <cell r="C106" t="str">
            <v>Guide rail 4 left side</v>
          </cell>
          <cell r="D106" t="str">
            <v>Fuehrungsleiste 4 links</v>
          </cell>
          <cell r="E106" t="str">
            <v>fabricate</v>
          </cell>
          <cell r="F106">
            <v>100000</v>
          </cell>
          <cell r="G106">
            <v>1</v>
          </cell>
          <cell r="H106" t="str">
            <v>ST</v>
          </cell>
          <cell r="I106" t="str">
            <v>n</v>
          </cell>
          <cell r="J106" t="str">
            <v>m3</v>
          </cell>
          <cell r="K106" t="str">
            <v>ZU X11</v>
          </cell>
          <cell r="L106" t="str">
            <v>RAABEM</v>
          </cell>
          <cell r="M106">
            <v>38100.638715277775</v>
          </cell>
          <cell r="N106">
            <v>38103</v>
          </cell>
          <cell r="O106">
            <v>38103.72215277778</v>
          </cell>
          <cell r="P106" t="str">
            <v>BS_MASCH</v>
          </cell>
          <cell r="R106">
            <v>400996</v>
          </cell>
          <cell r="S106">
            <v>1</v>
          </cell>
          <cell r="T106">
            <v>5</v>
          </cell>
          <cell r="V106" t="str">
            <v>KWY</v>
          </cell>
        </row>
        <row r="107">
          <cell r="B107" t="str">
            <v>00368348-</v>
          </cell>
          <cell r="C107" t="str">
            <v>Guide rail 4 right side</v>
          </cell>
          <cell r="D107" t="str">
            <v>Fuehrungsleiste 4 rechts</v>
          </cell>
          <cell r="E107" t="str">
            <v>fabricate</v>
          </cell>
          <cell r="F107">
            <v>100000</v>
          </cell>
          <cell r="G107">
            <v>1</v>
          </cell>
          <cell r="H107" t="str">
            <v>ST</v>
          </cell>
          <cell r="I107" t="str">
            <v>n</v>
          </cell>
          <cell r="J107" t="str">
            <v>m3</v>
          </cell>
          <cell r="K107" t="str">
            <v>ZU X11</v>
          </cell>
          <cell r="L107" t="str">
            <v>RAABEM</v>
          </cell>
          <cell r="M107">
            <v>38100.638692129629</v>
          </cell>
          <cell r="N107">
            <v>38103</v>
          </cell>
          <cell r="O107">
            <v>38103.722500000003</v>
          </cell>
          <cell r="P107" t="str">
            <v>BS_MASCH</v>
          </cell>
          <cell r="R107">
            <v>400996</v>
          </cell>
          <cell r="S107">
            <v>1</v>
          </cell>
          <cell r="T107">
            <v>5</v>
          </cell>
          <cell r="V107" t="str">
            <v>KWY</v>
          </cell>
        </row>
        <row r="108">
          <cell r="B108" t="str">
            <v>00368350-</v>
          </cell>
          <cell r="C108" t="str">
            <v>Guide rail 5 left side</v>
          </cell>
          <cell r="D108" t="str">
            <v>Fuehrungsleiste 5 links</v>
          </cell>
          <cell r="E108" t="str">
            <v>fabricate</v>
          </cell>
          <cell r="F108">
            <v>100000</v>
          </cell>
          <cell r="G108">
            <v>1</v>
          </cell>
          <cell r="H108" t="str">
            <v>ST</v>
          </cell>
          <cell r="I108" t="str">
            <v>n</v>
          </cell>
          <cell r="J108" t="str">
            <v>m3</v>
          </cell>
          <cell r="L108" t="str">
            <v>RAABEM</v>
          </cell>
          <cell r="M108">
            <v>38100.638680555552</v>
          </cell>
          <cell r="N108">
            <v>38103</v>
          </cell>
          <cell r="O108">
            <v>38103.733136574076</v>
          </cell>
          <cell r="P108" t="str">
            <v>BS_MASCH</v>
          </cell>
          <cell r="R108">
            <v>400996</v>
          </cell>
          <cell r="S108">
            <v>1</v>
          </cell>
          <cell r="T108">
            <v>5</v>
          </cell>
          <cell r="V108" t="str">
            <v>KWY</v>
          </cell>
        </row>
        <row r="109">
          <cell r="B109" t="str">
            <v>00368372-</v>
          </cell>
          <cell r="C109" t="str">
            <v>Guide rail 5 right side</v>
          </cell>
          <cell r="D109" t="str">
            <v>Fuehrungsleiste 5 rechts</v>
          </cell>
          <cell r="E109" t="str">
            <v>fabricate</v>
          </cell>
          <cell r="F109">
            <v>100000</v>
          </cell>
          <cell r="G109">
            <v>1</v>
          </cell>
          <cell r="S109">
            <v>1</v>
          </cell>
          <cell r="T109">
            <v>5</v>
          </cell>
          <cell r="V109" t="str">
            <v>KWY</v>
          </cell>
        </row>
        <row r="110">
          <cell r="B110" t="str">
            <v>00368371-</v>
          </cell>
          <cell r="C110" t="str">
            <v>Guide rail 6 left side</v>
          </cell>
          <cell r="D110" t="str">
            <v>Fuehrungsleiste 6 links</v>
          </cell>
          <cell r="E110" t="str">
            <v>fabricate</v>
          </cell>
          <cell r="F110">
            <v>100000</v>
          </cell>
          <cell r="G110">
            <v>1</v>
          </cell>
          <cell r="H110" t="str">
            <v>ST</v>
          </cell>
          <cell r="I110" t="str">
            <v>E</v>
          </cell>
          <cell r="J110" t="str">
            <v>m3</v>
          </cell>
          <cell r="K110">
            <v>59</v>
          </cell>
          <cell r="L110" t="str">
            <v>RAABEM</v>
          </cell>
          <cell r="M110">
            <v>38100.638819444444</v>
          </cell>
          <cell r="N110">
            <v>38104</v>
          </cell>
          <cell r="O110">
            <v>38103.734212962961</v>
          </cell>
          <cell r="P110" t="str">
            <v>BS_MASCH</v>
          </cell>
          <cell r="R110">
            <v>400996</v>
          </cell>
          <cell r="S110">
            <v>1</v>
          </cell>
          <cell r="T110">
            <v>5</v>
          </cell>
          <cell r="V110" t="str">
            <v>KWY</v>
          </cell>
        </row>
        <row r="111">
          <cell r="B111" t="str">
            <v>00375331-</v>
          </cell>
          <cell r="C111" t="str">
            <v>Guide rail sensor BB</v>
          </cell>
          <cell r="D111" t="str">
            <v>Fuehrungsleiste Sensor BB</v>
          </cell>
          <cell r="F111">
            <v>200000</v>
          </cell>
          <cell r="G111">
            <v>2</v>
          </cell>
          <cell r="H111" t="str">
            <v>ST</v>
          </cell>
          <cell r="I111" t="str">
            <v>n</v>
          </cell>
          <cell r="J111" t="str">
            <v>m3</v>
          </cell>
          <cell r="K111" t="str">
            <v>ZU X12</v>
          </cell>
          <cell r="L111" t="str">
            <v>RAABEM</v>
          </cell>
          <cell r="M111">
            <v>38100.638715277775</v>
          </cell>
          <cell r="N111">
            <v>38103</v>
          </cell>
          <cell r="O111">
            <v>38103.722326388888</v>
          </cell>
          <cell r="P111" t="str">
            <v>BS_MASCH</v>
          </cell>
          <cell r="R111">
            <v>400996</v>
          </cell>
          <cell r="S111">
            <v>2</v>
          </cell>
          <cell r="T111">
            <v>10</v>
          </cell>
          <cell r="V111" t="str">
            <v>KWY</v>
          </cell>
        </row>
        <row r="112">
          <cell r="B112" t="str">
            <v>00361548-</v>
          </cell>
          <cell r="C112" t="str">
            <v>stop</v>
          </cell>
          <cell r="D112" t="str">
            <v>Anschlag</v>
          </cell>
          <cell r="F112">
            <v>400000</v>
          </cell>
          <cell r="G112">
            <v>4</v>
          </cell>
          <cell r="H112" t="str">
            <v>ST</v>
          </cell>
          <cell r="J112" t="str">
            <v>m3</v>
          </cell>
          <cell r="K112">
            <v>11</v>
          </cell>
          <cell r="L112" t="str">
            <v>MEISSNER</v>
          </cell>
          <cell r="M112">
            <v>38106.594259259262</v>
          </cell>
          <cell r="N112">
            <v>38106</v>
          </cell>
          <cell r="O112">
            <v>38106.69908564815</v>
          </cell>
          <cell r="P112" t="str">
            <v>BS_MASCH</v>
          </cell>
          <cell r="R112">
            <v>401044</v>
          </cell>
          <cell r="S112">
            <v>8</v>
          </cell>
          <cell r="T112">
            <v>40</v>
          </cell>
          <cell r="V112" t="str">
            <v>KWY</v>
          </cell>
        </row>
        <row r="113">
          <cell r="B113" t="str">
            <v>00361865-</v>
          </cell>
          <cell r="C113" t="str">
            <v>Stop rail 1 right side</v>
          </cell>
          <cell r="D113" t="str">
            <v>Anschlagsleiste 1 rechts</v>
          </cell>
          <cell r="E113" t="str">
            <v>fabricate</v>
          </cell>
          <cell r="F113">
            <v>100000</v>
          </cell>
          <cell r="G113">
            <v>1</v>
          </cell>
          <cell r="H113" t="str">
            <v>ST</v>
          </cell>
          <cell r="J113" t="str">
            <v>m3</v>
          </cell>
          <cell r="K113">
            <v>8</v>
          </cell>
          <cell r="L113" t="str">
            <v>MEISSNER</v>
          </cell>
          <cell r="M113">
            <v>38106.594421296293</v>
          </cell>
          <cell r="N113">
            <v>38106</v>
          </cell>
          <cell r="O113">
            <v>38106.700555555559</v>
          </cell>
          <cell r="P113" t="str">
            <v>BS_MASCH</v>
          </cell>
          <cell r="R113">
            <v>401044</v>
          </cell>
          <cell r="S113">
            <v>1</v>
          </cell>
          <cell r="T113">
            <v>5</v>
          </cell>
          <cell r="V113" t="str">
            <v>KWY</v>
          </cell>
        </row>
        <row r="114">
          <cell r="B114" t="str">
            <v>00361868-</v>
          </cell>
          <cell r="C114" t="str">
            <v>stop rail 2 left side B</v>
          </cell>
          <cell r="D114" t="str">
            <v>Anschlagleiste 2 links B</v>
          </cell>
          <cell r="E114" t="str">
            <v>fabricate</v>
          </cell>
          <cell r="F114">
            <v>100000</v>
          </cell>
          <cell r="G114">
            <v>1</v>
          </cell>
          <cell r="H114" t="str">
            <v>ST</v>
          </cell>
          <cell r="J114" t="str">
            <v>m3</v>
          </cell>
          <cell r="K114">
            <v>1</v>
          </cell>
          <cell r="L114" t="str">
            <v>MEISSNER</v>
          </cell>
          <cell r="M114">
            <v>38106.594398148147</v>
          </cell>
          <cell r="N114">
            <v>38106</v>
          </cell>
          <cell r="O114">
            <v>38106.700300925928</v>
          </cell>
          <cell r="P114" t="str">
            <v>BS_MASCH</v>
          </cell>
          <cell r="R114">
            <v>401044</v>
          </cell>
          <cell r="S114">
            <v>1</v>
          </cell>
          <cell r="T114">
            <v>5</v>
          </cell>
          <cell r="V114" t="str">
            <v>KWY</v>
          </cell>
        </row>
        <row r="115">
          <cell r="B115" t="str">
            <v>00361867-</v>
          </cell>
          <cell r="C115" t="str">
            <v>Stop rail 2 right side</v>
          </cell>
          <cell r="D115" t="str">
            <v>Anschlagsleiste 2 rechts</v>
          </cell>
          <cell r="E115" t="str">
            <v>fabricate</v>
          </cell>
          <cell r="F115">
            <v>100000</v>
          </cell>
          <cell r="G115">
            <v>1</v>
          </cell>
          <cell r="H115" t="str">
            <v>ST</v>
          </cell>
          <cell r="J115" t="str">
            <v>m3</v>
          </cell>
          <cell r="K115">
            <v>1</v>
          </cell>
          <cell r="L115" t="str">
            <v>MEISSNER</v>
          </cell>
          <cell r="M115">
            <v>38106.594363425924</v>
          </cell>
          <cell r="N115">
            <v>38106</v>
          </cell>
          <cell r="O115">
            <v>38106.699953703705</v>
          </cell>
          <cell r="P115" t="str">
            <v>BS_MASCH</v>
          </cell>
          <cell r="R115">
            <v>401044</v>
          </cell>
          <cell r="S115">
            <v>1</v>
          </cell>
          <cell r="T115">
            <v>5</v>
          </cell>
          <cell r="V115" t="str">
            <v>KWY</v>
          </cell>
        </row>
        <row r="116">
          <cell r="B116" t="str">
            <v>00361869-</v>
          </cell>
          <cell r="C116" t="str">
            <v>Stop rail 3</v>
          </cell>
          <cell r="D116" t="str">
            <v>Anschlagleiste 3</v>
          </cell>
          <cell r="E116" t="str">
            <v>fabricate</v>
          </cell>
          <cell r="F116">
            <v>100000</v>
          </cell>
          <cell r="G116">
            <v>1</v>
          </cell>
          <cell r="H116" t="str">
            <v>ST</v>
          </cell>
          <cell r="I116" t="str">
            <v>E</v>
          </cell>
          <cell r="J116" t="str">
            <v>m3</v>
          </cell>
          <cell r="K116">
            <v>2</v>
          </cell>
          <cell r="L116" t="str">
            <v>MEISSNER</v>
          </cell>
          <cell r="M116">
            <v>38106.594363425924</v>
          </cell>
          <cell r="N116">
            <v>38106</v>
          </cell>
          <cell r="O116">
            <v>38106.699918981481</v>
          </cell>
          <cell r="P116" t="str">
            <v>BS_MASCH</v>
          </cell>
          <cell r="R116">
            <v>401044</v>
          </cell>
          <cell r="S116">
            <v>2</v>
          </cell>
          <cell r="T116">
            <v>10</v>
          </cell>
          <cell r="V116" t="str">
            <v>KWY</v>
          </cell>
        </row>
        <row r="117">
          <cell r="B117" t="str">
            <v>00364726-</v>
          </cell>
          <cell r="C117" t="str">
            <v>Transition piece 4</v>
          </cell>
          <cell r="D117" t="str">
            <v>Uebergangsstueck 4</v>
          </cell>
          <cell r="F117">
            <v>200000</v>
          </cell>
          <cell r="G117">
            <v>2</v>
          </cell>
          <cell r="H117" t="str">
            <v>ST</v>
          </cell>
          <cell r="J117" t="str">
            <v>m3</v>
          </cell>
          <cell r="K117" t="str">
            <v>ZU X1</v>
          </cell>
          <cell r="L117" t="str">
            <v>RAABEM</v>
          </cell>
          <cell r="M117">
            <v>38100.638692129629</v>
          </cell>
          <cell r="N117">
            <v>38106</v>
          </cell>
          <cell r="O117">
            <v>38103.722500000003</v>
          </cell>
          <cell r="P117" t="str">
            <v>BS_MASCH</v>
          </cell>
          <cell r="R117">
            <v>400996</v>
          </cell>
          <cell r="S117">
            <v>2</v>
          </cell>
          <cell r="T117">
            <v>10</v>
          </cell>
          <cell r="V117" t="str">
            <v>KWY</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S1-1"/>
      <sheetName val="S1-2"/>
      <sheetName val="S2"/>
      <sheetName val="S3"/>
      <sheetName val="S4"/>
      <sheetName val="S5-1"/>
      <sheetName val="S5-2"/>
      <sheetName val="S6-1"/>
      <sheetName val="S6-2"/>
      <sheetName val="S6-3"/>
      <sheetName val="S6-4"/>
      <sheetName val="S6-5"/>
      <sheetName val="S8-1"/>
      <sheetName val="S8-2"/>
      <sheetName val="Table"/>
      <sheetName val="DEFINITION"/>
      <sheetName val="PR"/>
      <sheetName val="#REF!"/>
      <sheetName val="Key7"/>
      <sheetName val="DEFINITION1"/>
      <sheetName val="回路部品ﾘｽﾄ"/>
      <sheetName val="機構部品ﾘｽ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2">
          <cell r="C2">
            <v>38077</v>
          </cell>
        </row>
        <row r="4">
          <cell r="B4" t="str">
            <v/>
          </cell>
          <cell r="C4" t="str">
            <v>PRICON</v>
          </cell>
        </row>
        <row r="5">
          <cell r="B5" t="str">
            <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S1-1"/>
      <sheetName val="S1-2"/>
      <sheetName val="S2"/>
      <sheetName val="S3"/>
      <sheetName val="S4"/>
      <sheetName val="S5-1"/>
      <sheetName val="S6-1"/>
      <sheetName val="S5-2"/>
      <sheetName val="S6-2"/>
      <sheetName val="S6-3"/>
      <sheetName val="S6-4"/>
      <sheetName val="S8-1"/>
      <sheetName val="S6-5"/>
      <sheetName val="S8-2"/>
      <sheetName val="Table1"/>
      <sheetName val="DEFINITION1"/>
      <sheetName val="Module1"/>
      <sheetName val="#REF!"/>
      <sheetName val="DEFINITION"/>
      <sheetName val="回路部品ﾘｽﾄ"/>
      <sheetName val="機構部品ﾘｽﾄ"/>
      <sheetName val="Key7"/>
      <sheetName val="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t="str">
            <v>0000</v>
          </cell>
          <cell r="B1" t="str">
            <v>日本語</v>
          </cell>
        </row>
        <row r="2">
          <cell r="A2">
            <v>1000</v>
          </cell>
          <cell r="B2" t="str">
            <v>現金</v>
          </cell>
        </row>
        <row r="3">
          <cell r="A3">
            <v>1010</v>
          </cell>
          <cell r="B3" t="str">
            <v>預金</v>
          </cell>
        </row>
        <row r="4">
          <cell r="A4">
            <v>1011</v>
          </cell>
          <cell r="B4" t="str">
            <v>預金(除く現金同等物）</v>
          </cell>
        </row>
        <row r="5">
          <cell r="A5">
            <v>1020</v>
          </cell>
          <cell r="B5" t="str">
            <v>受取手形</v>
          </cell>
        </row>
        <row r="6">
          <cell r="A6">
            <v>1021</v>
          </cell>
          <cell r="B6" t="str">
            <v>受取手形連子</v>
          </cell>
        </row>
        <row r="7">
          <cell r="A7">
            <v>1022</v>
          </cell>
          <cell r="B7" t="str">
            <v>受取手形他</v>
          </cell>
        </row>
        <row r="8">
          <cell r="A8">
            <v>1023</v>
          </cell>
          <cell r="B8" t="str">
            <v>受取手形非連子</v>
          </cell>
        </row>
        <row r="9">
          <cell r="A9">
            <v>1040</v>
          </cell>
          <cell r="B9" t="str">
            <v>手形裏書譲渡高</v>
          </cell>
        </row>
        <row r="10">
          <cell r="A10">
            <v>1041</v>
          </cell>
          <cell r="B10" t="str">
            <v>手形裏書譲渡高連子</v>
          </cell>
        </row>
        <row r="11">
          <cell r="A11">
            <v>1042</v>
          </cell>
          <cell r="B11" t="str">
            <v>手形裏書譲渡高他</v>
          </cell>
        </row>
        <row r="12">
          <cell r="A12">
            <v>1043</v>
          </cell>
          <cell r="B12" t="str">
            <v>手形裏書譲渡高非連子</v>
          </cell>
        </row>
        <row r="13">
          <cell r="A13">
            <v>1050</v>
          </cell>
          <cell r="B13" t="str">
            <v>売掛金</v>
          </cell>
        </row>
        <row r="14">
          <cell r="A14">
            <v>1051</v>
          </cell>
          <cell r="B14" t="str">
            <v>売掛金連子</v>
          </cell>
        </row>
        <row r="15">
          <cell r="A15">
            <v>1052</v>
          </cell>
          <cell r="B15" t="str">
            <v>売掛金他</v>
          </cell>
        </row>
        <row r="16">
          <cell r="A16">
            <v>1053</v>
          </cell>
          <cell r="B16" t="str">
            <v>売掛金非連子</v>
          </cell>
        </row>
        <row r="17">
          <cell r="A17">
            <v>1060</v>
          </cell>
          <cell r="B17" t="str">
            <v>有価証券</v>
          </cell>
        </row>
        <row r="18">
          <cell r="A18">
            <v>1061</v>
          </cell>
          <cell r="B18" t="str">
            <v>有価証券（除く現金同等物）</v>
          </cell>
        </row>
        <row r="19">
          <cell r="A19">
            <v>1080</v>
          </cell>
          <cell r="B19" t="str">
            <v>製品・商品</v>
          </cell>
        </row>
        <row r="20">
          <cell r="A20">
            <v>1090</v>
          </cell>
          <cell r="B20" t="str">
            <v>半製品・仕掛品</v>
          </cell>
        </row>
        <row r="21">
          <cell r="A21">
            <v>1100</v>
          </cell>
          <cell r="B21" t="str">
            <v>原材料</v>
          </cell>
        </row>
        <row r="22">
          <cell r="A22">
            <v>1110</v>
          </cell>
          <cell r="B22" t="str">
            <v>貯蔵品</v>
          </cell>
        </row>
        <row r="23">
          <cell r="A23">
            <v>1115</v>
          </cell>
          <cell r="B23" t="str">
            <v>未着品</v>
          </cell>
        </row>
        <row r="24">
          <cell r="A24">
            <v>1120</v>
          </cell>
          <cell r="B24" t="str">
            <v>前渡金</v>
          </cell>
        </row>
        <row r="25">
          <cell r="A25">
            <v>1121</v>
          </cell>
          <cell r="B25" t="str">
            <v>前渡金連子</v>
          </cell>
        </row>
        <row r="26">
          <cell r="A26">
            <v>1122</v>
          </cell>
          <cell r="B26" t="str">
            <v>前渡金他</v>
          </cell>
        </row>
        <row r="27">
          <cell r="A27">
            <v>1123</v>
          </cell>
          <cell r="B27" t="str">
            <v>前渡金非連子</v>
          </cell>
        </row>
        <row r="28">
          <cell r="A28">
            <v>1130</v>
          </cell>
          <cell r="B28" t="str">
            <v>前払費用</v>
          </cell>
        </row>
        <row r="29">
          <cell r="A29">
            <v>1131</v>
          </cell>
          <cell r="B29" t="str">
            <v>前払費用連子</v>
          </cell>
        </row>
        <row r="30">
          <cell r="A30">
            <v>1132</v>
          </cell>
          <cell r="B30" t="str">
            <v>前払費用他</v>
          </cell>
        </row>
        <row r="31">
          <cell r="A31">
            <v>1133</v>
          </cell>
          <cell r="B31" t="str">
            <v>前払費用非連子</v>
          </cell>
        </row>
        <row r="32">
          <cell r="A32">
            <v>1140</v>
          </cell>
          <cell r="B32" t="str">
            <v>未収入金</v>
          </cell>
        </row>
        <row r="33">
          <cell r="A33">
            <v>1141</v>
          </cell>
          <cell r="B33" t="str">
            <v>未収入金連子</v>
          </cell>
        </row>
        <row r="34">
          <cell r="A34">
            <v>1142</v>
          </cell>
          <cell r="B34" t="str">
            <v>未収入金他</v>
          </cell>
        </row>
        <row r="35">
          <cell r="A35">
            <v>1143</v>
          </cell>
          <cell r="B35" t="str">
            <v>未収入金非連子</v>
          </cell>
        </row>
        <row r="36">
          <cell r="A36">
            <v>1150</v>
          </cell>
          <cell r="B36" t="str">
            <v>未収消費税</v>
          </cell>
        </row>
        <row r="37">
          <cell r="A37">
            <v>1160</v>
          </cell>
          <cell r="B37" t="str">
            <v>未収収益</v>
          </cell>
        </row>
        <row r="38">
          <cell r="A38">
            <v>1161</v>
          </cell>
          <cell r="B38" t="str">
            <v>未収収益連子</v>
          </cell>
        </row>
        <row r="39">
          <cell r="A39">
            <v>1162</v>
          </cell>
          <cell r="B39" t="str">
            <v>未収収益他</v>
          </cell>
        </row>
        <row r="40">
          <cell r="A40">
            <v>1163</v>
          </cell>
          <cell r="B40" t="str">
            <v>未収収益非連子</v>
          </cell>
        </row>
        <row r="41">
          <cell r="A41">
            <v>1170</v>
          </cell>
          <cell r="B41" t="str">
            <v>短期貸付金</v>
          </cell>
        </row>
        <row r="42">
          <cell r="A42">
            <v>1171</v>
          </cell>
          <cell r="B42" t="str">
            <v>短期貸付金連子</v>
          </cell>
        </row>
        <row r="43">
          <cell r="A43">
            <v>1172</v>
          </cell>
          <cell r="B43" t="str">
            <v>短期貸付金他</v>
          </cell>
        </row>
        <row r="44">
          <cell r="A44">
            <v>1173</v>
          </cell>
          <cell r="B44" t="str">
            <v>短期貸付金非連子</v>
          </cell>
        </row>
        <row r="45">
          <cell r="A45">
            <v>1180</v>
          </cell>
          <cell r="B45" t="str">
            <v>一年以内返済長期貸付金</v>
          </cell>
        </row>
        <row r="46">
          <cell r="A46">
            <v>1181</v>
          </cell>
          <cell r="B46" t="str">
            <v>一年以内返済長期貸付金連子</v>
          </cell>
        </row>
        <row r="47">
          <cell r="A47">
            <v>1182</v>
          </cell>
          <cell r="B47" t="str">
            <v>一年以内返済長期貸付金他</v>
          </cell>
        </row>
        <row r="48">
          <cell r="A48">
            <v>1183</v>
          </cell>
          <cell r="B48" t="str">
            <v>一年以内返済長期貸付金</v>
          </cell>
        </row>
        <row r="49">
          <cell r="A49">
            <v>1190</v>
          </cell>
          <cell r="B49" t="str">
            <v>積立金</v>
          </cell>
        </row>
        <row r="50">
          <cell r="A50">
            <v>1200</v>
          </cell>
          <cell r="B50" t="str">
            <v>立替金</v>
          </cell>
        </row>
        <row r="51">
          <cell r="A51">
            <v>1201</v>
          </cell>
          <cell r="B51" t="str">
            <v>立替金連子</v>
          </cell>
        </row>
        <row r="52">
          <cell r="A52">
            <v>1202</v>
          </cell>
          <cell r="B52" t="str">
            <v>立替金他</v>
          </cell>
        </row>
        <row r="53">
          <cell r="A53">
            <v>1203</v>
          </cell>
          <cell r="B53" t="str">
            <v>立替金非連子</v>
          </cell>
        </row>
        <row r="54">
          <cell r="A54">
            <v>1210</v>
          </cell>
          <cell r="B54" t="str">
            <v>仮払金</v>
          </cell>
        </row>
        <row r="55">
          <cell r="A55">
            <v>1220</v>
          </cell>
          <cell r="B55" t="str">
            <v>繰延税金資産</v>
          </cell>
        </row>
        <row r="56">
          <cell r="A56">
            <v>1230</v>
          </cell>
          <cell r="B56" t="str">
            <v>その他流動資産</v>
          </cell>
        </row>
        <row r="57">
          <cell r="A57">
            <v>1231</v>
          </cell>
          <cell r="B57" t="str">
            <v>その他流動資産連子</v>
          </cell>
        </row>
        <row r="58">
          <cell r="A58">
            <v>1232</v>
          </cell>
          <cell r="B58" t="str">
            <v>その他流動資産他</v>
          </cell>
        </row>
        <row r="59">
          <cell r="A59">
            <v>1233</v>
          </cell>
          <cell r="B59" t="str">
            <v>その他流動資産非連子</v>
          </cell>
        </row>
        <row r="60">
          <cell r="A60">
            <v>1240</v>
          </cell>
          <cell r="B60" t="str">
            <v>貸倒引当金</v>
          </cell>
        </row>
        <row r="61">
          <cell r="A61">
            <v>1241</v>
          </cell>
          <cell r="B61" t="str">
            <v>貸倒引当金連子</v>
          </cell>
        </row>
        <row r="62">
          <cell r="A62">
            <v>1242</v>
          </cell>
          <cell r="B62" t="str">
            <v>貸倒引当金他</v>
          </cell>
        </row>
        <row r="63">
          <cell r="A63">
            <v>1243</v>
          </cell>
          <cell r="B63" t="str">
            <v>貸倒引当金非連子</v>
          </cell>
        </row>
        <row r="64">
          <cell r="A64">
            <v>1250</v>
          </cell>
          <cell r="B64" t="str">
            <v>端数調整勘定</v>
          </cell>
        </row>
        <row r="65">
          <cell r="A65">
            <v>1260</v>
          </cell>
          <cell r="B65" t="str">
            <v>修正仕訳振替勘定</v>
          </cell>
        </row>
        <row r="66">
          <cell r="A66">
            <v>1270</v>
          </cell>
          <cell r="B66" t="str">
            <v>不突合調整勘定借方</v>
          </cell>
        </row>
        <row r="67">
          <cell r="A67">
            <v>1280</v>
          </cell>
          <cell r="B67" t="str">
            <v>自己株式</v>
          </cell>
        </row>
        <row r="68">
          <cell r="A68">
            <v>1990</v>
          </cell>
          <cell r="B68" t="str">
            <v>（流動資産合計）</v>
          </cell>
        </row>
        <row r="69">
          <cell r="A69">
            <v>2000</v>
          </cell>
          <cell r="B69" t="str">
            <v>建物取得価額</v>
          </cell>
        </row>
        <row r="70">
          <cell r="A70">
            <v>2010</v>
          </cell>
          <cell r="B70" t="str">
            <v>建物減価償却累計額</v>
          </cell>
        </row>
        <row r="71">
          <cell r="A71">
            <v>2020</v>
          </cell>
          <cell r="B71" t="str">
            <v>建物簿価</v>
          </cell>
        </row>
        <row r="72">
          <cell r="A72">
            <v>2030</v>
          </cell>
          <cell r="B72" t="str">
            <v>構築物取得価額</v>
          </cell>
        </row>
        <row r="73">
          <cell r="A73">
            <v>2040</v>
          </cell>
          <cell r="B73" t="str">
            <v>構築物減価償却累計額</v>
          </cell>
        </row>
        <row r="74">
          <cell r="A74">
            <v>2050</v>
          </cell>
          <cell r="B74" t="str">
            <v>構築物簿価</v>
          </cell>
        </row>
        <row r="75">
          <cell r="A75">
            <v>2060</v>
          </cell>
          <cell r="B75" t="str">
            <v>機械装置取得価額</v>
          </cell>
        </row>
        <row r="76">
          <cell r="A76">
            <v>2070</v>
          </cell>
          <cell r="B76" t="str">
            <v>機械装置減価償却累計額</v>
          </cell>
        </row>
        <row r="77">
          <cell r="A77">
            <v>2080</v>
          </cell>
          <cell r="B77" t="str">
            <v>機械装置簿価</v>
          </cell>
        </row>
        <row r="78">
          <cell r="A78">
            <v>2090</v>
          </cell>
          <cell r="B78" t="str">
            <v>車両運搬具取得価額</v>
          </cell>
        </row>
        <row r="79">
          <cell r="A79">
            <v>2100</v>
          </cell>
          <cell r="B79" t="str">
            <v>車両運搬具減価償却累計額</v>
          </cell>
        </row>
        <row r="80">
          <cell r="A80">
            <v>2110</v>
          </cell>
          <cell r="B80" t="str">
            <v>車両運搬具簿価</v>
          </cell>
        </row>
        <row r="81">
          <cell r="A81">
            <v>2120</v>
          </cell>
          <cell r="B81" t="str">
            <v>工具器具備品取得価額</v>
          </cell>
        </row>
        <row r="82">
          <cell r="A82">
            <v>2130</v>
          </cell>
          <cell r="B82" t="str">
            <v>工具器具備品減価償却累計額</v>
          </cell>
        </row>
        <row r="83">
          <cell r="A83">
            <v>2140</v>
          </cell>
          <cell r="B83" t="str">
            <v>工具器具備品簿価</v>
          </cell>
        </row>
        <row r="84">
          <cell r="A84">
            <v>2150</v>
          </cell>
          <cell r="B84" t="str">
            <v>土地</v>
          </cell>
        </row>
        <row r="85">
          <cell r="A85">
            <v>2160</v>
          </cell>
          <cell r="B85" t="str">
            <v>建設仮勘定</v>
          </cell>
        </row>
        <row r="86">
          <cell r="A86">
            <v>2190</v>
          </cell>
          <cell r="B86" t="str">
            <v>（有形固定資産合計)</v>
          </cell>
        </row>
        <row r="87">
          <cell r="A87">
            <v>2200</v>
          </cell>
          <cell r="B87" t="str">
            <v>特許権</v>
          </cell>
        </row>
        <row r="88">
          <cell r="A88">
            <v>2210</v>
          </cell>
          <cell r="B88" t="str">
            <v>借地権</v>
          </cell>
        </row>
        <row r="89">
          <cell r="A89">
            <v>2220</v>
          </cell>
          <cell r="B89" t="str">
            <v>諸施設利用権</v>
          </cell>
        </row>
        <row r="90">
          <cell r="A90">
            <v>2225</v>
          </cell>
          <cell r="B90" t="str">
            <v>ソフトウェア</v>
          </cell>
        </row>
        <row r="91">
          <cell r="A91">
            <v>2230</v>
          </cell>
          <cell r="B91" t="str">
            <v>その他無形固定資産</v>
          </cell>
        </row>
        <row r="92">
          <cell r="A92">
            <v>2290</v>
          </cell>
          <cell r="B92" t="str">
            <v>(無形固定資産)</v>
          </cell>
        </row>
        <row r="93">
          <cell r="A93">
            <v>2300</v>
          </cell>
          <cell r="B93" t="str">
            <v>投資有価証券</v>
          </cell>
        </row>
        <row r="94">
          <cell r="A94">
            <v>2310</v>
          </cell>
          <cell r="B94" t="str">
            <v>関係会社株式</v>
          </cell>
        </row>
        <row r="95">
          <cell r="A95">
            <v>2311</v>
          </cell>
          <cell r="B95" t="str">
            <v>関係会社株式連子</v>
          </cell>
        </row>
        <row r="96">
          <cell r="A96">
            <v>2312</v>
          </cell>
          <cell r="B96" t="str">
            <v>関係会社株式他</v>
          </cell>
        </row>
        <row r="97">
          <cell r="A97">
            <v>2313</v>
          </cell>
          <cell r="B97" t="str">
            <v>関係会社株式非連子</v>
          </cell>
        </row>
        <row r="98">
          <cell r="A98">
            <v>2320</v>
          </cell>
          <cell r="B98" t="str">
            <v>出資金</v>
          </cell>
        </row>
        <row r="99">
          <cell r="A99">
            <v>2321</v>
          </cell>
          <cell r="B99" t="str">
            <v>出資金連子</v>
          </cell>
        </row>
        <row r="100">
          <cell r="A100">
            <v>2322</v>
          </cell>
          <cell r="B100" t="str">
            <v>出資金他</v>
          </cell>
        </row>
        <row r="101">
          <cell r="A101">
            <v>2323</v>
          </cell>
          <cell r="B101" t="str">
            <v>出資金非連子</v>
          </cell>
        </row>
        <row r="102">
          <cell r="A102">
            <v>2330</v>
          </cell>
          <cell r="B102" t="str">
            <v>長期貸付金</v>
          </cell>
        </row>
        <row r="103">
          <cell r="A103">
            <v>2331</v>
          </cell>
          <cell r="B103" t="str">
            <v>長期貸付金連子</v>
          </cell>
        </row>
        <row r="104">
          <cell r="A104">
            <v>2332</v>
          </cell>
          <cell r="B104" t="str">
            <v>長期貸付金他</v>
          </cell>
        </row>
        <row r="105">
          <cell r="A105">
            <v>2333</v>
          </cell>
          <cell r="B105" t="str">
            <v>長期貸付金非連子</v>
          </cell>
        </row>
        <row r="106">
          <cell r="A106">
            <v>2340</v>
          </cell>
          <cell r="B106" t="str">
            <v>長期前払費用</v>
          </cell>
        </row>
        <row r="107">
          <cell r="A107">
            <v>2341</v>
          </cell>
          <cell r="B107" t="str">
            <v>長期前払費用連子</v>
          </cell>
        </row>
        <row r="108">
          <cell r="A108">
            <v>2342</v>
          </cell>
          <cell r="B108" t="str">
            <v>長期前払費用他</v>
          </cell>
        </row>
        <row r="109">
          <cell r="A109">
            <v>2343</v>
          </cell>
          <cell r="B109" t="str">
            <v>長期前払費用非連子</v>
          </cell>
        </row>
        <row r="110">
          <cell r="A110">
            <v>2350</v>
          </cell>
          <cell r="B110" t="str">
            <v>敷金保証金</v>
          </cell>
        </row>
        <row r="111">
          <cell r="A111">
            <v>2360</v>
          </cell>
          <cell r="B111" t="str">
            <v>保険積立金</v>
          </cell>
        </row>
        <row r="112">
          <cell r="A112">
            <v>2370</v>
          </cell>
          <cell r="B112" t="str">
            <v>長期定期預金</v>
          </cell>
        </row>
        <row r="113">
          <cell r="A113">
            <v>2390</v>
          </cell>
          <cell r="B113" t="str">
            <v>ゴルフ会員権</v>
          </cell>
        </row>
        <row r="114">
          <cell r="A114">
            <v>2400</v>
          </cell>
          <cell r="B114" t="str">
            <v>投資不動産</v>
          </cell>
        </row>
        <row r="115">
          <cell r="A115">
            <v>2410</v>
          </cell>
          <cell r="B115" t="str">
            <v>その他の投資</v>
          </cell>
        </row>
        <row r="116">
          <cell r="A116">
            <v>2415</v>
          </cell>
          <cell r="B116" t="str">
            <v>長期繰延税金資産</v>
          </cell>
        </row>
        <row r="117">
          <cell r="A117">
            <v>2420</v>
          </cell>
          <cell r="B117" t="str">
            <v>長期貸倒引当金</v>
          </cell>
        </row>
        <row r="118">
          <cell r="A118">
            <v>2421</v>
          </cell>
          <cell r="B118" t="str">
            <v>長期貸倒引当金連子</v>
          </cell>
        </row>
        <row r="119">
          <cell r="A119">
            <v>2422</v>
          </cell>
          <cell r="B119" t="str">
            <v>長期貸倒引当金他</v>
          </cell>
        </row>
        <row r="120">
          <cell r="A120">
            <v>2423</v>
          </cell>
          <cell r="B120" t="str">
            <v>長期貸倒引当金非連子</v>
          </cell>
        </row>
        <row r="121">
          <cell r="A121">
            <v>2490</v>
          </cell>
          <cell r="B121" t="str">
            <v>（投資その他の資産合計)</v>
          </cell>
        </row>
        <row r="122">
          <cell r="A122">
            <v>2499</v>
          </cell>
          <cell r="B122" t="str">
            <v>（固定資産合計）</v>
          </cell>
        </row>
        <row r="123">
          <cell r="A123">
            <v>2500</v>
          </cell>
          <cell r="B123" t="str">
            <v>新株発行費</v>
          </cell>
        </row>
        <row r="124">
          <cell r="A124">
            <v>2510</v>
          </cell>
          <cell r="B124" t="str">
            <v>社債発行費</v>
          </cell>
        </row>
        <row r="125">
          <cell r="A125">
            <v>2520</v>
          </cell>
          <cell r="B125" t="str">
            <v>社債発行差金</v>
          </cell>
        </row>
        <row r="126">
          <cell r="A126">
            <v>2530</v>
          </cell>
          <cell r="B126" t="str">
            <v>試験研究費</v>
          </cell>
        </row>
        <row r="127">
          <cell r="A127">
            <v>2540</v>
          </cell>
          <cell r="B127" t="str">
            <v>その他繰延資産</v>
          </cell>
        </row>
        <row r="128">
          <cell r="A128">
            <v>2590</v>
          </cell>
          <cell r="B128" t="str">
            <v>（繰延資産合計）</v>
          </cell>
        </row>
        <row r="129">
          <cell r="A129">
            <v>2900</v>
          </cell>
          <cell r="B129" t="str">
            <v>連結調整勘定</v>
          </cell>
        </row>
        <row r="130">
          <cell r="A130">
            <v>2910</v>
          </cell>
          <cell r="B130" t="str">
            <v>為替換算調整勘定</v>
          </cell>
        </row>
        <row r="131">
          <cell r="A131">
            <v>2990</v>
          </cell>
          <cell r="B131" t="str">
            <v>(資産合計）</v>
          </cell>
        </row>
        <row r="132">
          <cell r="A132">
            <v>3000</v>
          </cell>
          <cell r="B132" t="str">
            <v>支払手形</v>
          </cell>
        </row>
        <row r="133">
          <cell r="A133">
            <v>3001</v>
          </cell>
          <cell r="B133" t="str">
            <v>支払手形連子</v>
          </cell>
        </row>
        <row r="134">
          <cell r="A134">
            <v>3002</v>
          </cell>
          <cell r="B134" t="str">
            <v>支払手形他</v>
          </cell>
        </row>
        <row r="135">
          <cell r="A135">
            <v>3003</v>
          </cell>
          <cell r="B135" t="str">
            <v>支払手形非連子</v>
          </cell>
        </row>
        <row r="136">
          <cell r="A136">
            <v>3010</v>
          </cell>
          <cell r="B136" t="str">
            <v>買掛金</v>
          </cell>
        </row>
        <row r="137">
          <cell r="A137">
            <v>3011</v>
          </cell>
          <cell r="B137" t="str">
            <v>買掛金連子</v>
          </cell>
        </row>
        <row r="138">
          <cell r="A138">
            <v>3012</v>
          </cell>
          <cell r="B138" t="str">
            <v>買掛金他</v>
          </cell>
        </row>
        <row r="139">
          <cell r="A139">
            <v>3013</v>
          </cell>
          <cell r="B139" t="str">
            <v>買掛金非連子</v>
          </cell>
        </row>
        <row r="140">
          <cell r="A140">
            <v>3020</v>
          </cell>
          <cell r="B140" t="str">
            <v>短期借入金</v>
          </cell>
        </row>
        <row r="141">
          <cell r="A141">
            <v>3021</v>
          </cell>
          <cell r="B141" t="str">
            <v>短期借入金連子</v>
          </cell>
        </row>
        <row r="142">
          <cell r="A142">
            <v>3022</v>
          </cell>
          <cell r="B142" t="str">
            <v>短期借入金他</v>
          </cell>
        </row>
        <row r="143">
          <cell r="A143">
            <v>3023</v>
          </cell>
          <cell r="B143" t="str">
            <v>短期借入金非連子</v>
          </cell>
        </row>
        <row r="144">
          <cell r="A144">
            <v>3030</v>
          </cell>
          <cell r="B144" t="str">
            <v>１年以内返済長期借入金</v>
          </cell>
        </row>
        <row r="145">
          <cell r="A145">
            <v>3031</v>
          </cell>
          <cell r="B145" t="str">
            <v>１年以内返済長期借入金連子</v>
          </cell>
        </row>
        <row r="146">
          <cell r="A146">
            <v>3032</v>
          </cell>
          <cell r="B146" t="str">
            <v>１年以内返済長期借入金他</v>
          </cell>
        </row>
        <row r="147">
          <cell r="A147">
            <v>3033</v>
          </cell>
          <cell r="B147" t="str">
            <v>１年以内返済長期借入金非連子</v>
          </cell>
        </row>
        <row r="148">
          <cell r="A148">
            <v>3040</v>
          </cell>
          <cell r="B148" t="str">
            <v>１年以内償還社債</v>
          </cell>
        </row>
        <row r="149">
          <cell r="A149">
            <v>3050</v>
          </cell>
          <cell r="B149" t="str">
            <v>１年以内償還予定転換社債</v>
          </cell>
        </row>
        <row r="150">
          <cell r="A150">
            <v>3060</v>
          </cell>
          <cell r="B150" t="str">
            <v>設備支払手形</v>
          </cell>
        </row>
        <row r="151">
          <cell r="A151">
            <v>3061</v>
          </cell>
          <cell r="B151" t="str">
            <v>設備支払手形連子</v>
          </cell>
        </row>
        <row r="152">
          <cell r="A152">
            <v>3062</v>
          </cell>
          <cell r="B152" t="str">
            <v>設備支払手形他</v>
          </cell>
        </row>
        <row r="153">
          <cell r="A153">
            <v>3063</v>
          </cell>
          <cell r="B153" t="str">
            <v>設備支払手形非連子</v>
          </cell>
        </row>
        <row r="154">
          <cell r="A154">
            <v>3070</v>
          </cell>
          <cell r="B154" t="str">
            <v>未払金</v>
          </cell>
        </row>
        <row r="155">
          <cell r="A155">
            <v>3071</v>
          </cell>
          <cell r="B155" t="str">
            <v>未払金連子</v>
          </cell>
        </row>
        <row r="156">
          <cell r="A156">
            <v>3072</v>
          </cell>
          <cell r="B156" t="str">
            <v>未払金他</v>
          </cell>
        </row>
        <row r="157">
          <cell r="A157">
            <v>3073</v>
          </cell>
          <cell r="B157" t="str">
            <v>未払金非連子</v>
          </cell>
        </row>
        <row r="158">
          <cell r="A158">
            <v>3080</v>
          </cell>
          <cell r="B158" t="str">
            <v>未払配当金</v>
          </cell>
        </row>
        <row r="159">
          <cell r="A159">
            <v>3090</v>
          </cell>
          <cell r="B159" t="str">
            <v>１年以内長期設備未払金</v>
          </cell>
        </row>
        <row r="160">
          <cell r="A160">
            <v>3091</v>
          </cell>
          <cell r="B160" t="str">
            <v>１年以内長期設備未払金連子</v>
          </cell>
        </row>
        <row r="161">
          <cell r="A161">
            <v>3092</v>
          </cell>
          <cell r="B161" t="str">
            <v>１年以内長期設備未払金他</v>
          </cell>
        </row>
        <row r="162">
          <cell r="A162">
            <v>3093</v>
          </cell>
          <cell r="B162" t="str">
            <v>１年以内長期設備未払金非連子</v>
          </cell>
        </row>
        <row r="163">
          <cell r="A163">
            <v>3100</v>
          </cell>
          <cell r="B163" t="str">
            <v>未払費用</v>
          </cell>
        </row>
        <row r="164">
          <cell r="A164">
            <v>3101</v>
          </cell>
          <cell r="B164" t="str">
            <v>未払費用連子</v>
          </cell>
        </row>
        <row r="165">
          <cell r="A165">
            <v>3102</v>
          </cell>
          <cell r="B165" t="str">
            <v>未払費用他</v>
          </cell>
        </row>
        <row r="166">
          <cell r="A166">
            <v>3103</v>
          </cell>
          <cell r="B166" t="str">
            <v>未払費用非連子</v>
          </cell>
        </row>
        <row r="167">
          <cell r="A167">
            <v>3110</v>
          </cell>
          <cell r="B167" t="str">
            <v>前受金</v>
          </cell>
        </row>
        <row r="168">
          <cell r="A168">
            <v>3111</v>
          </cell>
          <cell r="B168" t="str">
            <v>前受金連子</v>
          </cell>
        </row>
        <row r="169">
          <cell r="A169">
            <v>3112</v>
          </cell>
          <cell r="B169" t="str">
            <v>前受金他</v>
          </cell>
        </row>
        <row r="170">
          <cell r="A170">
            <v>3113</v>
          </cell>
          <cell r="B170" t="str">
            <v>前受金非連子</v>
          </cell>
        </row>
        <row r="171">
          <cell r="A171">
            <v>3120</v>
          </cell>
          <cell r="B171" t="str">
            <v>前受収益</v>
          </cell>
        </row>
        <row r="172">
          <cell r="A172">
            <v>3121</v>
          </cell>
          <cell r="B172" t="str">
            <v>前受収益連子</v>
          </cell>
        </row>
        <row r="173">
          <cell r="A173">
            <v>3122</v>
          </cell>
          <cell r="B173" t="str">
            <v>前受収益他</v>
          </cell>
        </row>
        <row r="174">
          <cell r="A174">
            <v>3123</v>
          </cell>
          <cell r="B174" t="str">
            <v>前受収益非連子</v>
          </cell>
        </row>
        <row r="175">
          <cell r="A175">
            <v>3130</v>
          </cell>
          <cell r="B175" t="str">
            <v>預り金</v>
          </cell>
        </row>
        <row r="176">
          <cell r="A176">
            <v>3140</v>
          </cell>
          <cell r="B176" t="str">
            <v>従業員預り金</v>
          </cell>
        </row>
        <row r="177">
          <cell r="A177">
            <v>3150</v>
          </cell>
          <cell r="B177" t="str">
            <v>仮受金</v>
          </cell>
        </row>
        <row r="178">
          <cell r="A178">
            <v>3170</v>
          </cell>
          <cell r="B178" t="str">
            <v>未払消費税</v>
          </cell>
        </row>
        <row r="179">
          <cell r="A179">
            <v>3180</v>
          </cell>
          <cell r="B179" t="str">
            <v>未払事業税等</v>
          </cell>
        </row>
        <row r="180">
          <cell r="A180">
            <v>3190</v>
          </cell>
          <cell r="B180" t="str">
            <v>未払法人税等</v>
          </cell>
        </row>
        <row r="181">
          <cell r="A181">
            <v>3200</v>
          </cell>
          <cell r="B181" t="str">
            <v>新株引受権</v>
          </cell>
        </row>
        <row r="182">
          <cell r="A182">
            <v>3210</v>
          </cell>
          <cell r="B182" t="str">
            <v>繰延税金負債</v>
          </cell>
        </row>
        <row r="183">
          <cell r="A183">
            <v>3220</v>
          </cell>
          <cell r="B183" t="str">
            <v>その他流動負債</v>
          </cell>
        </row>
        <row r="184">
          <cell r="A184">
            <v>3221</v>
          </cell>
          <cell r="B184" t="str">
            <v>その他流動負債連子</v>
          </cell>
        </row>
        <row r="185">
          <cell r="A185">
            <v>3222</v>
          </cell>
          <cell r="B185" t="str">
            <v>その他流動負債他</v>
          </cell>
        </row>
        <row r="186">
          <cell r="A186">
            <v>3223</v>
          </cell>
          <cell r="B186" t="str">
            <v>その他流動負債非連子</v>
          </cell>
        </row>
        <row r="187">
          <cell r="A187">
            <v>3230</v>
          </cell>
          <cell r="B187" t="str">
            <v>不突合調整勘定貸方</v>
          </cell>
        </row>
        <row r="188">
          <cell r="A188">
            <v>3990</v>
          </cell>
          <cell r="B188" t="str">
            <v>（流動負債合計）</v>
          </cell>
        </row>
        <row r="189">
          <cell r="A189">
            <v>4000</v>
          </cell>
          <cell r="B189" t="str">
            <v>長期借入金</v>
          </cell>
        </row>
        <row r="190">
          <cell r="A190">
            <v>4001</v>
          </cell>
          <cell r="B190" t="str">
            <v>長期借入金連子</v>
          </cell>
        </row>
        <row r="191">
          <cell r="A191">
            <v>4002</v>
          </cell>
          <cell r="B191" t="str">
            <v>長期借入金他</v>
          </cell>
        </row>
        <row r="192">
          <cell r="A192">
            <v>4003</v>
          </cell>
          <cell r="B192" t="str">
            <v>長期借入金非連子</v>
          </cell>
        </row>
        <row r="193">
          <cell r="A193">
            <v>4010</v>
          </cell>
          <cell r="B193" t="str">
            <v>社債</v>
          </cell>
        </row>
        <row r="194">
          <cell r="A194">
            <v>4020</v>
          </cell>
          <cell r="B194" t="str">
            <v>長期設備未払金</v>
          </cell>
        </row>
        <row r="195">
          <cell r="A195">
            <v>4021</v>
          </cell>
          <cell r="B195" t="str">
            <v>長期設備未払金連子</v>
          </cell>
        </row>
        <row r="196">
          <cell r="A196">
            <v>4022</v>
          </cell>
          <cell r="B196" t="str">
            <v>長期設備未払金他</v>
          </cell>
        </row>
        <row r="197">
          <cell r="A197">
            <v>4023</v>
          </cell>
          <cell r="B197" t="str">
            <v>長期設備未払金非連子</v>
          </cell>
        </row>
        <row r="198">
          <cell r="A198">
            <v>4030</v>
          </cell>
          <cell r="B198" t="str">
            <v>退職給与引当金</v>
          </cell>
        </row>
        <row r="199">
          <cell r="A199">
            <v>4040</v>
          </cell>
          <cell r="B199" t="str">
            <v>預り保証金</v>
          </cell>
        </row>
        <row r="200">
          <cell r="A200">
            <v>4050</v>
          </cell>
          <cell r="B200" t="str">
            <v>長期前受収益</v>
          </cell>
        </row>
        <row r="201">
          <cell r="A201">
            <v>4055</v>
          </cell>
          <cell r="B201" t="str">
            <v>長期繰延税金負債</v>
          </cell>
        </row>
        <row r="202">
          <cell r="A202">
            <v>4060</v>
          </cell>
          <cell r="B202" t="str">
            <v>その他固定負債</v>
          </cell>
        </row>
        <row r="203">
          <cell r="A203">
            <v>4061</v>
          </cell>
          <cell r="B203" t="str">
            <v>その他固定負債連子</v>
          </cell>
        </row>
        <row r="204">
          <cell r="A204">
            <v>4062</v>
          </cell>
          <cell r="B204" t="str">
            <v>その他固定負債他</v>
          </cell>
        </row>
        <row r="205">
          <cell r="A205">
            <v>4063</v>
          </cell>
          <cell r="B205" t="str">
            <v>その他固定負債非連子</v>
          </cell>
        </row>
        <row r="206">
          <cell r="A206">
            <v>4090</v>
          </cell>
          <cell r="B206" t="str">
            <v>（固定負債合計）</v>
          </cell>
        </row>
        <row r="207">
          <cell r="A207">
            <v>4900</v>
          </cell>
          <cell r="B207" t="str">
            <v>少数株主持分</v>
          </cell>
        </row>
        <row r="208">
          <cell r="A208">
            <v>4990</v>
          </cell>
          <cell r="B208" t="str">
            <v>（負債合計）</v>
          </cell>
        </row>
        <row r="209">
          <cell r="A209">
            <v>5000</v>
          </cell>
          <cell r="B209" t="str">
            <v>資本金</v>
          </cell>
        </row>
        <row r="210">
          <cell r="A210">
            <v>5010</v>
          </cell>
          <cell r="B210" t="str">
            <v>新株式払込金</v>
          </cell>
        </row>
        <row r="211">
          <cell r="A211">
            <v>5020</v>
          </cell>
          <cell r="B211" t="str">
            <v>資本準備金</v>
          </cell>
        </row>
        <row r="212">
          <cell r="A212">
            <v>5030</v>
          </cell>
          <cell r="B212" t="str">
            <v>利益準備金</v>
          </cell>
        </row>
        <row r="213">
          <cell r="A213">
            <v>5040</v>
          </cell>
          <cell r="B213" t="str">
            <v>その他剰余金</v>
          </cell>
        </row>
        <row r="214">
          <cell r="A214">
            <v>5090</v>
          </cell>
          <cell r="B214" t="str">
            <v>（資本合計）</v>
          </cell>
        </row>
        <row r="215">
          <cell r="A215">
            <v>5990</v>
          </cell>
          <cell r="B215" t="str">
            <v>（負債・資本合計）</v>
          </cell>
        </row>
        <row r="216">
          <cell r="A216">
            <v>6000</v>
          </cell>
          <cell r="B216" t="str">
            <v>売上高</v>
          </cell>
        </row>
        <row r="217">
          <cell r="A217">
            <v>6001</v>
          </cell>
          <cell r="B217" t="str">
            <v>製品期首棚卸高</v>
          </cell>
        </row>
        <row r="218">
          <cell r="A218">
            <v>6002</v>
          </cell>
          <cell r="B218" t="str">
            <v>当期製品製造原価</v>
          </cell>
        </row>
        <row r="219">
          <cell r="A219">
            <v>6003</v>
          </cell>
          <cell r="B219" t="str">
            <v>当期製品仕入高</v>
          </cell>
        </row>
        <row r="220">
          <cell r="A220">
            <v>6004</v>
          </cell>
          <cell r="B220" t="str">
            <v>製品期末棚卸高</v>
          </cell>
        </row>
        <row r="221">
          <cell r="A221">
            <v>6005</v>
          </cell>
          <cell r="B221" t="str">
            <v>原材料低価評価損</v>
          </cell>
        </row>
        <row r="222">
          <cell r="A222">
            <v>6010</v>
          </cell>
          <cell r="B222" t="str">
            <v>売上原価</v>
          </cell>
        </row>
        <row r="223">
          <cell r="A223">
            <v>6015</v>
          </cell>
          <cell r="B223" t="str">
            <v>不突合調整勘定ｐｌ</v>
          </cell>
        </row>
        <row r="224">
          <cell r="A224">
            <v>6020</v>
          </cell>
          <cell r="B224" t="str">
            <v>（売上総利益）</v>
          </cell>
        </row>
        <row r="225">
          <cell r="A225">
            <v>7000</v>
          </cell>
          <cell r="B225" t="str">
            <v>役員報酬</v>
          </cell>
        </row>
        <row r="226">
          <cell r="A226">
            <v>7001</v>
          </cell>
          <cell r="B226" t="str">
            <v>役員退職慰労引当金繰入額</v>
          </cell>
        </row>
        <row r="227">
          <cell r="A227">
            <v>7010</v>
          </cell>
          <cell r="B227" t="str">
            <v>給料手当</v>
          </cell>
        </row>
        <row r="228">
          <cell r="A228">
            <v>7020</v>
          </cell>
          <cell r="B228" t="str">
            <v>法定福利費</v>
          </cell>
        </row>
        <row r="229">
          <cell r="A229">
            <v>7030</v>
          </cell>
          <cell r="B229" t="str">
            <v>福利厚生費</v>
          </cell>
        </row>
        <row r="230">
          <cell r="A230">
            <v>7040</v>
          </cell>
          <cell r="B230" t="str">
            <v>適格退職年金掛金</v>
          </cell>
        </row>
        <row r="231">
          <cell r="A231">
            <v>7050</v>
          </cell>
          <cell r="B231" t="str">
            <v>退職金</v>
          </cell>
        </row>
        <row r="232">
          <cell r="A232">
            <v>7060</v>
          </cell>
          <cell r="B232" t="str">
            <v>退職給与引当金繰入額</v>
          </cell>
        </row>
        <row r="233">
          <cell r="A233">
            <v>7070</v>
          </cell>
          <cell r="B233" t="str">
            <v>賞与手当</v>
          </cell>
        </row>
        <row r="234">
          <cell r="A234">
            <v>7080</v>
          </cell>
          <cell r="B234" t="str">
            <v>賞与引当金繰入額</v>
          </cell>
        </row>
        <row r="235">
          <cell r="A235">
            <v>7090</v>
          </cell>
          <cell r="B235" t="str">
            <v>販売手数料</v>
          </cell>
        </row>
        <row r="236">
          <cell r="A236">
            <v>7100</v>
          </cell>
          <cell r="B236" t="str">
            <v>荷造包装費</v>
          </cell>
        </row>
        <row r="237">
          <cell r="A237">
            <v>7110</v>
          </cell>
          <cell r="B237" t="str">
            <v>運賃保管料</v>
          </cell>
        </row>
        <row r="238">
          <cell r="A238">
            <v>7120</v>
          </cell>
          <cell r="B238" t="str">
            <v>広告宣伝費</v>
          </cell>
        </row>
        <row r="239">
          <cell r="A239">
            <v>7130</v>
          </cell>
          <cell r="B239" t="str">
            <v>支払手数料</v>
          </cell>
        </row>
        <row r="240">
          <cell r="A240">
            <v>7140</v>
          </cell>
          <cell r="B240" t="str">
            <v>顧問料</v>
          </cell>
        </row>
        <row r="241">
          <cell r="A241">
            <v>7150</v>
          </cell>
          <cell r="B241" t="str">
            <v>貸倒引当金繰入額</v>
          </cell>
        </row>
        <row r="242">
          <cell r="A242">
            <v>7160</v>
          </cell>
          <cell r="B242" t="str">
            <v>債権償却特別勘定繰入額</v>
          </cell>
        </row>
        <row r="243">
          <cell r="A243">
            <v>7170</v>
          </cell>
          <cell r="B243" t="str">
            <v>貸倒損失</v>
          </cell>
        </row>
        <row r="244">
          <cell r="A244">
            <v>7180</v>
          </cell>
          <cell r="B244" t="str">
            <v>交際費</v>
          </cell>
        </row>
        <row r="245">
          <cell r="A245">
            <v>7190</v>
          </cell>
          <cell r="B245" t="str">
            <v>旅費交通費</v>
          </cell>
        </row>
        <row r="246">
          <cell r="A246">
            <v>7200</v>
          </cell>
          <cell r="B246" t="str">
            <v>車両費</v>
          </cell>
        </row>
        <row r="247">
          <cell r="A247">
            <v>7210</v>
          </cell>
          <cell r="B247" t="str">
            <v>通信費</v>
          </cell>
        </row>
        <row r="248">
          <cell r="A248">
            <v>7220</v>
          </cell>
          <cell r="B248" t="str">
            <v>水道光熱費</v>
          </cell>
        </row>
        <row r="249">
          <cell r="A249">
            <v>7230</v>
          </cell>
          <cell r="B249" t="str">
            <v>保守料</v>
          </cell>
        </row>
        <row r="250">
          <cell r="A250">
            <v>7240</v>
          </cell>
          <cell r="B250" t="str">
            <v>保険料</v>
          </cell>
        </row>
        <row r="251">
          <cell r="A251">
            <v>7250</v>
          </cell>
          <cell r="B251" t="str">
            <v>会議費</v>
          </cell>
        </row>
        <row r="252">
          <cell r="A252">
            <v>7260</v>
          </cell>
          <cell r="B252" t="str">
            <v>新聞図書費</v>
          </cell>
        </row>
        <row r="253">
          <cell r="A253">
            <v>7270</v>
          </cell>
          <cell r="B253" t="str">
            <v>教育訓練費</v>
          </cell>
        </row>
        <row r="254">
          <cell r="A254">
            <v>7280</v>
          </cell>
          <cell r="B254" t="str">
            <v>社員募集費</v>
          </cell>
        </row>
        <row r="255">
          <cell r="A255">
            <v>7290</v>
          </cell>
          <cell r="B255" t="str">
            <v>事務用品費</v>
          </cell>
        </row>
        <row r="256">
          <cell r="A256">
            <v>7300</v>
          </cell>
          <cell r="B256" t="str">
            <v>消耗工具器具備品費</v>
          </cell>
        </row>
        <row r="257">
          <cell r="A257">
            <v>7310</v>
          </cell>
          <cell r="B257" t="str">
            <v>製品保証費</v>
          </cell>
        </row>
        <row r="258">
          <cell r="A258">
            <v>7320</v>
          </cell>
          <cell r="B258" t="str">
            <v>寄付金</v>
          </cell>
        </row>
        <row r="259">
          <cell r="A259">
            <v>7330</v>
          </cell>
          <cell r="B259" t="str">
            <v>諸会費</v>
          </cell>
        </row>
        <row r="260">
          <cell r="A260">
            <v>7340</v>
          </cell>
          <cell r="B260" t="str">
            <v>租税公課</v>
          </cell>
        </row>
        <row r="261">
          <cell r="A261">
            <v>7350</v>
          </cell>
          <cell r="B261" t="str">
            <v>事業税</v>
          </cell>
        </row>
        <row r="262">
          <cell r="A262">
            <v>7360</v>
          </cell>
          <cell r="B262" t="str">
            <v>建物減価償却費</v>
          </cell>
        </row>
        <row r="263">
          <cell r="A263">
            <v>7370</v>
          </cell>
          <cell r="B263" t="str">
            <v>構築物減価償却費</v>
          </cell>
        </row>
        <row r="264">
          <cell r="A264">
            <v>7380</v>
          </cell>
          <cell r="B264" t="str">
            <v>機械装置減価償却費</v>
          </cell>
        </row>
        <row r="265">
          <cell r="A265">
            <v>7390</v>
          </cell>
          <cell r="B265" t="str">
            <v>車両運搬具減価償却費</v>
          </cell>
        </row>
        <row r="266">
          <cell r="A266">
            <v>7400</v>
          </cell>
          <cell r="B266" t="str">
            <v>工具器具備品減価償却費</v>
          </cell>
        </row>
        <row r="267">
          <cell r="A267">
            <v>7410</v>
          </cell>
          <cell r="B267" t="str">
            <v>特許権償却費</v>
          </cell>
        </row>
        <row r="268">
          <cell r="A268">
            <v>7420</v>
          </cell>
          <cell r="B268" t="str">
            <v>諸施設利用権償却費</v>
          </cell>
        </row>
        <row r="269">
          <cell r="A269">
            <v>7430</v>
          </cell>
          <cell r="B269" t="str">
            <v>その他無形固定資産償却費</v>
          </cell>
        </row>
        <row r="270">
          <cell r="A270">
            <v>7440</v>
          </cell>
          <cell r="B270" t="str">
            <v>長期前払費用償却費</v>
          </cell>
        </row>
        <row r="271">
          <cell r="A271">
            <v>7450</v>
          </cell>
          <cell r="B271" t="str">
            <v>その他投資償却費</v>
          </cell>
        </row>
        <row r="272">
          <cell r="A272">
            <v>7460</v>
          </cell>
          <cell r="B272" t="str">
            <v>修繕費</v>
          </cell>
        </row>
        <row r="273">
          <cell r="A273">
            <v>7470</v>
          </cell>
          <cell r="B273" t="str">
            <v>賃借料</v>
          </cell>
        </row>
        <row r="274">
          <cell r="A274">
            <v>7480</v>
          </cell>
          <cell r="B274" t="str">
            <v>リース料</v>
          </cell>
        </row>
        <row r="275">
          <cell r="A275">
            <v>7490</v>
          </cell>
          <cell r="B275" t="str">
            <v>輸出入諸掛費</v>
          </cell>
        </row>
        <row r="276">
          <cell r="A276">
            <v>7500</v>
          </cell>
          <cell r="B276" t="str">
            <v>技術指導料</v>
          </cell>
        </row>
        <row r="277">
          <cell r="A277">
            <v>7510</v>
          </cell>
          <cell r="B277" t="str">
            <v>試験研究費</v>
          </cell>
        </row>
        <row r="278">
          <cell r="A278">
            <v>7520</v>
          </cell>
          <cell r="B278" t="str">
            <v>雑費</v>
          </cell>
        </row>
        <row r="279">
          <cell r="A279">
            <v>7890</v>
          </cell>
          <cell r="B279" t="str">
            <v>（販売費及び一般管理費）</v>
          </cell>
        </row>
        <row r="280">
          <cell r="A280">
            <v>7990</v>
          </cell>
          <cell r="B280" t="str">
            <v>（営業利益）</v>
          </cell>
        </row>
        <row r="281">
          <cell r="A281">
            <v>8000</v>
          </cell>
          <cell r="B281" t="str">
            <v>受取利息</v>
          </cell>
        </row>
        <row r="282">
          <cell r="A282">
            <v>8010</v>
          </cell>
          <cell r="B282" t="str">
            <v>有価証券利息</v>
          </cell>
        </row>
        <row r="283">
          <cell r="A283">
            <v>8020</v>
          </cell>
          <cell r="B283" t="str">
            <v>受取配当金</v>
          </cell>
        </row>
        <row r="284">
          <cell r="A284">
            <v>8030</v>
          </cell>
          <cell r="B284" t="str">
            <v>仕入割引</v>
          </cell>
        </row>
        <row r="285">
          <cell r="A285">
            <v>8040</v>
          </cell>
          <cell r="B285" t="str">
            <v>固定資産賃貸収入</v>
          </cell>
        </row>
        <row r="286">
          <cell r="A286">
            <v>8050</v>
          </cell>
          <cell r="B286" t="str">
            <v>受取技術援助料</v>
          </cell>
        </row>
        <row r="287">
          <cell r="A287">
            <v>8060</v>
          </cell>
          <cell r="B287" t="str">
            <v>為替差益</v>
          </cell>
        </row>
        <row r="288">
          <cell r="A288">
            <v>8070</v>
          </cell>
          <cell r="B288" t="str">
            <v>有価証券売却益</v>
          </cell>
        </row>
        <row r="289">
          <cell r="A289">
            <v>8080</v>
          </cell>
          <cell r="B289" t="str">
            <v>雑収入</v>
          </cell>
        </row>
        <row r="290">
          <cell r="A290">
            <v>8090</v>
          </cell>
          <cell r="B290" t="str">
            <v>（営業外収益合計）</v>
          </cell>
        </row>
        <row r="291">
          <cell r="A291">
            <v>8100</v>
          </cell>
          <cell r="B291" t="str">
            <v>支払利息及び割引料</v>
          </cell>
        </row>
        <row r="292">
          <cell r="A292">
            <v>8110</v>
          </cell>
          <cell r="B292" t="str">
            <v>社債利息</v>
          </cell>
        </row>
        <row r="293">
          <cell r="A293">
            <v>8120</v>
          </cell>
          <cell r="B293" t="str">
            <v>売上割引</v>
          </cell>
        </row>
        <row r="294">
          <cell r="A294">
            <v>8130</v>
          </cell>
          <cell r="B294" t="str">
            <v>貸与資産減価償却費</v>
          </cell>
        </row>
        <row r="295">
          <cell r="A295">
            <v>8140</v>
          </cell>
          <cell r="B295" t="str">
            <v>繰延資産償却費</v>
          </cell>
        </row>
        <row r="296">
          <cell r="A296">
            <v>8150</v>
          </cell>
          <cell r="B296" t="str">
            <v>未使用資産減価償却費</v>
          </cell>
        </row>
        <row r="297">
          <cell r="A297">
            <v>8160</v>
          </cell>
          <cell r="B297" t="str">
            <v>為替差損</v>
          </cell>
        </row>
        <row r="298">
          <cell r="A298">
            <v>8170</v>
          </cell>
          <cell r="B298" t="str">
            <v>有価証券売却損</v>
          </cell>
        </row>
        <row r="299">
          <cell r="A299">
            <v>8180</v>
          </cell>
          <cell r="B299" t="str">
            <v>有価証券評価損</v>
          </cell>
        </row>
        <row r="300">
          <cell r="A300">
            <v>8190</v>
          </cell>
          <cell r="B300" t="str">
            <v>雑損失</v>
          </cell>
        </row>
        <row r="301">
          <cell r="A301">
            <v>8290</v>
          </cell>
          <cell r="B301" t="str">
            <v>（営業外費用合計）</v>
          </cell>
        </row>
        <row r="302">
          <cell r="A302">
            <v>8390</v>
          </cell>
          <cell r="B302" t="str">
            <v>（経常利益）</v>
          </cell>
        </row>
        <row r="303">
          <cell r="A303">
            <v>8400</v>
          </cell>
          <cell r="B303" t="str">
            <v>固定資産売却益</v>
          </cell>
        </row>
        <row r="304">
          <cell r="A304">
            <v>8410</v>
          </cell>
          <cell r="B304" t="str">
            <v>投資有価証券売却益</v>
          </cell>
        </row>
        <row r="305">
          <cell r="A305">
            <v>8420</v>
          </cell>
          <cell r="B305" t="str">
            <v>関係会社株式売却益</v>
          </cell>
        </row>
        <row r="306">
          <cell r="A306">
            <v>8430</v>
          </cell>
          <cell r="B306" t="str">
            <v>受取保険金</v>
          </cell>
        </row>
        <row r="307">
          <cell r="A307">
            <v>8435</v>
          </cell>
          <cell r="B307" t="str">
            <v>賞与引当金戻入益</v>
          </cell>
        </row>
        <row r="308">
          <cell r="A308">
            <v>8440</v>
          </cell>
          <cell r="B308" t="str">
            <v>貸倒引当金戻入益</v>
          </cell>
        </row>
        <row r="309">
          <cell r="A309">
            <v>8445</v>
          </cell>
          <cell r="B309" t="str">
            <v>退職給与引当金戻入益</v>
          </cell>
        </row>
        <row r="310">
          <cell r="A310">
            <v>8450</v>
          </cell>
          <cell r="B310" t="str">
            <v>前期損益修正益</v>
          </cell>
        </row>
        <row r="311">
          <cell r="A311">
            <v>8460</v>
          </cell>
          <cell r="B311" t="str">
            <v>その他特別利益</v>
          </cell>
        </row>
        <row r="312">
          <cell r="A312">
            <v>8490</v>
          </cell>
          <cell r="B312" t="str">
            <v>（特別利益合計）</v>
          </cell>
        </row>
        <row r="313">
          <cell r="A313">
            <v>8500</v>
          </cell>
          <cell r="B313" t="str">
            <v>固定資産売却損</v>
          </cell>
        </row>
        <row r="314">
          <cell r="A314">
            <v>8510</v>
          </cell>
          <cell r="B314" t="str">
            <v>固定資産除却損</v>
          </cell>
        </row>
        <row r="315">
          <cell r="A315">
            <v>8520</v>
          </cell>
          <cell r="B315" t="str">
            <v>投資有価証券売却損</v>
          </cell>
        </row>
        <row r="316">
          <cell r="A316">
            <v>8530</v>
          </cell>
          <cell r="B316" t="str">
            <v>投資有価証券評価損</v>
          </cell>
        </row>
        <row r="317">
          <cell r="A317">
            <v>8540</v>
          </cell>
          <cell r="B317" t="str">
            <v>関係会社株式売却損</v>
          </cell>
        </row>
        <row r="318">
          <cell r="A318">
            <v>8550</v>
          </cell>
          <cell r="B318" t="str">
            <v>前期損益修正損</v>
          </cell>
        </row>
        <row r="319">
          <cell r="A319">
            <v>8560</v>
          </cell>
          <cell r="B319" t="str">
            <v>役員退職慰労金</v>
          </cell>
        </row>
        <row r="320">
          <cell r="A320">
            <v>8570</v>
          </cell>
          <cell r="B320" t="str">
            <v>その他特別損失</v>
          </cell>
        </row>
        <row r="321">
          <cell r="A321">
            <v>8590</v>
          </cell>
          <cell r="B321" t="str">
            <v>（特別損失合計）</v>
          </cell>
        </row>
        <row r="322">
          <cell r="A322">
            <v>8690</v>
          </cell>
          <cell r="B322" t="str">
            <v>（税引き前当期純利益）</v>
          </cell>
        </row>
        <row r="323">
          <cell r="A323">
            <v>8700</v>
          </cell>
          <cell r="B323" t="str">
            <v>法人税等還付額</v>
          </cell>
        </row>
        <row r="324">
          <cell r="A324">
            <v>8710</v>
          </cell>
          <cell r="B324" t="str">
            <v>法人税等追徴額</v>
          </cell>
        </row>
        <row r="325">
          <cell r="A325">
            <v>8720</v>
          </cell>
          <cell r="B325" t="str">
            <v>当期法人税及び住民税</v>
          </cell>
        </row>
        <row r="326">
          <cell r="A326">
            <v>8725</v>
          </cell>
          <cell r="B326" t="str">
            <v>事業税等</v>
          </cell>
        </row>
        <row r="327">
          <cell r="A327">
            <v>8730</v>
          </cell>
          <cell r="B327" t="str">
            <v>法人税等調整額</v>
          </cell>
        </row>
        <row r="328">
          <cell r="A328">
            <v>8740</v>
          </cell>
          <cell r="B328" t="str">
            <v>少数株主損益減算</v>
          </cell>
        </row>
        <row r="329">
          <cell r="A329">
            <v>8750</v>
          </cell>
          <cell r="B329" t="str">
            <v>連結調整勘定償却（旧表示）</v>
          </cell>
        </row>
        <row r="330">
          <cell r="A330">
            <v>8760</v>
          </cell>
          <cell r="B330" t="str">
            <v>為替換算調整勘定</v>
          </cell>
        </row>
        <row r="331">
          <cell r="A331">
            <v>8890</v>
          </cell>
          <cell r="B331" t="str">
            <v>（当期純利益）</v>
          </cell>
        </row>
        <row r="332">
          <cell r="A332">
            <v>8900</v>
          </cell>
          <cell r="B332" t="str">
            <v>その他剰余金期首</v>
          </cell>
        </row>
        <row r="333">
          <cell r="A333">
            <v>8901</v>
          </cell>
          <cell r="B333" t="str">
            <v>利益処分戻入－その他</v>
          </cell>
        </row>
        <row r="334">
          <cell r="A334">
            <v>8910</v>
          </cell>
          <cell r="B334" t="str">
            <v>（その他剰余金増加合計）</v>
          </cell>
        </row>
        <row r="335">
          <cell r="A335">
            <v>8911</v>
          </cell>
          <cell r="B335" t="str">
            <v>利益処分－現金配当金</v>
          </cell>
        </row>
        <row r="336">
          <cell r="A336">
            <v>8912</v>
          </cell>
          <cell r="B336" t="str">
            <v>利益処分－株式配当金</v>
          </cell>
        </row>
        <row r="337">
          <cell r="A337">
            <v>8913</v>
          </cell>
          <cell r="B337" t="str">
            <v>利益処分－利益準備金</v>
          </cell>
        </row>
        <row r="338">
          <cell r="A338">
            <v>8914</v>
          </cell>
          <cell r="B338" t="str">
            <v>利益処分－役員賞与</v>
          </cell>
        </row>
        <row r="339">
          <cell r="A339">
            <v>8915</v>
          </cell>
          <cell r="B339" t="str">
            <v>利益処分－連結除外減少</v>
          </cell>
        </row>
        <row r="340">
          <cell r="A340">
            <v>8916</v>
          </cell>
          <cell r="B340" t="str">
            <v>利益処分－その他</v>
          </cell>
        </row>
        <row r="341">
          <cell r="A341">
            <v>8920</v>
          </cell>
          <cell r="B341" t="str">
            <v>（その他剰余金減少合計）</v>
          </cell>
        </row>
        <row r="342">
          <cell r="A342">
            <v>8930</v>
          </cell>
          <cell r="B342" t="str">
            <v>当期純利益</v>
          </cell>
        </row>
        <row r="343">
          <cell r="A343">
            <v>8990</v>
          </cell>
          <cell r="B343" t="str">
            <v>（その他剰余金期末）</v>
          </cell>
        </row>
        <row r="344">
          <cell r="A344">
            <v>9000</v>
          </cell>
          <cell r="B344" t="str">
            <v>資本金－期首</v>
          </cell>
        </row>
        <row r="345">
          <cell r="A345">
            <v>9001</v>
          </cell>
          <cell r="B345" t="str">
            <v>資本金－増資</v>
          </cell>
        </row>
        <row r="346">
          <cell r="A346">
            <v>9002</v>
          </cell>
          <cell r="B346" t="str">
            <v>資本金－転換社債からの転換</v>
          </cell>
        </row>
        <row r="347">
          <cell r="A347">
            <v>9003</v>
          </cell>
          <cell r="B347" t="str">
            <v>資本金－資本準備金からの振替</v>
          </cell>
        </row>
        <row r="348">
          <cell r="A348">
            <v>9004</v>
          </cell>
          <cell r="B348" t="str">
            <v>資本金－減資</v>
          </cell>
        </row>
        <row r="349">
          <cell r="A349">
            <v>9005</v>
          </cell>
          <cell r="B349" t="str">
            <v>資本金－その他増減</v>
          </cell>
        </row>
        <row r="350">
          <cell r="A350">
            <v>9006</v>
          </cell>
          <cell r="B350" t="str">
            <v>資本金－期末</v>
          </cell>
        </row>
        <row r="351">
          <cell r="A351">
            <v>9007</v>
          </cell>
          <cell r="B351" t="str">
            <v>資本準備金－期首</v>
          </cell>
        </row>
        <row r="352">
          <cell r="A352">
            <v>9008</v>
          </cell>
          <cell r="B352" t="str">
            <v>資本準備金－転換社債額面超過</v>
          </cell>
        </row>
        <row r="353">
          <cell r="A353">
            <v>9009</v>
          </cell>
          <cell r="B353" t="str">
            <v>資本準備金－資本金への振替</v>
          </cell>
        </row>
        <row r="354">
          <cell r="A354">
            <v>9010</v>
          </cell>
          <cell r="B354" t="str">
            <v>資本準備金－払込剰余金</v>
          </cell>
        </row>
        <row r="355">
          <cell r="A355">
            <v>9011</v>
          </cell>
          <cell r="B355" t="str">
            <v>資本準備金－他の剰余金振替</v>
          </cell>
        </row>
        <row r="356">
          <cell r="A356">
            <v>9012</v>
          </cell>
          <cell r="B356" t="str">
            <v>資本準備金－減資</v>
          </cell>
        </row>
        <row r="357">
          <cell r="A357">
            <v>9013</v>
          </cell>
          <cell r="B357" t="str">
            <v>資本準備金-受贈固定資産受入</v>
          </cell>
        </row>
        <row r="358">
          <cell r="A358">
            <v>9014</v>
          </cell>
          <cell r="B358" t="str">
            <v>資本準備金－固定資産売却益</v>
          </cell>
        </row>
        <row r="359">
          <cell r="A359">
            <v>9015</v>
          </cell>
          <cell r="B359" t="str">
            <v>資本準備金－その他増減</v>
          </cell>
        </row>
        <row r="360">
          <cell r="A360">
            <v>9016</v>
          </cell>
          <cell r="B360" t="str">
            <v>資本準備金－期末</v>
          </cell>
        </row>
        <row r="361">
          <cell r="A361">
            <v>9017</v>
          </cell>
          <cell r="B361" t="str">
            <v>利益準備金－期首</v>
          </cell>
        </row>
        <row r="362">
          <cell r="A362">
            <v>9018</v>
          </cell>
          <cell r="B362" t="str">
            <v>利益準備金－当期繰入</v>
          </cell>
        </row>
        <row r="363">
          <cell r="A363">
            <v>9019</v>
          </cell>
          <cell r="B363" t="str">
            <v>利益準備金－当期取崩</v>
          </cell>
        </row>
        <row r="364">
          <cell r="A364">
            <v>9020</v>
          </cell>
          <cell r="B364" t="str">
            <v>利益準備金－期末</v>
          </cell>
        </row>
        <row r="365">
          <cell r="A365">
            <v>9900</v>
          </cell>
          <cell r="B365" t="str">
            <v>原材料期首たな卸高</v>
          </cell>
        </row>
        <row r="366">
          <cell r="A366">
            <v>9901</v>
          </cell>
          <cell r="B366" t="str">
            <v>当期原材料仕入高</v>
          </cell>
        </row>
        <row r="367">
          <cell r="A367">
            <v>9902</v>
          </cell>
          <cell r="B367" t="str">
            <v>原材料期末たな卸高</v>
          </cell>
        </row>
        <row r="368">
          <cell r="A368">
            <v>9909</v>
          </cell>
          <cell r="B368" t="str">
            <v>(差引原材料費)</v>
          </cell>
        </row>
        <row r="369">
          <cell r="A369">
            <v>9910</v>
          </cell>
          <cell r="B369" t="str">
            <v>賃金手当</v>
          </cell>
        </row>
        <row r="370">
          <cell r="A370">
            <v>9911</v>
          </cell>
          <cell r="B370" t="str">
            <v>法定福利費</v>
          </cell>
        </row>
        <row r="371">
          <cell r="A371">
            <v>9912</v>
          </cell>
          <cell r="B371" t="str">
            <v>福利厚生費</v>
          </cell>
        </row>
        <row r="372">
          <cell r="A372">
            <v>9913</v>
          </cell>
          <cell r="B372" t="str">
            <v>適格退職年金掛金</v>
          </cell>
        </row>
        <row r="373">
          <cell r="A373">
            <v>9914</v>
          </cell>
          <cell r="B373" t="str">
            <v>退職金</v>
          </cell>
        </row>
        <row r="374">
          <cell r="A374">
            <v>9915</v>
          </cell>
          <cell r="B374" t="str">
            <v>退職給与引当金繰入額</v>
          </cell>
        </row>
        <row r="375">
          <cell r="A375">
            <v>9916</v>
          </cell>
          <cell r="B375" t="str">
            <v>賞与手当</v>
          </cell>
        </row>
        <row r="376">
          <cell r="A376">
            <v>9917</v>
          </cell>
          <cell r="B376" t="str">
            <v>賞与引当金繰入額</v>
          </cell>
        </row>
        <row r="377">
          <cell r="A377">
            <v>9918</v>
          </cell>
          <cell r="B377" t="str">
            <v>(労務費合計)</v>
          </cell>
        </row>
        <row r="378">
          <cell r="A378">
            <v>9919</v>
          </cell>
          <cell r="B378" t="str">
            <v>外注加工費</v>
          </cell>
        </row>
        <row r="379">
          <cell r="A379">
            <v>9920</v>
          </cell>
          <cell r="B379" t="str">
            <v>荷造包装費</v>
          </cell>
        </row>
        <row r="380">
          <cell r="A380">
            <v>9921</v>
          </cell>
          <cell r="B380" t="str">
            <v>運賃保管料</v>
          </cell>
        </row>
        <row r="381">
          <cell r="A381">
            <v>9922</v>
          </cell>
          <cell r="B381" t="str">
            <v>支払手数料</v>
          </cell>
        </row>
        <row r="382">
          <cell r="A382">
            <v>9923</v>
          </cell>
          <cell r="B382" t="str">
            <v>顧問料</v>
          </cell>
        </row>
        <row r="383">
          <cell r="A383">
            <v>9924</v>
          </cell>
          <cell r="B383" t="str">
            <v>交際費</v>
          </cell>
        </row>
        <row r="384">
          <cell r="A384">
            <v>9925</v>
          </cell>
          <cell r="B384" t="str">
            <v>旅費交通費</v>
          </cell>
        </row>
        <row r="385">
          <cell r="A385">
            <v>9926</v>
          </cell>
          <cell r="B385" t="str">
            <v>車両費</v>
          </cell>
        </row>
        <row r="386">
          <cell r="A386">
            <v>9927</v>
          </cell>
          <cell r="B386" t="str">
            <v>通信費</v>
          </cell>
        </row>
        <row r="387">
          <cell r="A387">
            <v>9928</v>
          </cell>
          <cell r="B387" t="str">
            <v>水道光熱費</v>
          </cell>
        </row>
        <row r="388">
          <cell r="A388">
            <v>9929</v>
          </cell>
          <cell r="B388" t="str">
            <v>保守料</v>
          </cell>
        </row>
        <row r="389">
          <cell r="A389">
            <v>9930</v>
          </cell>
          <cell r="B389" t="str">
            <v>保険料</v>
          </cell>
        </row>
        <row r="390">
          <cell r="A390">
            <v>9931</v>
          </cell>
          <cell r="B390" t="str">
            <v>会議費</v>
          </cell>
        </row>
        <row r="391">
          <cell r="A391">
            <v>9932</v>
          </cell>
          <cell r="B391" t="str">
            <v>新聞図書費</v>
          </cell>
        </row>
        <row r="392">
          <cell r="A392">
            <v>9933</v>
          </cell>
          <cell r="B392" t="str">
            <v>教育訓練費</v>
          </cell>
        </row>
        <row r="393">
          <cell r="A393">
            <v>9934</v>
          </cell>
          <cell r="B393" t="str">
            <v>社員募集費</v>
          </cell>
        </row>
        <row r="394">
          <cell r="A394">
            <v>9935</v>
          </cell>
          <cell r="B394" t="str">
            <v>事務用品費</v>
          </cell>
        </row>
        <row r="395">
          <cell r="A395">
            <v>9936</v>
          </cell>
          <cell r="B395" t="str">
            <v>消耗工具器具備品費</v>
          </cell>
        </row>
        <row r="396">
          <cell r="A396">
            <v>9937</v>
          </cell>
          <cell r="B396" t="str">
            <v>製造保証費</v>
          </cell>
        </row>
        <row r="397">
          <cell r="A397">
            <v>9938</v>
          </cell>
          <cell r="B397" t="str">
            <v>寄付金</v>
          </cell>
        </row>
        <row r="398">
          <cell r="A398">
            <v>9939</v>
          </cell>
          <cell r="B398" t="str">
            <v>諸会費</v>
          </cell>
        </row>
        <row r="399">
          <cell r="A399">
            <v>9940</v>
          </cell>
          <cell r="B399" t="str">
            <v>租税公課</v>
          </cell>
        </row>
        <row r="400">
          <cell r="A400">
            <v>9941</v>
          </cell>
          <cell r="B400" t="str">
            <v>建物減価償却費</v>
          </cell>
        </row>
        <row r="401">
          <cell r="A401">
            <v>9942</v>
          </cell>
          <cell r="B401" t="str">
            <v>構築物減価償却費</v>
          </cell>
        </row>
        <row r="402">
          <cell r="A402">
            <v>9943</v>
          </cell>
          <cell r="B402" t="str">
            <v>機械装置減価償却費</v>
          </cell>
        </row>
        <row r="403">
          <cell r="A403">
            <v>9944</v>
          </cell>
          <cell r="B403" t="str">
            <v>車両運搬具減価償却費</v>
          </cell>
        </row>
        <row r="404">
          <cell r="A404">
            <v>9945</v>
          </cell>
          <cell r="B404" t="str">
            <v>工具器具備品減価償却費</v>
          </cell>
        </row>
        <row r="405">
          <cell r="A405">
            <v>9946</v>
          </cell>
          <cell r="B405" t="str">
            <v>特許権償却費</v>
          </cell>
        </row>
        <row r="406">
          <cell r="A406">
            <v>9947</v>
          </cell>
          <cell r="B406" t="str">
            <v>諸施設利用権償却費</v>
          </cell>
        </row>
        <row r="407">
          <cell r="A407">
            <v>9948</v>
          </cell>
          <cell r="B407" t="str">
            <v>その他無形固定資産償却費</v>
          </cell>
        </row>
        <row r="408">
          <cell r="A408">
            <v>9949</v>
          </cell>
          <cell r="B408" t="str">
            <v>長期前払費用償却費</v>
          </cell>
        </row>
        <row r="409">
          <cell r="A409">
            <v>9950</v>
          </cell>
          <cell r="B409" t="str">
            <v>その他投資償却費</v>
          </cell>
        </row>
        <row r="410">
          <cell r="A410">
            <v>9951</v>
          </cell>
          <cell r="B410" t="str">
            <v>修繕費</v>
          </cell>
        </row>
        <row r="411">
          <cell r="A411">
            <v>9952</v>
          </cell>
          <cell r="B411" t="str">
            <v>賃借料</v>
          </cell>
        </row>
        <row r="412">
          <cell r="A412">
            <v>9953</v>
          </cell>
          <cell r="B412" t="str">
            <v>リース料</v>
          </cell>
        </row>
        <row r="413">
          <cell r="A413">
            <v>9954</v>
          </cell>
          <cell r="B413" t="str">
            <v>輸出入諸掛費</v>
          </cell>
        </row>
        <row r="414">
          <cell r="A414">
            <v>9955</v>
          </cell>
          <cell r="B414" t="str">
            <v>技術指導料</v>
          </cell>
        </row>
        <row r="415">
          <cell r="A415">
            <v>9956</v>
          </cell>
          <cell r="B415" t="str">
            <v>試験研究費</v>
          </cell>
        </row>
        <row r="416">
          <cell r="A416">
            <v>9957</v>
          </cell>
          <cell r="B416" t="str">
            <v>雑費</v>
          </cell>
        </row>
        <row r="417">
          <cell r="A417">
            <v>9958</v>
          </cell>
          <cell r="B417" t="str">
            <v>金型治工具費</v>
          </cell>
        </row>
        <row r="418">
          <cell r="A418">
            <v>9959</v>
          </cell>
          <cell r="B418" t="str">
            <v>(経費合計)</v>
          </cell>
        </row>
        <row r="419">
          <cell r="A419">
            <v>9960</v>
          </cell>
          <cell r="B419" t="str">
            <v>仕掛品期首たな卸高</v>
          </cell>
        </row>
        <row r="420">
          <cell r="A420">
            <v>9961</v>
          </cell>
          <cell r="B420" t="str">
            <v>仕掛品期末たな卸高</v>
          </cell>
        </row>
        <row r="421">
          <cell r="A421">
            <v>9962</v>
          </cell>
          <cell r="B421" t="str">
            <v>他勘定振替高</v>
          </cell>
        </row>
        <row r="422">
          <cell r="A422">
            <v>9969</v>
          </cell>
          <cell r="B422" t="str">
            <v>(当期製品製造原価)</v>
          </cell>
        </row>
        <row r="423">
          <cell r="A423">
            <v>9970</v>
          </cell>
          <cell r="B423" t="str">
            <v>リース料の総額</v>
          </cell>
        </row>
        <row r="424">
          <cell r="A424">
            <v>9971</v>
          </cell>
          <cell r="B424" t="str">
            <v>支払済リース料の累計額</v>
          </cell>
        </row>
        <row r="425">
          <cell r="A425">
            <v>9972</v>
          </cell>
          <cell r="B425" t="str">
            <v>未経過ﾘｰｽ料期末残高(1年内分)</v>
          </cell>
        </row>
        <row r="426">
          <cell r="A426">
            <v>9973</v>
          </cell>
          <cell r="B426" t="str">
            <v>未経過ﾘｰｽ料期末残高(1年超分)</v>
          </cell>
        </row>
        <row r="427">
          <cell r="A427">
            <v>9974</v>
          </cell>
          <cell r="B427" t="str">
            <v>当期支払リース料</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1"/>
      <sheetName val="ＩＮＤＥＸ"/>
      <sheetName val="Attachment(1)"/>
      <sheetName val="Attachment(2)(3)"/>
      <sheetName val="Attachment(4)"/>
      <sheetName val="Attachment(5)"/>
      <sheetName val="Attachment(6)"/>
      <sheetName val="Attachment(7)(R)"/>
      <sheetName val="Attachment(8）"/>
      <sheetName val="Attachment(9)"/>
      <sheetName val="Attachment(10)"/>
      <sheetName val="Attachment(11)"/>
      <sheetName val="Attachment(12)"/>
      <sheetName val="Attachment（13)(14)(15)"/>
      <sheetName val="Attachment(16)"/>
      <sheetName val="Attachment(17)"/>
      <sheetName val="Attachment(18)"/>
      <sheetName val="Attachment(19)"/>
      <sheetName val="Attachment(20)"/>
      <sheetName val="Attachment(R)(20)"/>
      <sheetName val="Attachment(21)"/>
      <sheetName val="Attachment(22)"/>
      <sheetName val="Attachment(23)"/>
      <sheetName val="Attachment(24)"/>
      <sheetName val="Attachment(25)"/>
      <sheetName val="RULE SA05-09"/>
      <sheetName val="Table1"/>
      <sheetName val="Module1"/>
      <sheetName val="DEFINITION"/>
      <sheetName val="PR"/>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C &amp; Mktg ( Jan) "/>
      <sheetName val="YFLEX ( Jan)"/>
      <sheetName val="Molding ( Jan)"/>
      <sheetName val="EMSD ( Jan)"/>
      <sheetName val="ADMIN (Jan)"/>
      <sheetName val="Manufacturing(Jan)"/>
      <sheetName val="Tri-Color Evaluation"/>
      <sheetName val="Company wide"/>
      <sheetName val="SURVEY RESULT"/>
      <sheetName val="sample Checksheet Key 6"/>
      <sheetName val="#REF!"/>
      <sheetName val="DEFINITIO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7"/>
      <sheetName val="Monitoring Sheet-YF"/>
      <sheetName val="PCash-OC13E"/>
      <sheetName val="DEFINITION1"/>
      <sheetName val="RULE SA05-09"/>
      <sheetName val="Table1"/>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7"/>
      <sheetName val="Monitoring Sheet-YF"/>
      <sheetName val="PCash-OC13E"/>
    </sheetNames>
    <sheetDataSet>
      <sheetData sheetId="0" refreshError="1"/>
      <sheetData sheetId="1" refreshError="1"/>
      <sheetData sheetId="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color "/>
      <sheetName val="EF Summary"/>
      <sheetName val="k1"/>
      <sheetName val="k2 "/>
      <sheetName val="k3"/>
      <sheetName val="k4"/>
      <sheetName val="k5"/>
      <sheetName val="Key7"/>
      <sheetName val="DEFINITION1"/>
      <sheetName val="RULE SA05-09"/>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2 "/>
      <sheetName val="Tri-color "/>
      <sheetName val="EF Summary"/>
      <sheetName val="k1"/>
      <sheetName val="k3"/>
      <sheetName val="k4"/>
      <sheetName val="k5"/>
    </sheetNames>
    <sheetDataSet>
      <sheetData sheetId="0"/>
      <sheetData sheetId="1"/>
      <sheetData sheetId="2"/>
      <sheetData sheetId="3"/>
      <sheetData sheetId="4"/>
      <sheetData sheetId="5"/>
      <sheetData sheetId="6"/>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r efficiency"/>
      <sheetName val="nfp machine"/>
      <sheetName val="operation rate"/>
      <sheetName val="production hit rate"/>
      <sheetName val="shiment hit rate"/>
    </sheetNames>
    <sheetDataSet>
      <sheetData sheetId="0"/>
      <sheetData sheetId="1" refreshError="1"/>
      <sheetData sheetId="2" refreshError="1"/>
      <sheetData sheetId="3" refreshError="1"/>
      <sheetData sheetId="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DR _TOTAL"/>
      <sheetName val="NRS"/>
      <sheetName val="HF"/>
      <sheetName val="FAS"/>
      <sheetName val="FAP"/>
      <sheetName val="OTHER MIL"/>
      <sheetName val="CN085"/>
      <sheetName val="CN068"/>
      <sheetName val="CSIC_MANUAL"/>
      <sheetName val="CN085-NEW LINE"/>
      <sheetName val="FP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Y2024 Target"/>
      <sheetName val="Tri-color"/>
      <sheetName val="Company-wide"/>
      <sheetName val="TS"/>
      <sheetName val="CN"/>
      <sheetName val="YF"/>
      <sheetName val="PPD"/>
      <sheetName val="Support"/>
      <sheetName val="Performance per supplier"/>
    </sheetNames>
    <sheetDataSet>
      <sheetData sheetId="0"/>
      <sheetData sheetId="1"/>
      <sheetData sheetId="2"/>
      <sheetData sheetId="3"/>
      <sheetData sheetId="4"/>
      <sheetData sheetId="5"/>
      <sheetData sheetId="6"/>
      <sheetData sheetId="7">
        <row r="39">
          <cell r="AK39">
            <v>0</v>
          </cell>
        </row>
        <row r="42">
          <cell r="AK42">
            <v>0</v>
          </cell>
        </row>
        <row r="43">
          <cell r="AK43">
            <v>0</v>
          </cell>
        </row>
      </sheetData>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2.vml"/><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2.xml"/><Relationship Id="rId16" Type="http://schemas.openxmlformats.org/officeDocument/2006/relationships/oleObject" Target="../embeddings/oleObject7.bin"/><Relationship Id="rId20" Type="http://schemas.openxmlformats.org/officeDocument/2006/relationships/comments" Target="../comments2.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11.bin"/><Relationship Id="rId3" Type="http://schemas.openxmlformats.org/officeDocument/2006/relationships/vmlDrawing" Target="../drawings/vmlDrawing3.vml"/><Relationship Id="rId7" Type="http://schemas.openxmlformats.org/officeDocument/2006/relationships/image" Target="../media/image10.emf"/><Relationship Id="rId12" Type="http://schemas.openxmlformats.org/officeDocument/2006/relationships/comments" Target="../comments3.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oleObject" Target="../embeddings/oleObject10.bin"/><Relationship Id="rId11" Type="http://schemas.openxmlformats.org/officeDocument/2006/relationships/image" Target="../media/image12.emf"/><Relationship Id="rId5" Type="http://schemas.openxmlformats.org/officeDocument/2006/relationships/image" Target="../media/image9.emf"/><Relationship Id="rId10" Type="http://schemas.openxmlformats.org/officeDocument/2006/relationships/oleObject" Target="../embeddings/oleObject12.bin"/><Relationship Id="rId4" Type="http://schemas.openxmlformats.org/officeDocument/2006/relationships/oleObject" Target="../embeddings/oleObject9.bin"/><Relationship Id="rId9" Type="http://schemas.openxmlformats.org/officeDocument/2006/relationships/image" Target="../media/image11.emf"/></Relationships>
</file>

<file path=xl/worksheets/_rels/sheet5.xml.rels><?xml version="1.0" encoding="UTF-8" standalone="yes"?>
<Relationships xmlns="http://schemas.openxmlformats.org/package/2006/relationships"><Relationship Id="rId8" Type="http://schemas.openxmlformats.org/officeDocument/2006/relationships/oleObject" Target="../embeddings/oleObject15.bin"/><Relationship Id="rId13" Type="http://schemas.openxmlformats.org/officeDocument/2006/relationships/image" Target="../media/image17.emf"/><Relationship Id="rId18" Type="http://schemas.openxmlformats.org/officeDocument/2006/relationships/oleObject" Target="../embeddings/oleObject20.bin"/><Relationship Id="rId3" Type="http://schemas.openxmlformats.org/officeDocument/2006/relationships/vmlDrawing" Target="../drawings/vmlDrawing4.vml"/><Relationship Id="rId7" Type="http://schemas.openxmlformats.org/officeDocument/2006/relationships/image" Target="../media/image14.emf"/><Relationship Id="rId12" Type="http://schemas.openxmlformats.org/officeDocument/2006/relationships/oleObject" Target="../embeddings/oleObject17.bin"/><Relationship Id="rId17" Type="http://schemas.openxmlformats.org/officeDocument/2006/relationships/image" Target="../media/image19.emf"/><Relationship Id="rId2" Type="http://schemas.openxmlformats.org/officeDocument/2006/relationships/drawing" Target="../drawings/drawing4.xml"/><Relationship Id="rId16" Type="http://schemas.openxmlformats.org/officeDocument/2006/relationships/oleObject" Target="../embeddings/oleObject19.bin"/><Relationship Id="rId20" Type="http://schemas.openxmlformats.org/officeDocument/2006/relationships/comments" Target="../comments4.xml"/><Relationship Id="rId1" Type="http://schemas.openxmlformats.org/officeDocument/2006/relationships/printerSettings" Target="../printerSettings/printerSettings5.bin"/><Relationship Id="rId6" Type="http://schemas.openxmlformats.org/officeDocument/2006/relationships/oleObject" Target="../embeddings/oleObject14.bin"/><Relationship Id="rId11" Type="http://schemas.openxmlformats.org/officeDocument/2006/relationships/image" Target="../media/image16.emf"/><Relationship Id="rId5" Type="http://schemas.openxmlformats.org/officeDocument/2006/relationships/image" Target="../media/image13.emf"/><Relationship Id="rId15" Type="http://schemas.openxmlformats.org/officeDocument/2006/relationships/image" Target="../media/image18.emf"/><Relationship Id="rId10" Type="http://schemas.openxmlformats.org/officeDocument/2006/relationships/oleObject" Target="../embeddings/oleObject16.bin"/><Relationship Id="rId19" Type="http://schemas.openxmlformats.org/officeDocument/2006/relationships/image" Target="../media/image20.emf"/><Relationship Id="rId4" Type="http://schemas.openxmlformats.org/officeDocument/2006/relationships/oleObject" Target="../embeddings/oleObject13.bin"/><Relationship Id="rId9" Type="http://schemas.openxmlformats.org/officeDocument/2006/relationships/image" Target="../media/image15.emf"/><Relationship Id="rId14" Type="http://schemas.openxmlformats.org/officeDocument/2006/relationships/oleObject" Target="../embeddings/oleObject18.bin"/></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23.bin"/><Relationship Id="rId13" Type="http://schemas.openxmlformats.org/officeDocument/2006/relationships/image" Target="../media/image25.emf"/><Relationship Id="rId3" Type="http://schemas.openxmlformats.org/officeDocument/2006/relationships/vmlDrawing" Target="../drawings/vmlDrawing5.vml"/><Relationship Id="rId7" Type="http://schemas.openxmlformats.org/officeDocument/2006/relationships/image" Target="../media/image22.emf"/><Relationship Id="rId12" Type="http://schemas.openxmlformats.org/officeDocument/2006/relationships/oleObject" Target="../embeddings/oleObject25.bin"/><Relationship Id="rId2" Type="http://schemas.openxmlformats.org/officeDocument/2006/relationships/drawing" Target="../drawings/drawing5.xml"/><Relationship Id="rId16" Type="http://schemas.openxmlformats.org/officeDocument/2006/relationships/comments" Target="../comments5.xml"/><Relationship Id="rId1" Type="http://schemas.openxmlformats.org/officeDocument/2006/relationships/printerSettings" Target="../printerSettings/printerSettings6.bin"/><Relationship Id="rId6" Type="http://schemas.openxmlformats.org/officeDocument/2006/relationships/oleObject" Target="../embeddings/oleObject22.bin"/><Relationship Id="rId11" Type="http://schemas.openxmlformats.org/officeDocument/2006/relationships/image" Target="../media/image24.emf"/><Relationship Id="rId5" Type="http://schemas.openxmlformats.org/officeDocument/2006/relationships/image" Target="../media/image21.emf"/><Relationship Id="rId15" Type="http://schemas.openxmlformats.org/officeDocument/2006/relationships/image" Target="../media/image26.emf"/><Relationship Id="rId10" Type="http://schemas.openxmlformats.org/officeDocument/2006/relationships/oleObject" Target="../embeddings/oleObject24.bin"/><Relationship Id="rId4" Type="http://schemas.openxmlformats.org/officeDocument/2006/relationships/oleObject" Target="../embeddings/oleObject21.bin"/><Relationship Id="rId9" Type="http://schemas.openxmlformats.org/officeDocument/2006/relationships/image" Target="../media/image23.emf"/><Relationship Id="rId14" Type="http://schemas.openxmlformats.org/officeDocument/2006/relationships/oleObject" Target="../embeddings/oleObject26.bin"/></Relationships>
</file>

<file path=xl/worksheets/_rels/sheet7.xml.rels><?xml version="1.0" encoding="UTF-8" standalone="yes"?>
<Relationships xmlns="http://schemas.openxmlformats.org/package/2006/relationships"><Relationship Id="rId8" Type="http://schemas.openxmlformats.org/officeDocument/2006/relationships/oleObject" Target="../embeddings/oleObject29.bin"/><Relationship Id="rId13" Type="http://schemas.openxmlformats.org/officeDocument/2006/relationships/image" Target="../media/image31.emf"/><Relationship Id="rId3" Type="http://schemas.openxmlformats.org/officeDocument/2006/relationships/vmlDrawing" Target="../drawings/vmlDrawing6.vml"/><Relationship Id="rId7" Type="http://schemas.openxmlformats.org/officeDocument/2006/relationships/image" Target="../media/image28.emf"/><Relationship Id="rId12" Type="http://schemas.openxmlformats.org/officeDocument/2006/relationships/oleObject" Target="../embeddings/oleObject31.bin"/><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oleObject" Target="../embeddings/oleObject28.bin"/><Relationship Id="rId11" Type="http://schemas.openxmlformats.org/officeDocument/2006/relationships/image" Target="../media/image30.emf"/><Relationship Id="rId5" Type="http://schemas.openxmlformats.org/officeDocument/2006/relationships/image" Target="../media/image27.emf"/><Relationship Id="rId10" Type="http://schemas.openxmlformats.org/officeDocument/2006/relationships/oleObject" Target="../embeddings/oleObject30.bin"/><Relationship Id="rId4" Type="http://schemas.openxmlformats.org/officeDocument/2006/relationships/oleObject" Target="../embeddings/oleObject27.bin"/><Relationship Id="rId9" Type="http://schemas.openxmlformats.org/officeDocument/2006/relationships/image" Target="../media/image29.emf"/><Relationship Id="rId1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comments" Target="../comments7.xml"/><Relationship Id="rId3" Type="http://schemas.openxmlformats.org/officeDocument/2006/relationships/vmlDrawing" Target="../drawings/vmlDrawing7.vml"/><Relationship Id="rId7" Type="http://schemas.openxmlformats.org/officeDocument/2006/relationships/image" Target="../media/image33.emf"/><Relationship Id="rId2" Type="http://schemas.openxmlformats.org/officeDocument/2006/relationships/drawing" Target="../drawings/drawing7.xml"/><Relationship Id="rId1" Type="http://schemas.openxmlformats.org/officeDocument/2006/relationships/printerSettings" Target="../printerSettings/printerSettings8.bin"/><Relationship Id="rId6" Type="http://schemas.openxmlformats.org/officeDocument/2006/relationships/oleObject" Target="../embeddings/oleObject33.bin"/><Relationship Id="rId5" Type="http://schemas.openxmlformats.org/officeDocument/2006/relationships/image" Target="../media/image32.emf"/><Relationship Id="rId4" Type="http://schemas.openxmlformats.org/officeDocument/2006/relationships/oleObject" Target="../embeddings/oleObject3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49"/>
  <sheetViews>
    <sheetView zoomScale="58" zoomScaleNormal="58" workbookViewId="0">
      <pane xSplit="4" ySplit="3" topLeftCell="E4" activePane="bottomRight" state="frozen"/>
      <selection pane="topRight" activeCell="E1" sqref="E1"/>
      <selection pane="bottomLeft" activeCell="A4" sqref="A4"/>
      <selection pane="bottomRight" activeCell="C35" sqref="C35:D35"/>
    </sheetView>
  </sheetViews>
  <sheetFormatPr defaultColWidth="9.1796875" defaultRowHeight="15.5"/>
  <cols>
    <col min="1" max="1" width="7.81640625" style="234" customWidth="1"/>
    <col min="2" max="2" width="9.1796875" style="234" customWidth="1"/>
    <col min="3" max="3" width="39.1796875" style="266" customWidth="1"/>
    <col min="4" max="4" width="56.81640625" style="266" customWidth="1"/>
    <col min="5" max="5" width="16.81640625" style="234" hidden="1" customWidth="1"/>
    <col min="6" max="6" width="17.1796875" style="234" hidden="1" customWidth="1"/>
    <col min="7" max="8" width="15.453125" style="234" hidden="1" customWidth="1"/>
    <col min="9" max="9" width="15.453125" style="267" hidden="1" customWidth="1"/>
    <col min="10" max="11" width="15.453125" style="267" customWidth="1"/>
    <col min="12" max="12" width="15.453125" style="234" customWidth="1"/>
    <col min="13" max="16" width="13.81640625" style="235" customWidth="1"/>
    <col min="17" max="23" width="13.81640625" style="236" customWidth="1"/>
    <col min="24" max="256" width="9.1796875" style="234"/>
    <col min="257" max="257" width="7.81640625" style="234" customWidth="1"/>
    <col min="258" max="258" width="9.1796875" style="234"/>
    <col min="259" max="259" width="39.1796875" style="234" customWidth="1"/>
    <col min="260" max="260" width="56.81640625" style="234" customWidth="1"/>
    <col min="261" max="265" width="0" style="234" hidden="1" customWidth="1"/>
    <col min="266" max="268" width="15.453125" style="234" customWidth="1"/>
    <col min="269" max="279" width="13.81640625" style="234" customWidth="1"/>
    <col min="280" max="512" width="9.1796875" style="234"/>
    <col min="513" max="513" width="7.81640625" style="234" customWidth="1"/>
    <col min="514" max="514" width="9.1796875" style="234"/>
    <col min="515" max="515" width="39.1796875" style="234" customWidth="1"/>
    <col min="516" max="516" width="56.81640625" style="234" customWidth="1"/>
    <col min="517" max="521" width="0" style="234" hidden="1" customWidth="1"/>
    <col min="522" max="524" width="15.453125" style="234" customWidth="1"/>
    <col min="525" max="535" width="13.81640625" style="234" customWidth="1"/>
    <col min="536" max="768" width="9.1796875" style="234"/>
    <col min="769" max="769" width="7.81640625" style="234" customWidth="1"/>
    <col min="770" max="770" width="9.1796875" style="234"/>
    <col min="771" max="771" width="39.1796875" style="234" customWidth="1"/>
    <col min="772" max="772" width="56.81640625" style="234" customWidth="1"/>
    <col min="773" max="777" width="0" style="234" hidden="1" customWidth="1"/>
    <col min="778" max="780" width="15.453125" style="234" customWidth="1"/>
    <col min="781" max="791" width="13.81640625" style="234" customWidth="1"/>
    <col min="792" max="1024" width="9.1796875" style="234"/>
    <col min="1025" max="1025" width="7.81640625" style="234" customWidth="1"/>
    <col min="1026" max="1026" width="9.1796875" style="234"/>
    <col min="1027" max="1027" width="39.1796875" style="234" customWidth="1"/>
    <col min="1028" max="1028" width="56.81640625" style="234" customWidth="1"/>
    <col min="1029" max="1033" width="0" style="234" hidden="1" customWidth="1"/>
    <col min="1034" max="1036" width="15.453125" style="234" customWidth="1"/>
    <col min="1037" max="1047" width="13.81640625" style="234" customWidth="1"/>
    <col min="1048" max="1280" width="9.1796875" style="234"/>
    <col min="1281" max="1281" width="7.81640625" style="234" customWidth="1"/>
    <col min="1282" max="1282" width="9.1796875" style="234"/>
    <col min="1283" max="1283" width="39.1796875" style="234" customWidth="1"/>
    <col min="1284" max="1284" width="56.81640625" style="234" customWidth="1"/>
    <col min="1285" max="1289" width="0" style="234" hidden="1" customWidth="1"/>
    <col min="1290" max="1292" width="15.453125" style="234" customWidth="1"/>
    <col min="1293" max="1303" width="13.81640625" style="234" customWidth="1"/>
    <col min="1304" max="1536" width="9.1796875" style="234"/>
    <col min="1537" max="1537" width="7.81640625" style="234" customWidth="1"/>
    <col min="1538" max="1538" width="9.1796875" style="234"/>
    <col min="1539" max="1539" width="39.1796875" style="234" customWidth="1"/>
    <col min="1540" max="1540" width="56.81640625" style="234" customWidth="1"/>
    <col min="1541" max="1545" width="0" style="234" hidden="1" customWidth="1"/>
    <col min="1546" max="1548" width="15.453125" style="234" customWidth="1"/>
    <col min="1549" max="1559" width="13.81640625" style="234" customWidth="1"/>
    <col min="1560" max="1792" width="9.1796875" style="234"/>
    <col min="1793" max="1793" width="7.81640625" style="234" customWidth="1"/>
    <col min="1794" max="1794" width="9.1796875" style="234"/>
    <col min="1795" max="1795" width="39.1796875" style="234" customWidth="1"/>
    <col min="1796" max="1796" width="56.81640625" style="234" customWidth="1"/>
    <col min="1797" max="1801" width="0" style="234" hidden="1" customWidth="1"/>
    <col min="1802" max="1804" width="15.453125" style="234" customWidth="1"/>
    <col min="1805" max="1815" width="13.81640625" style="234" customWidth="1"/>
    <col min="1816" max="2048" width="9.1796875" style="234"/>
    <col min="2049" max="2049" width="7.81640625" style="234" customWidth="1"/>
    <col min="2050" max="2050" width="9.1796875" style="234"/>
    <col min="2051" max="2051" width="39.1796875" style="234" customWidth="1"/>
    <col min="2052" max="2052" width="56.81640625" style="234" customWidth="1"/>
    <col min="2053" max="2057" width="0" style="234" hidden="1" customWidth="1"/>
    <col min="2058" max="2060" width="15.453125" style="234" customWidth="1"/>
    <col min="2061" max="2071" width="13.81640625" style="234" customWidth="1"/>
    <col min="2072" max="2304" width="9.1796875" style="234"/>
    <col min="2305" max="2305" width="7.81640625" style="234" customWidth="1"/>
    <col min="2306" max="2306" width="9.1796875" style="234"/>
    <col min="2307" max="2307" width="39.1796875" style="234" customWidth="1"/>
    <col min="2308" max="2308" width="56.81640625" style="234" customWidth="1"/>
    <col min="2309" max="2313" width="0" style="234" hidden="1" customWidth="1"/>
    <col min="2314" max="2316" width="15.453125" style="234" customWidth="1"/>
    <col min="2317" max="2327" width="13.81640625" style="234" customWidth="1"/>
    <col min="2328" max="2560" width="9.1796875" style="234"/>
    <col min="2561" max="2561" width="7.81640625" style="234" customWidth="1"/>
    <col min="2562" max="2562" width="9.1796875" style="234"/>
    <col min="2563" max="2563" width="39.1796875" style="234" customWidth="1"/>
    <col min="2564" max="2564" width="56.81640625" style="234" customWidth="1"/>
    <col min="2565" max="2569" width="0" style="234" hidden="1" customWidth="1"/>
    <col min="2570" max="2572" width="15.453125" style="234" customWidth="1"/>
    <col min="2573" max="2583" width="13.81640625" style="234" customWidth="1"/>
    <col min="2584" max="2816" width="9.1796875" style="234"/>
    <col min="2817" max="2817" width="7.81640625" style="234" customWidth="1"/>
    <col min="2818" max="2818" width="9.1796875" style="234"/>
    <col min="2819" max="2819" width="39.1796875" style="234" customWidth="1"/>
    <col min="2820" max="2820" width="56.81640625" style="234" customWidth="1"/>
    <col min="2821" max="2825" width="0" style="234" hidden="1" customWidth="1"/>
    <col min="2826" max="2828" width="15.453125" style="234" customWidth="1"/>
    <col min="2829" max="2839" width="13.81640625" style="234" customWidth="1"/>
    <col min="2840" max="3072" width="9.1796875" style="234"/>
    <col min="3073" max="3073" width="7.81640625" style="234" customWidth="1"/>
    <col min="3074" max="3074" width="9.1796875" style="234"/>
    <col min="3075" max="3075" width="39.1796875" style="234" customWidth="1"/>
    <col min="3076" max="3076" width="56.81640625" style="234" customWidth="1"/>
    <col min="3077" max="3081" width="0" style="234" hidden="1" customWidth="1"/>
    <col min="3082" max="3084" width="15.453125" style="234" customWidth="1"/>
    <col min="3085" max="3095" width="13.81640625" style="234" customWidth="1"/>
    <col min="3096" max="3328" width="9.1796875" style="234"/>
    <col min="3329" max="3329" width="7.81640625" style="234" customWidth="1"/>
    <col min="3330" max="3330" width="9.1796875" style="234"/>
    <col min="3331" max="3331" width="39.1796875" style="234" customWidth="1"/>
    <col min="3332" max="3332" width="56.81640625" style="234" customWidth="1"/>
    <col min="3333" max="3337" width="0" style="234" hidden="1" customWidth="1"/>
    <col min="3338" max="3340" width="15.453125" style="234" customWidth="1"/>
    <col min="3341" max="3351" width="13.81640625" style="234" customWidth="1"/>
    <col min="3352" max="3584" width="9.1796875" style="234"/>
    <col min="3585" max="3585" width="7.81640625" style="234" customWidth="1"/>
    <col min="3586" max="3586" width="9.1796875" style="234"/>
    <col min="3587" max="3587" width="39.1796875" style="234" customWidth="1"/>
    <col min="3588" max="3588" width="56.81640625" style="234" customWidth="1"/>
    <col min="3589" max="3593" width="0" style="234" hidden="1" customWidth="1"/>
    <col min="3594" max="3596" width="15.453125" style="234" customWidth="1"/>
    <col min="3597" max="3607" width="13.81640625" style="234" customWidth="1"/>
    <col min="3608" max="3840" width="9.1796875" style="234"/>
    <col min="3841" max="3841" width="7.81640625" style="234" customWidth="1"/>
    <col min="3842" max="3842" width="9.1796875" style="234"/>
    <col min="3843" max="3843" width="39.1796875" style="234" customWidth="1"/>
    <col min="3844" max="3844" width="56.81640625" style="234" customWidth="1"/>
    <col min="3845" max="3849" width="0" style="234" hidden="1" customWidth="1"/>
    <col min="3850" max="3852" width="15.453125" style="234" customWidth="1"/>
    <col min="3853" max="3863" width="13.81640625" style="234" customWidth="1"/>
    <col min="3864" max="4096" width="9.1796875" style="234"/>
    <col min="4097" max="4097" width="7.81640625" style="234" customWidth="1"/>
    <col min="4098" max="4098" width="9.1796875" style="234"/>
    <col min="4099" max="4099" width="39.1796875" style="234" customWidth="1"/>
    <col min="4100" max="4100" width="56.81640625" style="234" customWidth="1"/>
    <col min="4101" max="4105" width="0" style="234" hidden="1" customWidth="1"/>
    <col min="4106" max="4108" width="15.453125" style="234" customWidth="1"/>
    <col min="4109" max="4119" width="13.81640625" style="234" customWidth="1"/>
    <col min="4120" max="4352" width="9.1796875" style="234"/>
    <col min="4353" max="4353" width="7.81640625" style="234" customWidth="1"/>
    <col min="4354" max="4354" width="9.1796875" style="234"/>
    <col min="4355" max="4355" width="39.1796875" style="234" customWidth="1"/>
    <col min="4356" max="4356" width="56.81640625" style="234" customWidth="1"/>
    <col min="4357" max="4361" width="0" style="234" hidden="1" customWidth="1"/>
    <col min="4362" max="4364" width="15.453125" style="234" customWidth="1"/>
    <col min="4365" max="4375" width="13.81640625" style="234" customWidth="1"/>
    <col min="4376" max="4608" width="9.1796875" style="234"/>
    <col min="4609" max="4609" width="7.81640625" style="234" customWidth="1"/>
    <col min="4610" max="4610" width="9.1796875" style="234"/>
    <col min="4611" max="4611" width="39.1796875" style="234" customWidth="1"/>
    <col min="4612" max="4612" width="56.81640625" style="234" customWidth="1"/>
    <col min="4613" max="4617" width="0" style="234" hidden="1" customWidth="1"/>
    <col min="4618" max="4620" width="15.453125" style="234" customWidth="1"/>
    <col min="4621" max="4631" width="13.81640625" style="234" customWidth="1"/>
    <col min="4632" max="4864" width="9.1796875" style="234"/>
    <col min="4865" max="4865" width="7.81640625" style="234" customWidth="1"/>
    <col min="4866" max="4866" width="9.1796875" style="234"/>
    <col min="4867" max="4867" width="39.1796875" style="234" customWidth="1"/>
    <col min="4868" max="4868" width="56.81640625" style="234" customWidth="1"/>
    <col min="4869" max="4873" width="0" style="234" hidden="1" customWidth="1"/>
    <col min="4874" max="4876" width="15.453125" style="234" customWidth="1"/>
    <col min="4877" max="4887" width="13.81640625" style="234" customWidth="1"/>
    <col min="4888" max="5120" width="9.1796875" style="234"/>
    <col min="5121" max="5121" width="7.81640625" style="234" customWidth="1"/>
    <col min="5122" max="5122" width="9.1796875" style="234"/>
    <col min="5123" max="5123" width="39.1796875" style="234" customWidth="1"/>
    <col min="5124" max="5124" width="56.81640625" style="234" customWidth="1"/>
    <col min="5125" max="5129" width="0" style="234" hidden="1" customWidth="1"/>
    <col min="5130" max="5132" width="15.453125" style="234" customWidth="1"/>
    <col min="5133" max="5143" width="13.81640625" style="234" customWidth="1"/>
    <col min="5144" max="5376" width="9.1796875" style="234"/>
    <col min="5377" max="5377" width="7.81640625" style="234" customWidth="1"/>
    <col min="5378" max="5378" width="9.1796875" style="234"/>
    <col min="5379" max="5379" width="39.1796875" style="234" customWidth="1"/>
    <col min="5380" max="5380" width="56.81640625" style="234" customWidth="1"/>
    <col min="5381" max="5385" width="0" style="234" hidden="1" customWidth="1"/>
    <col min="5386" max="5388" width="15.453125" style="234" customWidth="1"/>
    <col min="5389" max="5399" width="13.81640625" style="234" customWidth="1"/>
    <col min="5400" max="5632" width="9.1796875" style="234"/>
    <col min="5633" max="5633" width="7.81640625" style="234" customWidth="1"/>
    <col min="5634" max="5634" width="9.1796875" style="234"/>
    <col min="5635" max="5635" width="39.1796875" style="234" customWidth="1"/>
    <col min="5636" max="5636" width="56.81640625" style="234" customWidth="1"/>
    <col min="5637" max="5641" width="0" style="234" hidden="1" customWidth="1"/>
    <col min="5642" max="5644" width="15.453125" style="234" customWidth="1"/>
    <col min="5645" max="5655" width="13.81640625" style="234" customWidth="1"/>
    <col min="5656" max="5888" width="9.1796875" style="234"/>
    <col min="5889" max="5889" width="7.81640625" style="234" customWidth="1"/>
    <col min="5890" max="5890" width="9.1796875" style="234"/>
    <col min="5891" max="5891" width="39.1796875" style="234" customWidth="1"/>
    <col min="5892" max="5892" width="56.81640625" style="234" customWidth="1"/>
    <col min="5893" max="5897" width="0" style="234" hidden="1" customWidth="1"/>
    <col min="5898" max="5900" width="15.453125" style="234" customWidth="1"/>
    <col min="5901" max="5911" width="13.81640625" style="234" customWidth="1"/>
    <col min="5912" max="6144" width="9.1796875" style="234"/>
    <col min="6145" max="6145" width="7.81640625" style="234" customWidth="1"/>
    <col min="6146" max="6146" width="9.1796875" style="234"/>
    <col min="6147" max="6147" width="39.1796875" style="234" customWidth="1"/>
    <col min="6148" max="6148" width="56.81640625" style="234" customWidth="1"/>
    <col min="6149" max="6153" width="0" style="234" hidden="1" customWidth="1"/>
    <col min="6154" max="6156" width="15.453125" style="234" customWidth="1"/>
    <col min="6157" max="6167" width="13.81640625" style="234" customWidth="1"/>
    <col min="6168" max="6400" width="9.1796875" style="234"/>
    <col min="6401" max="6401" width="7.81640625" style="234" customWidth="1"/>
    <col min="6402" max="6402" width="9.1796875" style="234"/>
    <col min="6403" max="6403" width="39.1796875" style="234" customWidth="1"/>
    <col min="6404" max="6404" width="56.81640625" style="234" customWidth="1"/>
    <col min="6405" max="6409" width="0" style="234" hidden="1" customWidth="1"/>
    <col min="6410" max="6412" width="15.453125" style="234" customWidth="1"/>
    <col min="6413" max="6423" width="13.81640625" style="234" customWidth="1"/>
    <col min="6424" max="6656" width="9.1796875" style="234"/>
    <col min="6657" max="6657" width="7.81640625" style="234" customWidth="1"/>
    <col min="6658" max="6658" width="9.1796875" style="234"/>
    <col min="6659" max="6659" width="39.1796875" style="234" customWidth="1"/>
    <col min="6660" max="6660" width="56.81640625" style="234" customWidth="1"/>
    <col min="6661" max="6665" width="0" style="234" hidden="1" customWidth="1"/>
    <col min="6666" max="6668" width="15.453125" style="234" customWidth="1"/>
    <col min="6669" max="6679" width="13.81640625" style="234" customWidth="1"/>
    <col min="6680" max="6912" width="9.1796875" style="234"/>
    <col min="6913" max="6913" width="7.81640625" style="234" customWidth="1"/>
    <col min="6914" max="6914" width="9.1796875" style="234"/>
    <col min="6915" max="6915" width="39.1796875" style="234" customWidth="1"/>
    <col min="6916" max="6916" width="56.81640625" style="234" customWidth="1"/>
    <col min="6917" max="6921" width="0" style="234" hidden="1" customWidth="1"/>
    <col min="6922" max="6924" width="15.453125" style="234" customWidth="1"/>
    <col min="6925" max="6935" width="13.81640625" style="234" customWidth="1"/>
    <col min="6936" max="7168" width="9.1796875" style="234"/>
    <col min="7169" max="7169" width="7.81640625" style="234" customWidth="1"/>
    <col min="7170" max="7170" width="9.1796875" style="234"/>
    <col min="7171" max="7171" width="39.1796875" style="234" customWidth="1"/>
    <col min="7172" max="7172" width="56.81640625" style="234" customWidth="1"/>
    <col min="7173" max="7177" width="0" style="234" hidden="1" customWidth="1"/>
    <col min="7178" max="7180" width="15.453125" style="234" customWidth="1"/>
    <col min="7181" max="7191" width="13.81640625" style="234" customWidth="1"/>
    <col min="7192" max="7424" width="9.1796875" style="234"/>
    <col min="7425" max="7425" width="7.81640625" style="234" customWidth="1"/>
    <col min="7426" max="7426" width="9.1796875" style="234"/>
    <col min="7427" max="7427" width="39.1796875" style="234" customWidth="1"/>
    <col min="7428" max="7428" width="56.81640625" style="234" customWidth="1"/>
    <col min="7429" max="7433" width="0" style="234" hidden="1" customWidth="1"/>
    <col min="7434" max="7436" width="15.453125" style="234" customWidth="1"/>
    <col min="7437" max="7447" width="13.81640625" style="234" customWidth="1"/>
    <col min="7448" max="7680" width="9.1796875" style="234"/>
    <col min="7681" max="7681" width="7.81640625" style="234" customWidth="1"/>
    <col min="7682" max="7682" width="9.1796875" style="234"/>
    <col min="7683" max="7683" width="39.1796875" style="234" customWidth="1"/>
    <col min="7684" max="7684" width="56.81640625" style="234" customWidth="1"/>
    <col min="7685" max="7689" width="0" style="234" hidden="1" customWidth="1"/>
    <col min="7690" max="7692" width="15.453125" style="234" customWidth="1"/>
    <col min="7693" max="7703" width="13.81640625" style="234" customWidth="1"/>
    <col min="7704" max="7936" width="9.1796875" style="234"/>
    <col min="7937" max="7937" width="7.81640625" style="234" customWidth="1"/>
    <col min="7938" max="7938" width="9.1796875" style="234"/>
    <col min="7939" max="7939" width="39.1796875" style="234" customWidth="1"/>
    <col min="7940" max="7940" width="56.81640625" style="234" customWidth="1"/>
    <col min="7941" max="7945" width="0" style="234" hidden="1" customWidth="1"/>
    <col min="7946" max="7948" width="15.453125" style="234" customWidth="1"/>
    <col min="7949" max="7959" width="13.81640625" style="234" customWidth="1"/>
    <col min="7960" max="8192" width="9.1796875" style="234"/>
    <col min="8193" max="8193" width="7.81640625" style="234" customWidth="1"/>
    <col min="8194" max="8194" width="9.1796875" style="234"/>
    <col min="8195" max="8195" width="39.1796875" style="234" customWidth="1"/>
    <col min="8196" max="8196" width="56.81640625" style="234" customWidth="1"/>
    <col min="8197" max="8201" width="0" style="234" hidden="1" customWidth="1"/>
    <col min="8202" max="8204" width="15.453125" style="234" customWidth="1"/>
    <col min="8205" max="8215" width="13.81640625" style="234" customWidth="1"/>
    <col min="8216" max="8448" width="9.1796875" style="234"/>
    <col min="8449" max="8449" width="7.81640625" style="234" customWidth="1"/>
    <col min="8450" max="8450" width="9.1796875" style="234"/>
    <col min="8451" max="8451" width="39.1796875" style="234" customWidth="1"/>
    <col min="8452" max="8452" width="56.81640625" style="234" customWidth="1"/>
    <col min="8453" max="8457" width="0" style="234" hidden="1" customWidth="1"/>
    <col min="8458" max="8460" width="15.453125" style="234" customWidth="1"/>
    <col min="8461" max="8471" width="13.81640625" style="234" customWidth="1"/>
    <col min="8472" max="8704" width="9.1796875" style="234"/>
    <col min="8705" max="8705" width="7.81640625" style="234" customWidth="1"/>
    <col min="8706" max="8706" width="9.1796875" style="234"/>
    <col min="8707" max="8707" width="39.1796875" style="234" customWidth="1"/>
    <col min="8708" max="8708" width="56.81640625" style="234" customWidth="1"/>
    <col min="8709" max="8713" width="0" style="234" hidden="1" customWidth="1"/>
    <col min="8714" max="8716" width="15.453125" style="234" customWidth="1"/>
    <col min="8717" max="8727" width="13.81640625" style="234" customWidth="1"/>
    <col min="8728" max="8960" width="9.1796875" style="234"/>
    <col min="8961" max="8961" width="7.81640625" style="234" customWidth="1"/>
    <col min="8962" max="8962" width="9.1796875" style="234"/>
    <col min="8963" max="8963" width="39.1796875" style="234" customWidth="1"/>
    <col min="8964" max="8964" width="56.81640625" style="234" customWidth="1"/>
    <col min="8965" max="8969" width="0" style="234" hidden="1" customWidth="1"/>
    <col min="8970" max="8972" width="15.453125" style="234" customWidth="1"/>
    <col min="8973" max="8983" width="13.81640625" style="234" customWidth="1"/>
    <col min="8984" max="9216" width="9.1796875" style="234"/>
    <col min="9217" max="9217" width="7.81640625" style="234" customWidth="1"/>
    <col min="9218" max="9218" width="9.1796875" style="234"/>
    <col min="9219" max="9219" width="39.1796875" style="234" customWidth="1"/>
    <col min="9220" max="9220" width="56.81640625" style="234" customWidth="1"/>
    <col min="9221" max="9225" width="0" style="234" hidden="1" customWidth="1"/>
    <col min="9226" max="9228" width="15.453125" style="234" customWidth="1"/>
    <col min="9229" max="9239" width="13.81640625" style="234" customWidth="1"/>
    <col min="9240" max="9472" width="9.1796875" style="234"/>
    <col min="9473" max="9473" width="7.81640625" style="234" customWidth="1"/>
    <col min="9474" max="9474" width="9.1796875" style="234"/>
    <col min="9475" max="9475" width="39.1796875" style="234" customWidth="1"/>
    <col min="9476" max="9476" width="56.81640625" style="234" customWidth="1"/>
    <col min="9477" max="9481" width="0" style="234" hidden="1" customWidth="1"/>
    <col min="9482" max="9484" width="15.453125" style="234" customWidth="1"/>
    <col min="9485" max="9495" width="13.81640625" style="234" customWidth="1"/>
    <col min="9496" max="9728" width="9.1796875" style="234"/>
    <col min="9729" max="9729" width="7.81640625" style="234" customWidth="1"/>
    <col min="9730" max="9730" width="9.1796875" style="234"/>
    <col min="9731" max="9731" width="39.1796875" style="234" customWidth="1"/>
    <col min="9732" max="9732" width="56.81640625" style="234" customWidth="1"/>
    <col min="9733" max="9737" width="0" style="234" hidden="1" customWidth="1"/>
    <col min="9738" max="9740" width="15.453125" style="234" customWidth="1"/>
    <col min="9741" max="9751" width="13.81640625" style="234" customWidth="1"/>
    <col min="9752" max="9984" width="9.1796875" style="234"/>
    <col min="9985" max="9985" width="7.81640625" style="234" customWidth="1"/>
    <col min="9986" max="9986" width="9.1796875" style="234"/>
    <col min="9987" max="9987" width="39.1796875" style="234" customWidth="1"/>
    <col min="9988" max="9988" width="56.81640625" style="234" customWidth="1"/>
    <col min="9989" max="9993" width="0" style="234" hidden="1" customWidth="1"/>
    <col min="9994" max="9996" width="15.453125" style="234" customWidth="1"/>
    <col min="9997" max="10007" width="13.81640625" style="234" customWidth="1"/>
    <col min="10008" max="10240" width="9.1796875" style="234"/>
    <col min="10241" max="10241" width="7.81640625" style="234" customWidth="1"/>
    <col min="10242" max="10242" width="9.1796875" style="234"/>
    <col min="10243" max="10243" width="39.1796875" style="234" customWidth="1"/>
    <col min="10244" max="10244" width="56.81640625" style="234" customWidth="1"/>
    <col min="10245" max="10249" width="0" style="234" hidden="1" customWidth="1"/>
    <col min="10250" max="10252" width="15.453125" style="234" customWidth="1"/>
    <col min="10253" max="10263" width="13.81640625" style="234" customWidth="1"/>
    <col min="10264" max="10496" width="9.1796875" style="234"/>
    <col min="10497" max="10497" width="7.81640625" style="234" customWidth="1"/>
    <col min="10498" max="10498" width="9.1796875" style="234"/>
    <col min="10499" max="10499" width="39.1796875" style="234" customWidth="1"/>
    <col min="10500" max="10500" width="56.81640625" style="234" customWidth="1"/>
    <col min="10501" max="10505" width="0" style="234" hidden="1" customWidth="1"/>
    <col min="10506" max="10508" width="15.453125" style="234" customWidth="1"/>
    <col min="10509" max="10519" width="13.81640625" style="234" customWidth="1"/>
    <col min="10520" max="10752" width="9.1796875" style="234"/>
    <col min="10753" max="10753" width="7.81640625" style="234" customWidth="1"/>
    <col min="10754" max="10754" width="9.1796875" style="234"/>
    <col min="10755" max="10755" width="39.1796875" style="234" customWidth="1"/>
    <col min="10756" max="10756" width="56.81640625" style="234" customWidth="1"/>
    <col min="10757" max="10761" width="0" style="234" hidden="1" customWidth="1"/>
    <col min="10762" max="10764" width="15.453125" style="234" customWidth="1"/>
    <col min="10765" max="10775" width="13.81640625" style="234" customWidth="1"/>
    <col min="10776" max="11008" width="9.1796875" style="234"/>
    <col min="11009" max="11009" width="7.81640625" style="234" customWidth="1"/>
    <col min="11010" max="11010" width="9.1796875" style="234"/>
    <col min="11011" max="11011" width="39.1796875" style="234" customWidth="1"/>
    <col min="11012" max="11012" width="56.81640625" style="234" customWidth="1"/>
    <col min="11013" max="11017" width="0" style="234" hidden="1" customWidth="1"/>
    <col min="11018" max="11020" width="15.453125" style="234" customWidth="1"/>
    <col min="11021" max="11031" width="13.81640625" style="234" customWidth="1"/>
    <col min="11032" max="11264" width="9.1796875" style="234"/>
    <col min="11265" max="11265" width="7.81640625" style="234" customWidth="1"/>
    <col min="11266" max="11266" width="9.1796875" style="234"/>
    <col min="11267" max="11267" width="39.1796875" style="234" customWidth="1"/>
    <col min="11268" max="11268" width="56.81640625" style="234" customWidth="1"/>
    <col min="11269" max="11273" width="0" style="234" hidden="1" customWidth="1"/>
    <col min="11274" max="11276" width="15.453125" style="234" customWidth="1"/>
    <col min="11277" max="11287" width="13.81640625" style="234" customWidth="1"/>
    <col min="11288" max="11520" width="9.1796875" style="234"/>
    <col min="11521" max="11521" width="7.81640625" style="234" customWidth="1"/>
    <col min="11522" max="11522" width="9.1796875" style="234"/>
    <col min="11523" max="11523" width="39.1796875" style="234" customWidth="1"/>
    <col min="11524" max="11524" width="56.81640625" style="234" customWidth="1"/>
    <col min="11525" max="11529" width="0" style="234" hidden="1" customWidth="1"/>
    <col min="11530" max="11532" width="15.453125" style="234" customWidth="1"/>
    <col min="11533" max="11543" width="13.81640625" style="234" customWidth="1"/>
    <col min="11544" max="11776" width="9.1796875" style="234"/>
    <col min="11777" max="11777" width="7.81640625" style="234" customWidth="1"/>
    <col min="11778" max="11778" width="9.1796875" style="234"/>
    <col min="11779" max="11779" width="39.1796875" style="234" customWidth="1"/>
    <col min="11780" max="11780" width="56.81640625" style="234" customWidth="1"/>
    <col min="11781" max="11785" width="0" style="234" hidden="1" customWidth="1"/>
    <col min="11786" max="11788" width="15.453125" style="234" customWidth="1"/>
    <col min="11789" max="11799" width="13.81640625" style="234" customWidth="1"/>
    <col min="11800" max="12032" width="9.1796875" style="234"/>
    <col min="12033" max="12033" width="7.81640625" style="234" customWidth="1"/>
    <col min="12034" max="12034" width="9.1796875" style="234"/>
    <col min="12035" max="12035" width="39.1796875" style="234" customWidth="1"/>
    <col min="12036" max="12036" width="56.81640625" style="234" customWidth="1"/>
    <col min="12037" max="12041" width="0" style="234" hidden="1" customWidth="1"/>
    <col min="12042" max="12044" width="15.453125" style="234" customWidth="1"/>
    <col min="12045" max="12055" width="13.81640625" style="234" customWidth="1"/>
    <col min="12056" max="12288" width="9.1796875" style="234"/>
    <col min="12289" max="12289" width="7.81640625" style="234" customWidth="1"/>
    <col min="12290" max="12290" width="9.1796875" style="234"/>
    <col min="12291" max="12291" width="39.1796875" style="234" customWidth="1"/>
    <col min="12292" max="12292" width="56.81640625" style="234" customWidth="1"/>
    <col min="12293" max="12297" width="0" style="234" hidden="1" customWidth="1"/>
    <col min="12298" max="12300" width="15.453125" style="234" customWidth="1"/>
    <col min="12301" max="12311" width="13.81640625" style="234" customWidth="1"/>
    <col min="12312" max="12544" width="9.1796875" style="234"/>
    <col min="12545" max="12545" width="7.81640625" style="234" customWidth="1"/>
    <col min="12546" max="12546" width="9.1796875" style="234"/>
    <col min="12547" max="12547" width="39.1796875" style="234" customWidth="1"/>
    <col min="12548" max="12548" width="56.81640625" style="234" customWidth="1"/>
    <col min="12549" max="12553" width="0" style="234" hidden="1" customWidth="1"/>
    <col min="12554" max="12556" width="15.453125" style="234" customWidth="1"/>
    <col min="12557" max="12567" width="13.81640625" style="234" customWidth="1"/>
    <col min="12568" max="12800" width="9.1796875" style="234"/>
    <col min="12801" max="12801" width="7.81640625" style="234" customWidth="1"/>
    <col min="12802" max="12802" width="9.1796875" style="234"/>
    <col min="12803" max="12803" width="39.1796875" style="234" customWidth="1"/>
    <col min="12804" max="12804" width="56.81640625" style="234" customWidth="1"/>
    <col min="12805" max="12809" width="0" style="234" hidden="1" customWidth="1"/>
    <col min="12810" max="12812" width="15.453125" style="234" customWidth="1"/>
    <col min="12813" max="12823" width="13.81640625" style="234" customWidth="1"/>
    <col min="12824" max="13056" width="9.1796875" style="234"/>
    <col min="13057" max="13057" width="7.81640625" style="234" customWidth="1"/>
    <col min="13058" max="13058" width="9.1796875" style="234"/>
    <col min="13059" max="13059" width="39.1796875" style="234" customWidth="1"/>
    <col min="13060" max="13060" width="56.81640625" style="234" customWidth="1"/>
    <col min="13061" max="13065" width="0" style="234" hidden="1" customWidth="1"/>
    <col min="13066" max="13068" width="15.453125" style="234" customWidth="1"/>
    <col min="13069" max="13079" width="13.81640625" style="234" customWidth="1"/>
    <col min="13080" max="13312" width="9.1796875" style="234"/>
    <col min="13313" max="13313" width="7.81640625" style="234" customWidth="1"/>
    <col min="13314" max="13314" width="9.1796875" style="234"/>
    <col min="13315" max="13315" width="39.1796875" style="234" customWidth="1"/>
    <col min="13316" max="13316" width="56.81640625" style="234" customWidth="1"/>
    <col min="13317" max="13321" width="0" style="234" hidden="1" customWidth="1"/>
    <col min="13322" max="13324" width="15.453125" style="234" customWidth="1"/>
    <col min="13325" max="13335" width="13.81640625" style="234" customWidth="1"/>
    <col min="13336" max="13568" width="9.1796875" style="234"/>
    <col min="13569" max="13569" width="7.81640625" style="234" customWidth="1"/>
    <col min="13570" max="13570" width="9.1796875" style="234"/>
    <col min="13571" max="13571" width="39.1796875" style="234" customWidth="1"/>
    <col min="13572" max="13572" width="56.81640625" style="234" customWidth="1"/>
    <col min="13573" max="13577" width="0" style="234" hidden="1" customWidth="1"/>
    <col min="13578" max="13580" width="15.453125" style="234" customWidth="1"/>
    <col min="13581" max="13591" width="13.81640625" style="234" customWidth="1"/>
    <col min="13592" max="13824" width="9.1796875" style="234"/>
    <col min="13825" max="13825" width="7.81640625" style="234" customWidth="1"/>
    <col min="13826" max="13826" width="9.1796875" style="234"/>
    <col min="13827" max="13827" width="39.1796875" style="234" customWidth="1"/>
    <col min="13828" max="13828" width="56.81640625" style="234" customWidth="1"/>
    <col min="13829" max="13833" width="0" style="234" hidden="1" customWidth="1"/>
    <col min="13834" max="13836" width="15.453125" style="234" customWidth="1"/>
    <col min="13837" max="13847" width="13.81640625" style="234" customWidth="1"/>
    <col min="13848" max="14080" width="9.1796875" style="234"/>
    <col min="14081" max="14081" width="7.81640625" style="234" customWidth="1"/>
    <col min="14082" max="14082" width="9.1796875" style="234"/>
    <col min="14083" max="14083" width="39.1796875" style="234" customWidth="1"/>
    <col min="14084" max="14084" width="56.81640625" style="234" customWidth="1"/>
    <col min="14085" max="14089" width="0" style="234" hidden="1" customWidth="1"/>
    <col min="14090" max="14092" width="15.453125" style="234" customWidth="1"/>
    <col min="14093" max="14103" width="13.81640625" style="234" customWidth="1"/>
    <col min="14104" max="14336" width="9.1796875" style="234"/>
    <col min="14337" max="14337" width="7.81640625" style="234" customWidth="1"/>
    <col min="14338" max="14338" width="9.1796875" style="234"/>
    <col min="14339" max="14339" width="39.1796875" style="234" customWidth="1"/>
    <col min="14340" max="14340" width="56.81640625" style="234" customWidth="1"/>
    <col min="14341" max="14345" width="0" style="234" hidden="1" customWidth="1"/>
    <col min="14346" max="14348" width="15.453125" style="234" customWidth="1"/>
    <col min="14349" max="14359" width="13.81640625" style="234" customWidth="1"/>
    <col min="14360" max="14592" width="9.1796875" style="234"/>
    <col min="14593" max="14593" width="7.81640625" style="234" customWidth="1"/>
    <col min="14594" max="14594" width="9.1796875" style="234"/>
    <col min="14595" max="14595" width="39.1796875" style="234" customWidth="1"/>
    <col min="14596" max="14596" width="56.81640625" style="234" customWidth="1"/>
    <col min="14597" max="14601" width="0" style="234" hidden="1" customWidth="1"/>
    <col min="14602" max="14604" width="15.453125" style="234" customWidth="1"/>
    <col min="14605" max="14615" width="13.81640625" style="234" customWidth="1"/>
    <col min="14616" max="14848" width="9.1796875" style="234"/>
    <col min="14849" max="14849" width="7.81640625" style="234" customWidth="1"/>
    <col min="14850" max="14850" width="9.1796875" style="234"/>
    <col min="14851" max="14851" width="39.1796875" style="234" customWidth="1"/>
    <col min="14852" max="14852" width="56.81640625" style="234" customWidth="1"/>
    <col min="14853" max="14857" width="0" style="234" hidden="1" customWidth="1"/>
    <col min="14858" max="14860" width="15.453125" style="234" customWidth="1"/>
    <col min="14861" max="14871" width="13.81640625" style="234" customWidth="1"/>
    <col min="14872" max="15104" width="9.1796875" style="234"/>
    <col min="15105" max="15105" width="7.81640625" style="234" customWidth="1"/>
    <col min="15106" max="15106" width="9.1796875" style="234"/>
    <col min="15107" max="15107" width="39.1796875" style="234" customWidth="1"/>
    <col min="15108" max="15108" width="56.81640625" style="234" customWidth="1"/>
    <col min="15109" max="15113" width="0" style="234" hidden="1" customWidth="1"/>
    <col min="15114" max="15116" width="15.453125" style="234" customWidth="1"/>
    <col min="15117" max="15127" width="13.81640625" style="234" customWidth="1"/>
    <col min="15128" max="15360" width="9.1796875" style="234"/>
    <col min="15361" max="15361" width="7.81640625" style="234" customWidth="1"/>
    <col min="15362" max="15362" width="9.1796875" style="234"/>
    <col min="15363" max="15363" width="39.1796875" style="234" customWidth="1"/>
    <col min="15364" max="15364" width="56.81640625" style="234" customWidth="1"/>
    <col min="15365" max="15369" width="0" style="234" hidden="1" customWidth="1"/>
    <col min="15370" max="15372" width="15.453125" style="234" customWidth="1"/>
    <col min="15373" max="15383" width="13.81640625" style="234" customWidth="1"/>
    <col min="15384" max="15616" width="9.1796875" style="234"/>
    <col min="15617" max="15617" width="7.81640625" style="234" customWidth="1"/>
    <col min="15618" max="15618" width="9.1796875" style="234"/>
    <col min="15619" max="15619" width="39.1796875" style="234" customWidth="1"/>
    <col min="15620" max="15620" width="56.81640625" style="234" customWidth="1"/>
    <col min="15621" max="15625" width="0" style="234" hidden="1" customWidth="1"/>
    <col min="15626" max="15628" width="15.453125" style="234" customWidth="1"/>
    <col min="15629" max="15639" width="13.81640625" style="234" customWidth="1"/>
    <col min="15640" max="15872" width="9.1796875" style="234"/>
    <col min="15873" max="15873" width="7.81640625" style="234" customWidth="1"/>
    <col min="15874" max="15874" width="9.1796875" style="234"/>
    <col min="15875" max="15875" width="39.1796875" style="234" customWidth="1"/>
    <col min="15876" max="15876" width="56.81640625" style="234" customWidth="1"/>
    <col min="15877" max="15881" width="0" style="234" hidden="1" customWidth="1"/>
    <col min="15882" max="15884" width="15.453125" style="234" customWidth="1"/>
    <col min="15885" max="15895" width="13.81640625" style="234" customWidth="1"/>
    <col min="15896" max="16128" width="9.1796875" style="234"/>
    <col min="16129" max="16129" width="7.81640625" style="234" customWidth="1"/>
    <col min="16130" max="16130" width="9.1796875" style="234"/>
    <col min="16131" max="16131" width="39.1796875" style="234" customWidth="1"/>
    <col min="16132" max="16132" width="56.81640625" style="234" customWidth="1"/>
    <col min="16133" max="16137" width="0" style="234" hidden="1" customWidth="1"/>
    <col min="16138" max="16140" width="15.453125" style="234" customWidth="1"/>
    <col min="16141" max="16151" width="13.81640625" style="234" customWidth="1"/>
    <col min="16152" max="16384" width="9.1796875" style="234"/>
  </cols>
  <sheetData>
    <row r="1" spans="1:24" ht="25">
      <c r="A1" s="264" t="s">
        <v>225</v>
      </c>
      <c r="C1" s="265"/>
    </row>
    <row r="2" spans="1:24" ht="15.75" customHeight="1">
      <c r="A2" s="704" t="s">
        <v>62</v>
      </c>
      <c r="B2" s="704" t="s">
        <v>63</v>
      </c>
      <c r="C2" s="698" t="s">
        <v>64</v>
      </c>
      <c r="D2" s="698"/>
      <c r="E2" s="705" t="s">
        <v>63</v>
      </c>
      <c r="F2" s="706"/>
      <c r="G2" s="706"/>
      <c r="H2" s="706"/>
      <c r="I2" s="706"/>
      <c r="J2" s="706"/>
      <c r="K2" s="706"/>
      <c r="L2" s="696" t="s">
        <v>29</v>
      </c>
      <c r="M2" s="697"/>
      <c r="N2" s="696" t="s">
        <v>143</v>
      </c>
      <c r="O2" s="697"/>
      <c r="P2" s="696" t="s">
        <v>65</v>
      </c>
      <c r="Q2" s="697"/>
      <c r="R2" s="696" t="s">
        <v>66</v>
      </c>
      <c r="S2" s="697"/>
      <c r="T2" s="698" t="s">
        <v>226</v>
      </c>
      <c r="U2" s="698"/>
      <c r="V2" s="698" t="s">
        <v>67</v>
      </c>
      <c r="W2" s="698"/>
    </row>
    <row r="3" spans="1:24" s="268" customFormat="1" ht="40.5" customHeight="1">
      <c r="A3" s="704"/>
      <c r="B3" s="704"/>
      <c r="C3" s="698"/>
      <c r="D3" s="698"/>
      <c r="E3" s="237" t="s">
        <v>154</v>
      </c>
      <c r="F3" s="237" t="s">
        <v>151</v>
      </c>
      <c r="G3" s="237" t="s">
        <v>167</v>
      </c>
      <c r="H3" s="237" t="s">
        <v>168</v>
      </c>
      <c r="I3" s="237" t="s">
        <v>181</v>
      </c>
      <c r="J3" s="237" t="s">
        <v>227</v>
      </c>
      <c r="K3" s="237" t="s">
        <v>228</v>
      </c>
      <c r="L3" s="237" t="s">
        <v>227</v>
      </c>
      <c r="M3" s="237" t="s">
        <v>228</v>
      </c>
      <c r="N3" s="237" t="s">
        <v>227</v>
      </c>
      <c r="O3" s="237" t="s">
        <v>228</v>
      </c>
      <c r="P3" s="237" t="s">
        <v>227</v>
      </c>
      <c r="Q3" s="237" t="s">
        <v>228</v>
      </c>
      <c r="R3" s="237" t="s">
        <v>227</v>
      </c>
      <c r="S3" s="237" t="s">
        <v>228</v>
      </c>
      <c r="T3" s="237" t="s">
        <v>227</v>
      </c>
      <c r="U3" s="237" t="s">
        <v>228</v>
      </c>
      <c r="V3" s="237" t="s">
        <v>227</v>
      </c>
      <c r="W3" s="237" t="s">
        <v>228</v>
      </c>
    </row>
    <row r="4" spans="1:24" ht="40" customHeight="1">
      <c r="A4" s="699">
        <v>1</v>
      </c>
      <c r="B4" s="699" t="s">
        <v>155</v>
      </c>
      <c r="C4" s="680" t="s">
        <v>182</v>
      </c>
      <c r="D4" s="680"/>
      <c r="E4" s="251">
        <v>98.63</v>
      </c>
      <c r="F4" s="238">
        <v>98</v>
      </c>
      <c r="G4" s="244">
        <v>99.02</v>
      </c>
      <c r="H4" s="241">
        <v>98</v>
      </c>
      <c r="I4" s="244" t="e">
        <f>AVERAGE(L4,N4,P4,R4,V4)</f>
        <v>#DIV/0!</v>
      </c>
      <c r="J4" s="244"/>
      <c r="K4" s="244"/>
      <c r="L4" s="244"/>
      <c r="M4" s="251"/>
      <c r="N4" s="244"/>
      <c r="O4" s="251"/>
      <c r="P4" s="244"/>
      <c r="Q4" s="251"/>
      <c r="R4" s="244"/>
      <c r="S4" s="251"/>
      <c r="T4" s="244"/>
      <c r="U4" s="251"/>
      <c r="V4" s="244"/>
      <c r="W4" s="251"/>
    </row>
    <row r="5" spans="1:24" ht="28.5" customHeight="1">
      <c r="A5" s="700"/>
      <c r="B5" s="700"/>
      <c r="C5" s="680" t="s">
        <v>183</v>
      </c>
      <c r="D5" s="680"/>
      <c r="E5" s="701">
        <v>98.99</v>
      </c>
      <c r="F5" s="702">
        <v>98</v>
      </c>
      <c r="G5" s="692">
        <v>98.29</v>
      </c>
      <c r="H5" s="694">
        <v>98</v>
      </c>
      <c r="I5" s="263" t="e">
        <f>AVERAGE(I4,L5,N5,P5,R5,V5)</f>
        <v>#DIV/0!</v>
      </c>
      <c r="J5" s="263"/>
      <c r="K5" s="263"/>
      <c r="L5" s="263"/>
      <c r="M5" s="263"/>
      <c r="N5" s="263"/>
      <c r="O5" s="263"/>
      <c r="P5" s="263"/>
      <c r="Q5" s="263"/>
      <c r="R5" s="263"/>
      <c r="S5" s="263"/>
      <c r="T5" s="263"/>
      <c r="U5" s="263"/>
      <c r="V5" s="263"/>
      <c r="W5" s="263"/>
    </row>
    <row r="6" spans="1:24" ht="28.5" customHeight="1">
      <c r="A6" s="700"/>
      <c r="B6" s="700"/>
      <c r="C6" s="680" t="s">
        <v>184</v>
      </c>
      <c r="D6" s="680"/>
      <c r="E6" s="701"/>
      <c r="F6" s="703"/>
      <c r="G6" s="693"/>
      <c r="H6" s="695"/>
      <c r="I6" s="244" t="e">
        <f>AVERAGE(L6,N6,P6,R6,V6)</f>
        <v>#DIV/0!</v>
      </c>
      <c r="J6" s="244"/>
      <c r="K6" s="244"/>
      <c r="L6" s="253" t="s">
        <v>149</v>
      </c>
      <c r="M6" s="253" t="s">
        <v>149</v>
      </c>
      <c r="N6" s="253" t="s">
        <v>149</v>
      </c>
      <c r="O6" s="253" t="s">
        <v>149</v>
      </c>
      <c r="P6" s="253" t="s">
        <v>149</v>
      </c>
      <c r="Q6" s="253" t="s">
        <v>149</v>
      </c>
      <c r="R6" s="253" t="s">
        <v>149</v>
      </c>
      <c r="S6" s="253" t="s">
        <v>149</v>
      </c>
      <c r="T6" s="263"/>
      <c r="U6" s="263"/>
      <c r="V6" s="240"/>
      <c r="W6" s="2"/>
    </row>
    <row r="7" spans="1:24" ht="40" customHeight="1">
      <c r="A7" s="700"/>
      <c r="B7" s="700"/>
      <c r="C7" s="680" t="s">
        <v>185</v>
      </c>
      <c r="D7" s="680"/>
      <c r="E7" s="239">
        <v>98.59</v>
      </c>
      <c r="F7" s="239">
        <v>13</v>
      </c>
      <c r="G7" s="240">
        <v>9</v>
      </c>
      <c r="H7" s="240">
        <v>5</v>
      </c>
      <c r="I7" s="244" t="e">
        <f>AVERAGE(L7,N7,P7,R7,V7)</f>
        <v>#DIV/0!</v>
      </c>
      <c r="J7" s="244"/>
      <c r="K7" s="244"/>
      <c r="L7" s="240"/>
      <c r="M7" s="2"/>
      <c r="N7" s="240"/>
      <c r="O7" s="2"/>
      <c r="P7" s="240"/>
      <c r="Q7" s="2"/>
      <c r="R7" s="240"/>
      <c r="S7" s="238"/>
      <c r="T7" s="263"/>
      <c r="U7" s="263"/>
      <c r="V7" s="240"/>
      <c r="W7" s="2"/>
    </row>
    <row r="8" spans="1:24" ht="45.75" customHeight="1">
      <c r="A8" s="700"/>
      <c r="B8" s="700"/>
      <c r="C8" s="680" t="s">
        <v>186</v>
      </c>
      <c r="D8" s="680"/>
      <c r="E8" s="239">
        <v>99.72</v>
      </c>
      <c r="F8" s="240" t="s">
        <v>156</v>
      </c>
      <c r="G8" s="240">
        <v>6</v>
      </c>
      <c r="H8" s="240">
        <v>0</v>
      </c>
      <c r="I8" s="244" t="e">
        <f>AVERAGE(L8,N8,P8,R8,V8)</f>
        <v>#DIV/0!</v>
      </c>
      <c r="J8" s="244"/>
      <c r="K8" s="244"/>
      <c r="L8" s="253" t="s">
        <v>149</v>
      </c>
      <c r="M8" s="253" t="s">
        <v>149</v>
      </c>
      <c r="N8" s="253" t="s">
        <v>149</v>
      </c>
      <c r="O8" s="253" t="s">
        <v>149</v>
      </c>
      <c r="P8" s="253" t="s">
        <v>149</v>
      </c>
      <c r="Q8" s="253" t="s">
        <v>149</v>
      </c>
      <c r="R8" s="253" t="s">
        <v>149</v>
      </c>
      <c r="S8" s="253" t="s">
        <v>149</v>
      </c>
      <c r="T8" s="263"/>
      <c r="U8" s="263"/>
      <c r="V8" s="244"/>
      <c r="W8" s="7"/>
    </row>
    <row r="9" spans="1:24" ht="32.25" customHeight="1">
      <c r="A9" s="685">
        <v>4</v>
      </c>
      <c r="B9" s="685" t="s">
        <v>157</v>
      </c>
      <c r="C9" s="690" t="s">
        <v>174</v>
      </c>
      <c r="D9" s="249" t="s">
        <v>175</v>
      </c>
      <c r="E9" s="242">
        <f>631290</f>
        <v>631290</v>
      </c>
      <c r="F9" s="243">
        <f>599726</f>
        <v>599726</v>
      </c>
      <c r="G9" s="269">
        <v>608300</v>
      </c>
      <c r="H9" s="269">
        <v>590051</v>
      </c>
      <c r="I9" s="6">
        <v>146.16</v>
      </c>
      <c r="J9" s="6"/>
      <c r="K9" s="6"/>
      <c r="L9" s="253" t="s">
        <v>149</v>
      </c>
      <c r="M9" s="253" t="s">
        <v>149</v>
      </c>
      <c r="N9" s="253" t="s">
        <v>149</v>
      </c>
      <c r="O9" s="253" t="s">
        <v>149</v>
      </c>
      <c r="P9" s="253" t="s">
        <v>149</v>
      </c>
      <c r="Q9" s="253" t="s">
        <v>149</v>
      </c>
      <c r="R9" s="253" t="s">
        <v>149</v>
      </c>
      <c r="S9" s="253" t="s">
        <v>149</v>
      </c>
      <c r="T9" s="263"/>
      <c r="U9" s="263"/>
      <c r="V9" s="6"/>
      <c r="W9" s="6"/>
      <c r="X9" s="236"/>
    </row>
    <row r="10" spans="1:24" ht="38.25" customHeight="1">
      <c r="A10" s="686"/>
      <c r="B10" s="686"/>
      <c r="C10" s="691"/>
      <c r="D10" s="249" t="s">
        <v>187</v>
      </c>
      <c r="E10" s="239">
        <v>2.0299999999999998</v>
      </c>
      <c r="F10" s="239">
        <v>1.97</v>
      </c>
      <c r="G10" s="6">
        <v>2.0299999999999998</v>
      </c>
      <c r="H10" s="6">
        <v>1.9690999999999999</v>
      </c>
      <c r="I10" s="6">
        <v>1.71</v>
      </c>
      <c r="J10" s="6"/>
      <c r="K10" s="6"/>
      <c r="L10" s="253" t="s">
        <v>149</v>
      </c>
      <c r="M10" s="253" t="s">
        <v>149</v>
      </c>
      <c r="N10" s="253" t="s">
        <v>149</v>
      </c>
      <c r="O10" s="253" t="s">
        <v>149</v>
      </c>
      <c r="P10" s="253" t="s">
        <v>149</v>
      </c>
      <c r="Q10" s="253" t="s">
        <v>149</v>
      </c>
      <c r="R10" s="253" t="s">
        <v>149</v>
      </c>
      <c r="S10" s="253" t="s">
        <v>149</v>
      </c>
      <c r="T10" s="263"/>
      <c r="U10" s="263"/>
      <c r="V10" s="6"/>
      <c r="W10" s="6"/>
      <c r="X10" s="236"/>
    </row>
    <row r="11" spans="1:24" ht="38.25" customHeight="1">
      <c r="A11" s="686"/>
      <c r="B11" s="686"/>
      <c r="C11" s="683" t="s">
        <v>188</v>
      </c>
      <c r="D11" s="684"/>
      <c r="E11" s="239"/>
      <c r="F11" s="239"/>
      <c r="G11" s="6"/>
      <c r="H11" s="6"/>
      <c r="I11" s="580">
        <v>134.13999999999999</v>
      </c>
      <c r="J11" s="580"/>
      <c r="K11" s="580"/>
      <c r="L11" s="580"/>
      <c r="M11" s="241"/>
      <c r="N11" s="244"/>
      <c r="O11" s="241"/>
      <c r="P11" s="244"/>
      <c r="Q11" s="241"/>
      <c r="R11" s="244"/>
      <c r="S11" s="241"/>
      <c r="T11" s="263"/>
      <c r="U11" s="263"/>
      <c r="V11" s="581"/>
      <c r="W11" s="581"/>
      <c r="X11" s="236"/>
    </row>
    <row r="12" spans="1:24" ht="29.25" customHeight="1">
      <c r="A12" s="686"/>
      <c r="B12" s="686"/>
      <c r="C12" s="683" t="s">
        <v>189</v>
      </c>
      <c r="D12" s="684"/>
      <c r="E12" s="238">
        <v>205</v>
      </c>
      <c r="F12" s="251">
        <v>205.4</v>
      </c>
      <c r="G12" s="244" t="e">
        <f>L12+N12+P12+R12+V12</f>
        <v>#VALUE!</v>
      </c>
      <c r="H12" s="244">
        <v>163.55000000000001</v>
      </c>
      <c r="I12" s="228">
        <v>0.36</v>
      </c>
      <c r="J12" s="228"/>
      <c r="K12" s="228"/>
      <c r="L12" s="228"/>
      <c r="M12" s="228"/>
      <c r="N12" s="228"/>
      <c r="O12" s="228"/>
      <c r="P12" s="253" t="s">
        <v>149</v>
      </c>
      <c r="Q12" s="253" t="s">
        <v>149</v>
      </c>
      <c r="R12" s="253" t="s">
        <v>149</v>
      </c>
      <c r="S12" s="253" t="s">
        <v>149</v>
      </c>
      <c r="T12" s="263"/>
      <c r="U12" s="263"/>
      <c r="V12" s="253" t="s">
        <v>149</v>
      </c>
      <c r="W12" s="253" t="s">
        <v>149</v>
      </c>
      <c r="X12" s="236"/>
    </row>
    <row r="13" spans="1:24" ht="29.25" customHeight="1">
      <c r="A13" s="686"/>
      <c r="B13" s="686"/>
      <c r="C13" s="681" t="s">
        <v>190</v>
      </c>
      <c r="D13" s="682"/>
      <c r="E13" s="239">
        <v>0.42</v>
      </c>
      <c r="F13" s="239">
        <v>0.39</v>
      </c>
      <c r="G13" s="228">
        <v>0.38</v>
      </c>
      <c r="H13" s="228">
        <v>0.36</v>
      </c>
      <c r="I13" s="228">
        <v>745.8</v>
      </c>
      <c r="J13" s="228"/>
      <c r="K13" s="228"/>
      <c r="L13" s="228"/>
      <c r="M13" s="228"/>
      <c r="N13" s="228"/>
      <c r="O13" s="228"/>
      <c r="P13" s="228"/>
      <c r="Q13" s="228"/>
      <c r="R13" s="228"/>
      <c r="S13" s="228"/>
      <c r="T13" s="263"/>
      <c r="U13" s="263"/>
      <c r="V13" s="228"/>
      <c r="W13" s="228"/>
      <c r="X13" s="236"/>
    </row>
    <row r="14" spans="1:24" ht="63.75" customHeight="1">
      <c r="A14" s="687"/>
      <c r="B14" s="687"/>
      <c r="C14" s="683" t="s">
        <v>191</v>
      </c>
      <c r="D14" s="684"/>
      <c r="E14" s="251">
        <f>12.86/4</f>
        <v>3.2149999999999999</v>
      </c>
      <c r="F14" s="244">
        <f>11.57/4</f>
        <v>2.8925000000000001</v>
      </c>
      <c r="G14" s="244">
        <v>9.52</v>
      </c>
      <c r="H14" s="244">
        <v>8.5680000000000014</v>
      </c>
      <c r="I14" s="244">
        <v>11.4</v>
      </c>
      <c r="J14" s="244"/>
      <c r="K14" s="244"/>
      <c r="L14" s="244"/>
      <c r="M14" s="244"/>
      <c r="N14" s="244"/>
      <c r="O14" s="244"/>
      <c r="P14" s="244"/>
      <c r="Q14" s="244"/>
      <c r="R14" s="253" t="s">
        <v>149</v>
      </c>
      <c r="S14" s="253" t="s">
        <v>149</v>
      </c>
      <c r="T14" s="263"/>
      <c r="U14" s="263"/>
      <c r="V14" s="253" t="s">
        <v>149</v>
      </c>
      <c r="W14" s="253" t="s">
        <v>149</v>
      </c>
      <c r="X14" s="236"/>
    </row>
    <row r="15" spans="1:24" ht="30" customHeight="1">
      <c r="A15" s="685">
        <v>6</v>
      </c>
      <c r="B15" s="685" t="s">
        <v>192</v>
      </c>
      <c r="C15" s="681" t="s">
        <v>193</v>
      </c>
      <c r="D15" s="682"/>
      <c r="E15" s="245">
        <v>1.070675</v>
      </c>
      <c r="F15" s="245">
        <v>1.0925</v>
      </c>
      <c r="G15" s="245">
        <v>1.08</v>
      </c>
      <c r="H15" s="245">
        <v>1.1300000000000001</v>
      </c>
      <c r="I15" s="245">
        <v>0.99416852449279669</v>
      </c>
      <c r="J15" s="245"/>
      <c r="K15" s="245"/>
      <c r="L15" s="4"/>
      <c r="M15" s="4"/>
      <c r="N15" s="246"/>
      <c r="O15" s="4"/>
      <c r="P15" s="4"/>
      <c r="Q15" s="4"/>
      <c r="R15" s="253" t="s">
        <v>149</v>
      </c>
      <c r="S15" s="253" t="s">
        <v>149</v>
      </c>
      <c r="T15" s="263"/>
      <c r="U15" s="263"/>
      <c r="V15" s="253" t="s">
        <v>149</v>
      </c>
      <c r="W15" s="253" t="s">
        <v>149</v>
      </c>
      <c r="X15" s="236"/>
    </row>
    <row r="16" spans="1:24" s="248" customFormat="1" ht="30" customHeight="1">
      <c r="A16" s="686"/>
      <c r="B16" s="686"/>
      <c r="C16" s="680" t="s">
        <v>194</v>
      </c>
      <c r="D16" s="680"/>
      <c r="E16" s="245">
        <v>0.83960000000000001</v>
      </c>
      <c r="F16" s="245">
        <v>0.89</v>
      </c>
      <c r="G16" s="245">
        <v>0.85666666666666658</v>
      </c>
      <c r="H16" s="245">
        <v>0.91</v>
      </c>
      <c r="I16" s="245">
        <v>0.82626916551576501</v>
      </c>
      <c r="J16" s="245"/>
      <c r="K16" s="245"/>
      <c r="L16" s="246"/>
      <c r="M16" s="5"/>
      <c r="N16" s="246"/>
      <c r="O16" s="247"/>
      <c r="P16" s="246"/>
      <c r="Q16" s="247"/>
      <c r="R16" s="253" t="s">
        <v>149</v>
      </c>
      <c r="S16" s="253" t="s">
        <v>149</v>
      </c>
      <c r="T16" s="263"/>
      <c r="U16" s="263"/>
      <c r="V16" s="253" t="s">
        <v>149</v>
      </c>
      <c r="W16" s="253" t="s">
        <v>149</v>
      </c>
    </row>
    <row r="17" spans="1:23" s="248" customFormat="1" ht="30" customHeight="1">
      <c r="A17" s="686"/>
      <c r="B17" s="686"/>
      <c r="C17" s="688" t="s">
        <v>229</v>
      </c>
      <c r="D17" s="689"/>
      <c r="E17" s="245"/>
      <c r="F17" s="245"/>
      <c r="G17" s="245"/>
      <c r="H17" s="245"/>
      <c r="I17" s="245"/>
      <c r="J17" s="245"/>
      <c r="K17" s="245"/>
      <c r="L17" s="246"/>
      <c r="M17" s="5"/>
      <c r="N17" s="246"/>
      <c r="O17" s="247"/>
      <c r="P17" s="247"/>
      <c r="Q17" s="247"/>
      <c r="R17" s="247"/>
      <c r="S17" s="247"/>
      <c r="T17" s="263"/>
      <c r="U17" s="263"/>
      <c r="V17" s="253" t="s">
        <v>149</v>
      </c>
      <c r="W17" s="253" t="s">
        <v>149</v>
      </c>
    </row>
    <row r="18" spans="1:23" s="248" customFormat="1" ht="30" customHeight="1">
      <c r="A18" s="686"/>
      <c r="B18" s="686"/>
      <c r="C18" s="688" t="s">
        <v>230</v>
      </c>
      <c r="D18" s="689"/>
      <c r="E18" s="245"/>
      <c r="F18" s="245"/>
      <c r="G18" s="245"/>
      <c r="H18" s="245"/>
      <c r="I18" s="245"/>
      <c r="J18" s="245"/>
      <c r="K18" s="245"/>
      <c r="L18" s="246"/>
      <c r="M18" s="5"/>
      <c r="N18" s="246"/>
      <c r="O18" s="247"/>
      <c r="P18" s="247"/>
      <c r="Q18" s="247"/>
      <c r="R18" s="247"/>
      <c r="S18" s="247"/>
      <c r="T18" s="263"/>
      <c r="U18" s="263"/>
      <c r="V18" s="247"/>
      <c r="W18" s="247"/>
    </row>
    <row r="19" spans="1:23" s="248" customFormat="1" ht="24.75" customHeight="1">
      <c r="A19" s="686"/>
      <c r="B19" s="686"/>
      <c r="C19" s="680" t="s">
        <v>195</v>
      </c>
      <c r="D19" s="250" t="s">
        <v>196</v>
      </c>
      <c r="E19" s="679">
        <v>0.62709999999999999</v>
      </c>
      <c r="F19" s="679">
        <v>0.8</v>
      </c>
      <c r="G19" s="679">
        <v>0.5</v>
      </c>
      <c r="H19" s="679">
        <v>0.8</v>
      </c>
      <c r="I19" s="4">
        <v>0.65</v>
      </c>
      <c r="J19" s="245"/>
      <c r="K19" s="245"/>
      <c r="L19" s="253" t="s">
        <v>149</v>
      </c>
      <c r="M19" s="253" t="s">
        <v>149</v>
      </c>
      <c r="N19" s="253" t="s">
        <v>149</v>
      </c>
      <c r="O19" s="253" t="s">
        <v>149</v>
      </c>
      <c r="P19" s="253" t="s">
        <v>149</v>
      </c>
      <c r="Q19" s="253" t="s">
        <v>149</v>
      </c>
      <c r="R19" s="4"/>
      <c r="S19" s="245"/>
      <c r="T19" s="263"/>
      <c r="U19" s="263"/>
      <c r="V19" s="253" t="s">
        <v>149</v>
      </c>
      <c r="W19" s="253" t="s">
        <v>149</v>
      </c>
    </row>
    <row r="20" spans="1:23" s="248" customFormat="1" ht="24.75" customHeight="1">
      <c r="A20" s="686"/>
      <c r="B20" s="686"/>
      <c r="C20" s="680"/>
      <c r="D20" s="250" t="s">
        <v>197</v>
      </c>
      <c r="E20" s="679"/>
      <c r="F20" s="679"/>
      <c r="G20" s="679"/>
      <c r="H20" s="679"/>
      <c r="I20" s="247">
        <v>0.75</v>
      </c>
      <c r="J20" s="245"/>
      <c r="K20" s="245"/>
      <c r="L20" s="253" t="s">
        <v>149</v>
      </c>
      <c r="M20" s="253" t="s">
        <v>149</v>
      </c>
      <c r="N20" s="253" t="s">
        <v>149</v>
      </c>
      <c r="O20" s="253" t="s">
        <v>149</v>
      </c>
      <c r="P20" s="253" t="s">
        <v>149</v>
      </c>
      <c r="Q20" s="253" t="s">
        <v>149</v>
      </c>
      <c r="R20" s="247"/>
      <c r="S20" s="245"/>
      <c r="T20" s="263"/>
      <c r="U20" s="263"/>
      <c r="V20" s="253" t="s">
        <v>149</v>
      </c>
      <c r="W20" s="253" t="s">
        <v>149</v>
      </c>
    </row>
    <row r="21" spans="1:23" s="248" customFormat="1" ht="26.25" customHeight="1">
      <c r="A21" s="686"/>
      <c r="B21" s="686"/>
      <c r="C21" s="680" t="s">
        <v>198</v>
      </c>
      <c r="D21" s="250" t="s">
        <v>158</v>
      </c>
      <c r="E21" s="245">
        <v>0.99409999999999998</v>
      </c>
      <c r="F21" s="245">
        <v>0.99643333333333339</v>
      </c>
      <c r="G21" s="245">
        <v>0.99709999999999999</v>
      </c>
      <c r="H21" s="245">
        <v>1</v>
      </c>
      <c r="I21" s="245">
        <v>0.99999685142504502</v>
      </c>
      <c r="J21" s="245"/>
      <c r="K21" s="245"/>
      <c r="L21" s="253" t="s">
        <v>149</v>
      </c>
      <c r="M21" s="253" t="s">
        <v>149</v>
      </c>
      <c r="N21" s="246"/>
      <c r="O21" s="246"/>
      <c r="P21" s="246"/>
      <c r="Q21" s="246"/>
      <c r="R21" s="4"/>
      <c r="S21" s="4"/>
      <c r="T21" s="263"/>
      <c r="U21" s="263"/>
      <c r="V21" s="253" t="s">
        <v>149</v>
      </c>
      <c r="W21" s="253" t="s">
        <v>149</v>
      </c>
    </row>
    <row r="22" spans="1:23" s="248" customFormat="1" ht="26.25" customHeight="1">
      <c r="A22" s="686"/>
      <c r="B22" s="686"/>
      <c r="C22" s="680"/>
      <c r="D22" s="250" t="s">
        <v>159</v>
      </c>
      <c r="E22" s="245">
        <v>0.98847499999999999</v>
      </c>
      <c r="F22" s="245">
        <v>0.9929</v>
      </c>
      <c r="G22" s="245">
        <v>0.995425</v>
      </c>
      <c r="H22" s="245">
        <v>0.99750000000000005</v>
      </c>
      <c r="I22" s="245">
        <v>0.99703743803350142</v>
      </c>
      <c r="J22" s="245"/>
      <c r="K22" s="245"/>
      <c r="L22" s="247"/>
      <c r="M22" s="247"/>
      <c r="N22" s="246"/>
      <c r="O22" s="246"/>
      <c r="P22" s="246"/>
      <c r="Q22" s="246"/>
      <c r="R22" s="4"/>
      <c r="S22" s="247"/>
      <c r="T22" s="263"/>
      <c r="U22" s="263"/>
      <c r="V22" s="253" t="s">
        <v>149</v>
      </c>
      <c r="W22" s="253" t="s">
        <v>149</v>
      </c>
    </row>
    <row r="23" spans="1:23" s="248" customFormat="1" ht="26.25" customHeight="1">
      <c r="A23" s="686"/>
      <c r="B23" s="686"/>
      <c r="C23" s="680"/>
      <c r="D23" s="250" t="s">
        <v>176</v>
      </c>
      <c r="E23" s="245"/>
      <c r="F23" s="245"/>
      <c r="G23" s="245"/>
      <c r="H23" s="245"/>
      <c r="I23" s="245">
        <v>0.99719542785600201</v>
      </c>
      <c r="J23" s="245"/>
      <c r="K23" s="245"/>
      <c r="L23" s="247"/>
      <c r="M23" s="247"/>
      <c r="N23" s="246"/>
      <c r="O23" s="246"/>
      <c r="P23" s="246"/>
      <c r="Q23" s="246"/>
      <c r="R23" s="4"/>
      <c r="S23" s="247"/>
      <c r="T23" s="263"/>
      <c r="U23" s="263"/>
      <c r="V23" s="253" t="s">
        <v>149</v>
      </c>
      <c r="W23" s="253" t="s">
        <v>149</v>
      </c>
    </row>
    <row r="24" spans="1:23" s="248" customFormat="1" ht="36.75" customHeight="1">
      <c r="A24" s="686"/>
      <c r="B24" s="686"/>
      <c r="C24" s="680"/>
      <c r="D24" s="250" t="s">
        <v>160</v>
      </c>
      <c r="E24" s="245">
        <v>1</v>
      </c>
      <c r="F24" s="245">
        <v>1</v>
      </c>
      <c r="G24" s="245">
        <v>1</v>
      </c>
      <c r="H24" s="245">
        <v>1</v>
      </c>
      <c r="I24" s="245">
        <v>1</v>
      </c>
      <c r="J24" s="245"/>
      <c r="K24" s="245"/>
      <c r="L24" s="253" t="s">
        <v>149</v>
      </c>
      <c r="M24" s="253" t="s">
        <v>149</v>
      </c>
      <c r="N24" s="253" t="s">
        <v>149</v>
      </c>
      <c r="O24" s="253" t="s">
        <v>149</v>
      </c>
      <c r="P24" s="253" t="s">
        <v>149</v>
      </c>
      <c r="Q24" s="253" t="s">
        <v>149</v>
      </c>
      <c r="R24" s="253" t="s">
        <v>149</v>
      </c>
      <c r="S24" s="253" t="s">
        <v>149</v>
      </c>
      <c r="T24" s="263"/>
      <c r="U24" s="263"/>
      <c r="V24" s="247"/>
      <c r="W24" s="247"/>
    </row>
    <row r="25" spans="1:23" s="248" customFormat="1" ht="36.75" customHeight="1">
      <c r="A25" s="686"/>
      <c r="B25" s="686"/>
      <c r="C25" s="680" t="s">
        <v>199</v>
      </c>
      <c r="D25" s="250" t="s">
        <v>196</v>
      </c>
      <c r="E25" s="245"/>
      <c r="F25" s="245"/>
      <c r="G25" s="245"/>
      <c r="H25" s="245"/>
      <c r="I25" s="247">
        <v>0.57999999999999996</v>
      </c>
      <c r="J25" s="245"/>
      <c r="K25" s="245"/>
      <c r="L25" s="253" t="s">
        <v>149</v>
      </c>
      <c r="M25" s="253" t="s">
        <v>149</v>
      </c>
      <c r="N25" s="253" t="s">
        <v>149</v>
      </c>
      <c r="O25" s="253" t="s">
        <v>149</v>
      </c>
      <c r="P25" s="253" t="s">
        <v>149</v>
      </c>
      <c r="Q25" s="253" t="s">
        <v>149</v>
      </c>
      <c r="R25" s="247"/>
      <c r="S25" s="245"/>
      <c r="T25" s="263"/>
      <c r="U25" s="263"/>
      <c r="V25" s="253" t="s">
        <v>149</v>
      </c>
      <c r="W25" s="253" t="s">
        <v>149</v>
      </c>
    </row>
    <row r="26" spans="1:23" s="248" customFormat="1" ht="36.75" customHeight="1">
      <c r="A26" s="686"/>
      <c r="B26" s="686"/>
      <c r="C26" s="680"/>
      <c r="D26" s="250" t="s">
        <v>197</v>
      </c>
      <c r="E26" s="245"/>
      <c r="F26" s="245"/>
      <c r="G26" s="245"/>
      <c r="H26" s="245"/>
      <c r="I26" s="247">
        <v>0.56999999999999995</v>
      </c>
      <c r="J26" s="245"/>
      <c r="K26" s="245"/>
      <c r="L26" s="253" t="s">
        <v>149</v>
      </c>
      <c r="M26" s="253" t="s">
        <v>149</v>
      </c>
      <c r="N26" s="253" t="s">
        <v>149</v>
      </c>
      <c r="O26" s="253" t="s">
        <v>149</v>
      </c>
      <c r="P26" s="253" t="s">
        <v>149</v>
      </c>
      <c r="Q26" s="253" t="s">
        <v>149</v>
      </c>
      <c r="R26" s="247"/>
      <c r="S26" s="245"/>
      <c r="T26" s="263"/>
      <c r="U26" s="263"/>
      <c r="V26" s="253" t="s">
        <v>149</v>
      </c>
      <c r="W26" s="253" t="s">
        <v>149</v>
      </c>
    </row>
    <row r="27" spans="1:23" s="248" customFormat="1" ht="35.15" customHeight="1">
      <c r="A27" s="686"/>
      <c r="B27" s="686"/>
      <c r="C27" s="680" t="s">
        <v>200</v>
      </c>
      <c r="D27" s="680"/>
      <c r="E27" s="245"/>
      <c r="F27" s="245"/>
      <c r="G27" s="245"/>
      <c r="H27" s="245"/>
      <c r="I27" s="241">
        <v>105.66250000000001</v>
      </c>
      <c r="J27" s="240"/>
      <c r="K27" s="240"/>
      <c r="L27" s="253" t="s">
        <v>149</v>
      </c>
      <c r="M27" s="253" t="s">
        <v>149</v>
      </c>
      <c r="N27" s="253" t="s">
        <v>149</v>
      </c>
      <c r="O27" s="253" t="s">
        <v>149</v>
      </c>
      <c r="P27" s="253" t="s">
        <v>149</v>
      </c>
      <c r="Q27" s="253" t="s">
        <v>149</v>
      </c>
      <c r="R27" s="241"/>
      <c r="S27" s="240"/>
      <c r="T27" s="263"/>
      <c r="U27" s="263"/>
      <c r="V27" s="253" t="s">
        <v>149</v>
      </c>
      <c r="W27" s="253" t="s">
        <v>149</v>
      </c>
    </row>
    <row r="28" spans="1:23" s="248" customFormat="1" ht="35.15" customHeight="1">
      <c r="A28" s="686"/>
      <c r="B28" s="686"/>
      <c r="C28" s="676" t="s">
        <v>201</v>
      </c>
      <c r="D28" s="677"/>
      <c r="E28" s="245"/>
      <c r="F28" s="245"/>
      <c r="G28" s="245"/>
      <c r="H28" s="245"/>
      <c r="I28" s="241"/>
      <c r="J28" s="272"/>
      <c r="K28" s="272"/>
      <c r="L28" s="253" t="s">
        <v>149</v>
      </c>
      <c r="M28" s="253" t="s">
        <v>149</v>
      </c>
      <c r="N28" s="241"/>
      <c r="O28" s="272"/>
      <c r="P28" s="253" t="s">
        <v>149</v>
      </c>
      <c r="Q28" s="253" t="s">
        <v>149</v>
      </c>
      <c r="R28" s="253" t="s">
        <v>149</v>
      </c>
      <c r="S28" s="253" t="s">
        <v>149</v>
      </c>
      <c r="T28" s="263"/>
      <c r="U28" s="263"/>
      <c r="V28" s="253" t="s">
        <v>149</v>
      </c>
      <c r="W28" s="253" t="s">
        <v>149</v>
      </c>
    </row>
    <row r="29" spans="1:23" s="248" customFormat="1" ht="35.15" customHeight="1">
      <c r="A29" s="686"/>
      <c r="B29" s="686"/>
      <c r="C29" s="270" t="s">
        <v>203</v>
      </c>
      <c r="D29" s="271"/>
      <c r="E29" s="245"/>
      <c r="F29" s="245"/>
      <c r="G29" s="245"/>
      <c r="H29" s="245"/>
      <c r="I29" s="241" t="s">
        <v>202</v>
      </c>
      <c r="J29" s="273"/>
      <c r="K29" s="273"/>
      <c r="L29" s="253" t="s">
        <v>149</v>
      </c>
      <c r="M29" s="253" t="s">
        <v>149</v>
      </c>
      <c r="N29" s="241"/>
      <c r="O29" s="273"/>
      <c r="P29" s="253" t="s">
        <v>149</v>
      </c>
      <c r="Q29" s="253" t="s">
        <v>149</v>
      </c>
      <c r="R29" s="253" t="s">
        <v>149</v>
      </c>
      <c r="S29" s="253" t="s">
        <v>149</v>
      </c>
      <c r="T29" s="263"/>
      <c r="U29" s="263"/>
      <c r="V29" s="253" t="s">
        <v>149</v>
      </c>
      <c r="W29" s="253" t="s">
        <v>149</v>
      </c>
    </row>
    <row r="30" spans="1:23" s="248" customFormat="1" ht="35.15" customHeight="1">
      <c r="A30" s="686"/>
      <c r="B30" s="686"/>
      <c r="C30" s="270" t="s">
        <v>204</v>
      </c>
      <c r="D30" s="271"/>
      <c r="E30" s="245"/>
      <c r="F30" s="245"/>
      <c r="G30" s="245"/>
      <c r="H30" s="245"/>
      <c r="I30" s="241" t="s">
        <v>202</v>
      </c>
      <c r="J30" s="273"/>
      <c r="K30" s="273"/>
      <c r="L30" s="253" t="s">
        <v>149</v>
      </c>
      <c r="M30" s="253" t="s">
        <v>149</v>
      </c>
      <c r="N30" s="241"/>
      <c r="O30" s="273"/>
      <c r="P30" s="253" t="s">
        <v>149</v>
      </c>
      <c r="Q30" s="253" t="s">
        <v>149</v>
      </c>
      <c r="R30" s="253" t="s">
        <v>149</v>
      </c>
      <c r="S30" s="253" t="s">
        <v>149</v>
      </c>
      <c r="T30" s="263"/>
      <c r="U30" s="263"/>
      <c r="V30" s="253" t="s">
        <v>149</v>
      </c>
      <c r="W30" s="253" t="s">
        <v>149</v>
      </c>
    </row>
    <row r="31" spans="1:23" ht="35.15" customHeight="1">
      <c r="A31" s="687"/>
      <c r="B31" s="687"/>
      <c r="C31" s="676" t="s">
        <v>205</v>
      </c>
      <c r="D31" s="677"/>
      <c r="E31" s="274"/>
      <c r="F31" s="274"/>
      <c r="G31" s="274"/>
      <c r="H31" s="274"/>
      <c r="I31" s="237" t="s">
        <v>202</v>
      </c>
      <c r="J31" s="275"/>
      <c r="K31" s="275"/>
      <c r="L31" s="253" t="s">
        <v>149</v>
      </c>
      <c r="M31" s="253" t="s">
        <v>149</v>
      </c>
      <c r="N31" s="237"/>
      <c r="O31" s="275"/>
      <c r="P31" s="253" t="s">
        <v>149</v>
      </c>
      <c r="Q31" s="253" t="s">
        <v>149</v>
      </c>
      <c r="R31" s="253" t="s">
        <v>149</v>
      </c>
      <c r="S31" s="253" t="s">
        <v>149</v>
      </c>
      <c r="T31" s="263"/>
      <c r="U31" s="263"/>
      <c r="V31" s="253" t="s">
        <v>149</v>
      </c>
      <c r="W31" s="253" t="s">
        <v>149</v>
      </c>
    </row>
    <row r="32" spans="1:23" s="248" customFormat="1" ht="34.5" customHeight="1">
      <c r="A32" s="678">
        <v>11</v>
      </c>
      <c r="B32" s="678" t="s">
        <v>68</v>
      </c>
      <c r="C32" s="668" t="s">
        <v>231</v>
      </c>
      <c r="D32" s="668"/>
      <c r="E32" s="240">
        <v>14</v>
      </c>
      <c r="F32" s="240">
        <v>10</v>
      </c>
      <c r="G32" s="240">
        <v>18</v>
      </c>
      <c r="H32" s="240">
        <v>13</v>
      </c>
      <c r="I32" s="252">
        <v>7</v>
      </c>
      <c r="J32" s="241">
        <f>L32+N32+P32+R32</f>
        <v>10</v>
      </c>
      <c r="K32" s="241">
        <f>M32+O32+Q32+S32</f>
        <v>9</v>
      </c>
      <c r="L32" s="238">
        <v>2</v>
      </c>
      <c r="M32" s="238">
        <v>1</v>
      </c>
      <c r="N32" s="238">
        <v>6</v>
      </c>
      <c r="O32" s="238">
        <v>6</v>
      </c>
      <c r="P32" s="3">
        <v>0</v>
      </c>
      <c r="Q32" s="2">
        <v>0</v>
      </c>
      <c r="R32" s="238">
        <v>2</v>
      </c>
      <c r="S32" s="238">
        <v>2</v>
      </c>
      <c r="T32" s="263"/>
      <c r="U32" s="263"/>
      <c r="V32" s="253" t="s">
        <v>149</v>
      </c>
      <c r="W32" s="253" t="s">
        <v>149</v>
      </c>
    </row>
    <row r="33" spans="1:23" s="248" customFormat="1" ht="24.75" customHeight="1">
      <c r="A33" s="678"/>
      <c r="B33" s="678"/>
      <c r="C33" s="668" t="s">
        <v>232</v>
      </c>
      <c r="D33" s="668"/>
      <c r="E33" s="240">
        <v>12</v>
      </c>
      <c r="F33" s="240">
        <v>9</v>
      </c>
      <c r="G33" s="240">
        <v>7</v>
      </c>
      <c r="H33" s="240">
        <v>6</v>
      </c>
      <c r="I33" s="252">
        <v>9</v>
      </c>
      <c r="J33" s="240">
        <v>4</v>
      </c>
      <c r="K33" s="240">
        <v>4</v>
      </c>
      <c r="L33" s="238">
        <v>0</v>
      </c>
      <c r="M33" s="238">
        <v>1</v>
      </c>
      <c r="N33" s="238">
        <v>3</v>
      </c>
      <c r="O33" s="238">
        <v>3</v>
      </c>
      <c r="P33" s="3">
        <v>0</v>
      </c>
      <c r="Q33" s="2">
        <v>0</v>
      </c>
      <c r="R33" s="238">
        <v>0</v>
      </c>
      <c r="S33" s="238">
        <v>0</v>
      </c>
      <c r="T33" s="263"/>
      <c r="U33" s="263"/>
      <c r="V33" s="253" t="s">
        <v>149</v>
      </c>
      <c r="W33" s="253" t="s">
        <v>149</v>
      </c>
    </row>
    <row r="34" spans="1:23" s="248" customFormat="1" ht="34.5" customHeight="1">
      <c r="A34" s="678"/>
      <c r="B34" s="678"/>
      <c r="C34" s="668" t="s">
        <v>233</v>
      </c>
      <c r="D34" s="668"/>
      <c r="E34" s="240">
        <v>0</v>
      </c>
      <c r="F34" s="240">
        <v>0</v>
      </c>
      <c r="G34" s="240">
        <v>0</v>
      </c>
      <c r="H34" s="240">
        <v>0</v>
      </c>
      <c r="I34" s="252">
        <v>0</v>
      </c>
      <c r="J34" s="240">
        <v>0</v>
      </c>
      <c r="K34" s="240">
        <v>0</v>
      </c>
      <c r="L34" s="253" t="s">
        <v>149</v>
      </c>
      <c r="M34" s="253" t="s">
        <v>149</v>
      </c>
      <c r="N34" s="253" t="s">
        <v>149</v>
      </c>
      <c r="O34" s="253" t="s">
        <v>149</v>
      </c>
      <c r="P34" s="253" t="s">
        <v>149</v>
      </c>
      <c r="Q34" s="253" t="s">
        <v>149</v>
      </c>
      <c r="R34" s="253" t="s">
        <v>149</v>
      </c>
      <c r="S34" s="253" t="s">
        <v>149</v>
      </c>
      <c r="T34" s="263"/>
      <c r="U34" s="263"/>
      <c r="V34" s="2">
        <v>0</v>
      </c>
      <c r="W34" s="2">
        <v>0</v>
      </c>
    </row>
    <row r="35" spans="1:23" s="248" customFormat="1" ht="36" customHeight="1">
      <c r="A35" s="678"/>
      <c r="B35" s="678"/>
      <c r="C35" s="668" t="s">
        <v>234</v>
      </c>
      <c r="D35" s="668"/>
      <c r="E35" s="240">
        <v>90</v>
      </c>
      <c r="F35" s="240">
        <v>45</v>
      </c>
      <c r="G35" s="240">
        <v>40</v>
      </c>
      <c r="H35" s="240">
        <v>34</v>
      </c>
      <c r="I35" s="252">
        <v>31</v>
      </c>
      <c r="J35" s="241">
        <f>N35+R35</f>
        <v>20</v>
      </c>
      <c r="K35" s="241">
        <f>O35+S35</f>
        <v>18</v>
      </c>
      <c r="L35" s="253" t="s">
        <v>149</v>
      </c>
      <c r="M35" s="253" t="s">
        <v>149</v>
      </c>
      <c r="N35" s="238">
        <v>0</v>
      </c>
      <c r="O35" s="238">
        <v>3</v>
      </c>
      <c r="P35" s="253" t="s">
        <v>149</v>
      </c>
      <c r="Q35" s="253" t="s">
        <v>149</v>
      </c>
      <c r="R35" s="2">
        <v>20</v>
      </c>
      <c r="S35" s="238">
        <v>15</v>
      </c>
      <c r="T35" s="263"/>
      <c r="U35" s="263"/>
      <c r="V35" s="253" t="s">
        <v>149</v>
      </c>
      <c r="W35" s="253" t="s">
        <v>149</v>
      </c>
    </row>
    <row r="36" spans="1:23" s="248" customFormat="1" ht="25.5" customHeight="1">
      <c r="A36" s="678"/>
      <c r="B36" s="678"/>
      <c r="C36" s="668" t="s">
        <v>235</v>
      </c>
      <c r="D36" s="668"/>
      <c r="E36" s="243">
        <v>6450</v>
      </c>
      <c r="F36" s="243">
        <v>4838</v>
      </c>
      <c r="G36" s="240">
        <v>5873</v>
      </c>
      <c r="H36" s="240">
        <v>4700</v>
      </c>
      <c r="I36" s="254">
        <v>3141</v>
      </c>
      <c r="J36" s="241">
        <v>2478</v>
      </c>
      <c r="K36" s="238">
        <v>2305</v>
      </c>
      <c r="L36" s="241">
        <v>668</v>
      </c>
      <c r="M36" s="238">
        <v>574</v>
      </c>
      <c r="N36" s="238">
        <v>2405</v>
      </c>
      <c r="O36" s="238">
        <v>2044</v>
      </c>
      <c r="P36" s="238">
        <v>432</v>
      </c>
      <c r="Q36" s="238">
        <v>367</v>
      </c>
      <c r="R36" s="238">
        <v>2758</v>
      </c>
      <c r="S36" s="238">
        <v>2649</v>
      </c>
      <c r="T36" s="238"/>
      <c r="U36" s="238"/>
      <c r="V36" s="253" t="s">
        <v>149</v>
      </c>
      <c r="W36" s="253" t="s">
        <v>149</v>
      </c>
    </row>
    <row r="37" spans="1:23" s="248" customFormat="1" ht="42" customHeight="1">
      <c r="A37" s="678"/>
      <c r="B37" s="678"/>
      <c r="C37" s="668" t="s">
        <v>236</v>
      </c>
      <c r="D37" s="668"/>
      <c r="E37" s="243">
        <v>6872</v>
      </c>
      <c r="F37" s="243">
        <v>5154</v>
      </c>
      <c r="G37" s="240">
        <v>4250</v>
      </c>
      <c r="H37" s="240">
        <v>3825</v>
      </c>
      <c r="I37" s="254">
        <v>7019</v>
      </c>
      <c r="J37" s="241">
        <v>2549</v>
      </c>
      <c r="K37" s="241">
        <v>2166</v>
      </c>
      <c r="L37" s="253" t="s">
        <v>149</v>
      </c>
      <c r="M37" s="253" t="s">
        <v>149</v>
      </c>
      <c r="N37" s="238">
        <v>2558</v>
      </c>
      <c r="O37" s="238">
        <v>2174</v>
      </c>
      <c r="P37" s="238">
        <v>472</v>
      </c>
      <c r="Q37" s="238">
        <v>420</v>
      </c>
      <c r="R37" s="253" t="s">
        <v>149</v>
      </c>
      <c r="S37" s="253" t="s">
        <v>149</v>
      </c>
      <c r="T37" s="245"/>
      <c r="U37" s="245"/>
      <c r="V37" s="253" t="s">
        <v>149</v>
      </c>
      <c r="W37" s="253" t="s">
        <v>149</v>
      </c>
    </row>
    <row r="38" spans="1:23" s="248" customFormat="1" ht="25.5" customHeight="1">
      <c r="A38" s="678"/>
      <c r="B38" s="678"/>
      <c r="C38" s="668" t="s">
        <v>237</v>
      </c>
      <c r="D38" s="668"/>
      <c r="E38" s="245">
        <v>0.99350000000000005</v>
      </c>
      <c r="F38" s="245">
        <v>0.99480000000000002</v>
      </c>
      <c r="G38" s="245">
        <v>0.99419999999999997</v>
      </c>
      <c r="H38" s="245">
        <v>0.99480000000000002</v>
      </c>
      <c r="I38" s="255">
        <v>0.99690000000000001</v>
      </c>
      <c r="J38" s="245">
        <v>0.99750000000000005</v>
      </c>
      <c r="K38" s="245">
        <v>0.99770000000000003</v>
      </c>
      <c r="L38" s="245">
        <v>0.99929999999999997</v>
      </c>
      <c r="M38" s="245">
        <v>0.99939999999999996</v>
      </c>
      <c r="N38" s="245">
        <v>0.99760000000000004</v>
      </c>
      <c r="O38" s="245">
        <v>0.99809999999999999</v>
      </c>
      <c r="P38" s="245">
        <v>0.99960000000000004</v>
      </c>
      <c r="Q38" s="245">
        <v>0.99980000000000002</v>
      </c>
      <c r="R38" s="245">
        <v>0.99719999999999998</v>
      </c>
      <c r="S38" s="245">
        <v>0.99739999999999995</v>
      </c>
      <c r="T38" s="263"/>
      <c r="U38" s="263"/>
      <c r="V38" s="253" t="s">
        <v>149</v>
      </c>
      <c r="W38" s="253" t="s">
        <v>149</v>
      </c>
    </row>
    <row r="39" spans="1:23" s="248" customFormat="1" ht="35.25" customHeight="1">
      <c r="A39" s="678"/>
      <c r="B39" s="678"/>
      <c r="C39" s="668" t="s">
        <v>238</v>
      </c>
      <c r="D39" s="668"/>
      <c r="E39" s="245">
        <v>0.99309999999999998</v>
      </c>
      <c r="F39" s="245">
        <v>0.99490000000000001</v>
      </c>
      <c r="G39" s="245">
        <v>0.99570000000000003</v>
      </c>
      <c r="H39" s="245">
        <v>0.99609999999999999</v>
      </c>
      <c r="I39" s="255">
        <v>0.99299999999999999</v>
      </c>
      <c r="J39" s="245">
        <v>0.99750000000000005</v>
      </c>
      <c r="K39" s="245">
        <v>0.99980000000000002</v>
      </c>
      <c r="L39" s="253" t="s">
        <v>149</v>
      </c>
      <c r="M39" s="253" t="s">
        <v>149</v>
      </c>
      <c r="N39" s="247">
        <v>0.99739999999999995</v>
      </c>
      <c r="O39" s="247">
        <v>0.99839999999999995</v>
      </c>
      <c r="P39" s="1">
        <v>0.99950000000000006</v>
      </c>
      <c r="Q39" s="1">
        <v>0.99960000000000004</v>
      </c>
      <c r="R39" s="253" t="s">
        <v>149</v>
      </c>
      <c r="S39" s="253" t="s">
        <v>149</v>
      </c>
      <c r="T39" s="263"/>
      <c r="U39" s="263"/>
      <c r="V39" s="253" t="s">
        <v>149</v>
      </c>
      <c r="W39" s="253" t="s">
        <v>149</v>
      </c>
    </row>
    <row r="40" spans="1:23" s="248" customFormat="1" ht="25.5" customHeight="1">
      <c r="A40" s="678"/>
      <c r="B40" s="678"/>
      <c r="C40" s="668" t="s">
        <v>239</v>
      </c>
      <c r="D40" s="668"/>
      <c r="E40" s="245">
        <v>3.7000000000000002E-3</v>
      </c>
      <c r="F40" s="245">
        <v>3.0000000000000001E-3</v>
      </c>
      <c r="G40" s="4">
        <v>3.0000000000000001E-3</v>
      </c>
      <c r="H40" s="4">
        <v>2.8E-3</v>
      </c>
      <c r="I40" s="256">
        <v>2.0999999999999999E-3</v>
      </c>
      <c r="J40" s="4">
        <v>1.8E-3</v>
      </c>
      <c r="K40" s="4">
        <v>1.6000000000000001E-3</v>
      </c>
      <c r="L40" s="245">
        <v>1E-3</v>
      </c>
      <c r="M40" s="245">
        <v>1E-3</v>
      </c>
      <c r="N40" s="245">
        <v>2.3E-3</v>
      </c>
      <c r="O40" s="245">
        <v>1.9E-3</v>
      </c>
      <c r="P40" s="245">
        <v>2.9999999999999997E-4</v>
      </c>
      <c r="Q40" s="245">
        <v>2.9999999999999997E-4</v>
      </c>
      <c r="R40" s="245">
        <v>5.0000000000000001E-3</v>
      </c>
      <c r="S40" s="245">
        <v>4.4999999999999997E-3</v>
      </c>
      <c r="T40" s="263"/>
      <c r="U40" s="263"/>
      <c r="V40" s="253" t="s">
        <v>149</v>
      </c>
      <c r="W40" s="253" t="s">
        <v>149</v>
      </c>
    </row>
    <row r="41" spans="1:23" s="248" customFormat="1" ht="25.5" customHeight="1">
      <c r="A41" s="678"/>
      <c r="B41" s="678"/>
      <c r="C41" s="668" t="s">
        <v>240</v>
      </c>
      <c r="D41" s="668"/>
      <c r="E41" s="240">
        <v>17</v>
      </c>
      <c r="F41" s="240">
        <v>14</v>
      </c>
      <c r="G41" s="240">
        <v>7</v>
      </c>
      <c r="H41" s="240">
        <v>6</v>
      </c>
      <c r="I41" s="252">
        <v>5</v>
      </c>
      <c r="J41" s="240">
        <v>11</v>
      </c>
      <c r="K41" s="582">
        <v>2.3199999999999998</v>
      </c>
      <c r="L41" s="238">
        <v>5</v>
      </c>
      <c r="M41" s="583">
        <v>3.5</v>
      </c>
      <c r="N41" s="238">
        <v>3</v>
      </c>
      <c r="O41" s="583">
        <v>3.3</v>
      </c>
      <c r="P41" s="3">
        <v>0</v>
      </c>
      <c r="Q41" s="2">
        <v>0</v>
      </c>
      <c r="R41" s="2">
        <v>26</v>
      </c>
      <c r="S41" s="584">
        <v>1.4</v>
      </c>
      <c r="T41" s="263"/>
      <c r="U41" s="263"/>
      <c r="V41" s="253" t="s">
        <v>149</v>
      </c>
      <c r="W41" s="253" t="s">
        <v>149</v>
      </c>
    </row>
    <row r="42" spans="1:23" s="248" customFormat="1" ht="32.25" customHeight="1">
      <c r="A42" s="678"/>
      <c r="B42" s="678"/>
      <c r="C42" s="668" t="s">
        <v>241</v>
      </c>
      <c r="D42" s="668"/>
      <c r="E42" s="240">
        <v>19</v>
      </c>
      <c r="F42" s="240">
        <v>15</v>
      </c>
      <c r="G42" s="240">
        <v>10</v>
      </c>
      <c r="H42" s="240">
        <v>9</v>
      </c>
      <c r="I42" s="252">
        <v>5</v>
      </c>
      <c r="J42" s="240">
        <v>2</v>
      </c>
      <c r="K42" s="240">
        <v>2.8650000000000002</v>
      </c>
      <c r="L42" s="253" t="s">
        <v>149</v>
      </c>
      <c r="M42" s="253" t="s">
        <v>149</v>
      </c>
      <c r="N42" s="238">
        <v>2</v>
      </c>
      <c r="O42" s="238">
        <v>0</v>
      </c>
      <c r="P42" s="3">
        <v>0</v>
      </c>
      <c r="Q42" s="2">
        <v>0</v>
      </c>
      <c r="R42" s="253" t="s">
        <v>149</v>
      </c>
      <c r="S42" s="253" t="s">
        <v>149</v>
      </c>
      <c r="T42" s="263"/>
      <c r="U42" s="263"/>
      <c r="V42" s="253" t="s">
        <v>149</v>
      </c>
      <c r="W42" s="253" t="s">
        <v>149</v>
      </c>
    </row>
    <row r="43" spans="1:23" s="248" customFormat="1" ht="25.5" customHeight="1">
      <c r="A43" s="678"/>
      <c r="B43" s="678"/>
      <c r="C43" s="668" t="s">
        <v>242</v>
      </c>
      <c r="D43" s="668"/>
      <c r="E43" s="245">
        <v>0.99670000000000003</v>
      </c>
      <c r="F43" s="245">
        <v>0.99719999999999998</v>
      </c>
      <c r="G43" s="245">
        <v>0.99870000000000003</v>
      </c>
      <c r="H43" s="245">
        <v>0.99880000000000002</v>
      </c>
      <c r="I43" s="255">
        <v>0.99929999999999997</v>
      </c>
      <c r="J43" s="245">
        <v>0.99950000000000006</v>
      </c>
      <c r="K43" s="245">
        <v>0.99960000000000004</v>
      </c>
      <c r="L43" s="247">
        <v>0.99970000000000003</v>
      </c>
      <c r="M43" s="247">
        <v>0.99970000000000003</v>
      </c>
      <c r="N43" s="247">
        <v>0.999</v>
      </c>
      <c r="O43" s="247">
        <v>0.99939999999999996</v>
      </c>
      <c r="P43" s="257">
        <v>1</v>
      </c>
      <c r="Q43" s="257">
        <v>1</v>
      </c>
      <c r="R43" s="1">
        <v>0.99960000000000004</v>
      </c>
      <c r="S43" s="1">
        <v>0.99980000000000002</v>
      </c>
      <c r="T43" s="263"/>
      <c r="U43" s="263"/>
      <c r="V43" s="253" t="s">
        <v>149</v>
      </c>
      <c r="W43" s="253" t="s">
        <v>149</v>
      </c>
    </row>
    <row r="44" spans="1:23" s="248" customFormat="1" ht="33" customHeight="1">
      <c r="A44" s="678"/>
      <c r="B44" s="678"/>
      <c r="C44" s="668" t="s">
        <v>243</v>
      </c>
      <c r="D44" s="668"/>
      <c r="E44" s="245">
        <v>0.99150000000000005</v>
      </c>
      <c r="F44" s="245">
        <v>0.99280000000000002</v>
      </c>
      <c r="G44" s="245">
        <v>0.99539999999999995</v>
      </c>
      <c r="H44" s="245">
        <v>0.99580000000000002</v>
      </c>
      <c r="I44" s="255">
        <v>0.99809999999999999</v>
      </c>
      <c r="J44" s="245">
        <v>0.99960000000000004</v>
      </c>
      <c r="K44" s="245">
        <v>0.99839999999999995</v>
      </c>
      <c r="L44" s="253" t="s">
        <v>149</v>
      </c>
      <c r="M44" s="253" t="s">
        <v>149</v>
      </c>
      <c r="N44" s="247">
        <v>0.99960000000000004</v>
      </c>
      <c r="O44" s="247">
        <v>0.99909999999999999</v>
      </c>
      <c r="P44" s="257">
        <v>1</v>
      </c>
      <c r="Q44" s="257">
        <v>1</v>
      </c>
      <c r="R44" s="253" t="s">
        <v>149</v>
      </c>
      <c r="S44" s="253" t="s">
        <v>149</v>
      </c>
      <c r="T44" s="263"/>
      <c r="U44" s="263"/>
      <c r="V44" s="253" t="s">
        <v>149</v>
      </c>
      <c r="W44" s="253" t="s">
        <v>149</v>
      </c>
    </row>
    <row r="45" spans="1:23" s="248" customFormat="1" ht="38.25" customHeight="1">
      <c r="A45" s="678"/>
      <c r="B45" s="678"/>
      <c r="C45" s="668" t="s">
        <v>244</v>
      </c>
      <c r="D45" s="668"/>
      <c r="E45" s="245">
        <v>0.99460000000000004</v>
      </c>
      <c r="F45" s="245">
        <v>0.996</v>
      </c>
      <c r="G45" s="245">
        <v>0.99560000000000004</v>
      </c>
      <c r="H45" s="245">
        <v>0.99670000000000003</v>
      </c>
      <c r="I45" s="255">
        <v>0.99790000000000001</v>
      </c>
      <c r="J45" s="245">
        <v>0.99729999999999996</v>
      </c>
      <c r="K45" s="245">
        <v>0.95</v>
      </c>
      <c r="L45" s="253" t="s">
        <v>149</v>
      </c>
      <c r="M45" s="253" t="s">
        <v>149</v>
      </c>
      <c r="N45" s="253" t="s">
        <v>149</v>
      </c>
      <c r="O45" s="253" t="s">
        <v>149</v>
      </c>
      <c r="P45" s="253" t="s">
        <v>149</v>
      </c>
      <c r="Q45" s="253" t="s">
        <v>149</v>
      </c>
      <c r="R45" s="253" t="s">
        <v>149</v>
      </c>
      <c r="S45" s="253" t="s">
        <v>149</v>
      </c>
      <c r="T45" s="263"/>
      <c r="U45" s="263"/>
      <c r="V45" s="245">
        <v>0.99729999999999996</v>
      </c>
      <c r="W45" s="245">
        <v>0.95</v>
      </c>
    </row>
    <row r="46" spans="1:23" s="277" customFormat="1" ht="113.25" customHeight="1">
      <c r="A46" s="669">
        <v>15</v>
      </c>
      <c r="B46" s="669" t="s">
        <v>161</v>
      </c>
      <c r="C46" s="672" t="s">
        <v>177</v>
      </c>
      <c r="D46" s="672"/>
      <c r="E46" s="259">
        <v>431</v>
      </c>
      <c r="F46" s="259">
        <v>526</v>
      </c>
      <c r="G46" s="259">
        <v>572</v>
      </c>
      <c r="H46" s="276">
        <v>571</v>
      </c>
      <c r="I46" s="276">
        <f>L46+N46+P46+R46+V46</f>
        <v>0</v>
      </c>
      <c r="J46" s="258"/>
      <c r="K46" s="258"/>
      <c r="L46" s="259"/>
      <c r="M46" s="2"/>
      <c r="N46" s="2"/>
      <c r="O46" s="2"/>
      <c r="P46" s="2"/>
      <c r="Q46" s="2"/>
      <c r="R46" s="2"/>
      <c r="S46" s="238"/>
      <c r="T46" s="263"/>
      <c r="U46" s="263"/>
      <c r="V46" s="2"/>
      <c r="W46" s="2"/>
    </row>
    <row r="47" spans="1:23" ht="30.75" customHeight="1">
      <c r="A47" s="670"/>
      <c r="B47" s="670"/>
      <c r="C47" s="673" t="s">
        <v>178</v>
      </c>
      <c r="D47" s="673"/>
      <c r="E47" s="274"/>
      <c r="F47" s="274"/>
      <c r="G47" s="274"/>
      <c r="H47" s="274"/>
      <c r="I47" s="239">
        <f>L47+N47</f>
        <v>0</v>
      </c>
      <c r="J47" s="237"/>
      <c r="K47" s="237"/>
      <c r="L47" s="239"/>
      <c r="M47" s="260"/>
      <c r="N47" s="260"/>
      <c r="O47" s="260"/>
      <c r="P47" s="260"/>
      <c r="Q47" s="239"/>
      <c r="R47" s="239"/>
      <c r="S47" s="239"/>
      <c r="T47" s="263"/>
      <c r="U47" s="263"/>
      <c r="V47" s="253" t="s">
        <v>149</v>
      </c>
      <c r="W47" s="253" t="s">
        <v>149</v>
      </c>
    </row>
    <row r="48" spans="1:23" ht="30.75" customHeight="1">
      <c r="A48" s="670"/>
      <c r="B48" s="670"/>
      <c r="C48" s="585" t="s">
        <v>206</v>
      </c>
      <c r="D48" s="585"/>
      <c r="E48" s="274"/>
      <c r="F48" s="274"/>
      <c r="G48" s="274"/>
      <c r="H48" s="274"/>
      <c r="I48" s="237"/>
      <c r="J48" s="237"/>
      <c r="K48" s="237"/>
      <c r="L48" s="239"/>
      <c r="M48" s="260"/>
      <c r="N48" s="260"/>
      <c r="O48" s="260"/>
      <c r="P48" s="260"/>
      <c r="Q48" s="239"/>
      <c r="R48" s="239"/>
      <c r="S48" s="239"/>
      <c r="T48" s="263"/>
      <c r="U48" s="263"/>
      <c r="V48" s="239"/>
      <c r="W48" s="239"/>
    </row>
    <row r="49" spans="1:23" s="589" customFormat="1" ht="27.75" customHeight="1">
      <c r="A49" s="671"/>
      <c r="B49" s="671"/>
      <c r="C49" s="674" t="s">
        <v>245</v>
      </c>
      <c r="D49" s="675"/>
      <c r="E49" s="665"/>
      <c r="F49" s="666"/>
      <c r="G49" s="666"/>
      <c r="H49" s="666"/>
      <c r="I49" s="667"/>
      <c r="J49" s="586"/>
      <c r="K49" s="586"/>
      <c r="L49" s="587"/>
      <c r="M49" s="588"/>
      <c r="N49" s="588"/>
      <c r="O49" s="588"/>
      <c r="P49" s="588"/>
      <c r="Q49" s="587"/>
      <c r="R49" s="587"/>
      <c r="S49" s="587"/>
      <c r="T49" s="244"/>
      <c r="U49" s="244"/>
      <c r="V49" s="253" t="s">
        <v>149</v>
      </c>
      <c r="W49" s="253" t="s">
        <v>149</v>
      </c>
    </row>
  </sheetData>
  <mergeCells count="66">
    <mergeCell ref="P2:Q2"/>
    <mergeCell ref="R2:S2"/>
    <mergeCell ref="T2:U2"/>
    <mergeCell ref="V2:W2"/>
    <mergeCell ref="A4:A8"/>
    <mergeCell ref="B4:B8"/>
    <mergeCell ref="C4:D4"/>
    <mergeCell ref="C5:D5"/>
    <mergeCell ref="E5:E6"/>
    <mergeCell ref="F5:F6"/>
    <mergeCell ref="A2:A3"/>
    <mergeCell ref="B2:B3"/>
    <mergeCell ref="C2:D3"/>
    <mergeCell ref="E2:K2"/>
    <mergeCell ref="L2:M2"/>
    <mergeCell ref="N2:O2"/>
    <mergeCell ref="G5:G6"/>
    <mergeCell ref="H5:H6"/>
    <mergeCell ref="C6:D6"/>
    <mergeCell ref="C7:D7"/>
    <mergeCell ref="C8:D8"/>
    <mergeCell ref="C25:C26"/>
    <mergeCell ref="C13:D13"/>
    <mergeCell ref="C14:D14"/>
    <mergeCell ref="A15:A31"/>
    <mergeCell ref="B15:B31"/>
    <mergeCell ref="C15:D15"/>
    <mergeCell ref="C16:D16"/>
    <mergeCell ref="C17:D17"/>
    <mergeCell ref="C18:D18"/>
    <mergeCell ref="C19:C20"/>
    <mergeCell ref="C27:D27"/>
    <mergeCell ref="A9:A14"/>
    <mergeCell ref="B9:B14"/>
    <mergeCell ref="C9:C10"/>
    <mergeCell ref="C11:D11"/>
    <mergeCell ref="C12:D12"/>
    <mergeCell ref="E19:E20"/>
    <mergeCell ref="F19:F20"/>
    <mergeCell ref="G19:G20"/>
    <mergeCell ref="H19:H20"/>
    <mergeCell ref="C21:C24"/>
    <mergeCell ref="C43:D43"/>
    <mergeCell ref="C28:D28"/>
    <mergeCell ref="C31:D31"/>
    <mergeCell ref="A32:A45"/>
    <mergeCell ref="B32:B45"/>
    <mergeCell ref="C32:D32"/>
    <mergeCell ref="C33:D33"/>
    <mergeCell ref="C34:D34"/>
    <mergeCell ref="C35:D35"/>
    <mergeCell ref="C36:D36"/>
    <mergeCell ref="C37:D37"/>
    <mergeCell ref="C38:D38"/>
    <mergeCell ref="C39:D39"/>
    <mergeCell ref="C40:D40"/>
    <mergeCell ref="C41:D41"/>
    <mergeCell ref="C42:D42"/>
    <mergeCell ref="E49:I49"/>
    <mergeCell ref="C44:D44"/>
    <mergeCell ref="C45:D45"/>
    <mergeCell ref="A46:A49"/>
    <mergeCell ref="B46:B49"/>
    <mergeCell ref="C46:D46"/>
    <mergeCell ref="C47:D47"/>
    <mergeCell ref="C49:D49"/>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1"/>
  <sheetViews>
    <sheetView zoomScale="75" zoomScaleNormal="75" workbookViewId="0">
      <selection activeCell="F13" sqref="F13"/>
    </sheetView>
  </sheetViews>
  <sheetFormatPr defaultColWidth="9.1796875" defaultRowHeight="12.5"/>
  <cols>
    <col min="1" max="1" width="25.54296875" style="51" customWidth="1"/>
    <col min="2" max="2" width="12.54296875" style="51" customWidth="1"/>
    <col min="3" max="3" width="9.1796875" style="51" hidden="1" customWidth="1"/>
    <col min="4" max="4" width="12.54296875" style="51" customWidth="1"/>
    <col min="5" max="5" width="0" style="51" hidden="1" customWidth="1"/>
    <col min="6" max="6" width="12.54296875" style="51" customWidth="1"/>
    <col min="7" max="7" width="0" style="51" hidden="1" customWidth="1"/>
    <col min="8" max="8" width="12.54296875" style="51" customWidth="1"/>
    <col min="9" max="9" width="0" style="51" hidden="1" customWidth="1"/>
    <col min="10" max="10" width="12.54296875" style="51" customWidth="1"/>
    <col min="11" max="11" width="0" style="51" hidden="1" customWidth="1"/>
    <col min="12" max="12" width="12.54296875" style="51" customWidth="1"/>
    <col min="13" max="13" width="9.1796875" style="51" hidden="1" customWidth="1"/>
    <col min="14" max="14" width="12.54296875" style="51" customWidth="1"/>
    <col min="15" max="15" width="9.1796875" style="51" hidden="1" customWidth="1"/>
    <col min="16" max="16" width="12.54296875" style="51" customWidth="1"/>
    <col min="17" max="17" width="9.1796875" style="51" hidden="1" customWidth="1"/>
    <col min="18" max="18" width="12.54296875" style="51" customWidth="1"/>
    <col min="19" max="19" width="9.1796875" style="51" hidden="1" customWidth="1"/>
    <col min="20" max="20" width="12.54296875" style="51" customWidth="1"/>
    <col min="21" max="21" width="9.1796875" style="51" hidden="1" customWidth="1"/>
    <col min="22" max="22" width="12.54296875" style="51" customWidth="1"/>
    <col min="23" max="23" width="9.1796875" style="51" hidden="1" customWidth="1"/>
    <col min="24" max="24" width="12.54296875" style="51" customWidth="1"/>
    <col min="25" max="25" width="13.54296875" style="51" customWidth="1"/>
    <col min="26" max="26" width="0" style="51" hidden="1" customWidth="1"/>
    <col min="27" max="27" width="9.1796875" style="51" customWidth="1"/>
    <col min="28" max="16384" width="9.1796875" style="51"/>
  </cols>
  <sheetData>
    <row r="1" spans="1:41" s="10" customFormat="1" ht="23.5" thickBot="1">
      <c r="A1" s="9" t="s">
        <v>251</v>
      </c>
    </row>
    <row r="2" spans="1:41" s="18" customFormat="1" ht="55" customHeight="1" thickBot="1">
      <c r="A2" s="11" t="s">
        <v>69</v>
      </c>
      <c r="B2" s="12">
        <v>45383</v>
      </c>
      <c r="C2" s="13"/>
      <c r="D2" s="12">
        <v>45413</v>
      </c>
      <c r="E2" s="13"/>
      <c r="F2" s="12">
        <v>45444</v>
      </c>
      <c r="G2" s="13"/>
      <c r="H2" s="12">
        <v>45474</v>
      </c>
      <c r="I2" s="13"/>
      <c r="J2" s="12">
        <v>45505</v>
      </c>
      <c r="K2" s="13"/>
      <c r="L2" s="12">
        <v>45536</v>
      </c>
      <c r="M2" s="13"/>
      <c r="N2" s="12">
        <v>45566</v>
      </c>
      <c r="O2" s="13"/>
      <c r="P2" s="12">
        <v>45597</v>
      </c>
      <c r="Q2" s="13"/>
      <c r="R2" s="12">
        <v>45627</v>
      </c>
      <c r="S2" s="14"/>
      <c r="T2" s="15">
        <v>45658</v>
      </c>
      <c r="U2" s="14"/>
      <c r="V2" s="12">
        <v>45689</v>
      </c>
      <c r="W2" s="13"/>
      <c r="X2" s="12">
        <v>45717</v>
      </c>
      <c r="Y2" s="16" t="s">
        <v>70</v>
      </c>
      <c r="Z2" s="17" t="s">
        <v>71</v>
      </c>
    </row>
    <row r="3" spans="1:41" s="18" customFormat="1" ht="3" customHeight="1" thickBot="1">
      <c r="A3" s="19"/>
      <c r="B3" s="20"/>
      <c r="C3" s="21"/>
      <c r="D3" s="20"/>
      <c r="E3" s="21"/>
      <c r="F3" s="20"/>
      <c r="G3" s="21"/>
      <c r="H3" s="20"/>
      <c r="I3" s="21"/>
      <c r="J3" s="20"/>
      <c r="K3" s="21"/>
      <c r="L3" s="21"/>
      <c r="M3" s="21"/>
      <c r="N3" s="21"/>
      <c r="O3" s="21"/>
      <c r="P3" s="21"/>
      <c r="Q3" s="21"/>
      <c r="R3" s="21"/>
      <c r="S3" s="21"/>
      <c r="T3" s="21"/>
      <c r="U3" s="21"/>
      <c r="V3" s="21"/>
      <c r="W3" s="21"/>
      <c r="X3" s="21"/>
      <c r="Y3" s="22"/>
      <c r="Z3" s="23"/>
    </row>
    <row r="4" spans="1:41" s="31" customFormat="1" ht="35.15" hidden="1" customHeight="1">
      <c r="A4" s="24" t="s">
        <v>72</v>
      </c>
      <c r="B4" s="25">
        <v>0.53</v>
      </c>
      <c r="C4" s="26"/>
      <c r="D4" s="27">
        <v>0.98</v>
      </c>
      <c r="E4" s="28"/>
      <c r="F4" s="28"/>
      <c r="G4" s="26"/>
      <c r="H4" s="28"/>
      <c r="I4" s="26"/>
      <c r="J4" s="28"/>
      <c r="K4" s="26"/>
      <c r="L4" s="28"/>
      <c r="M4" s="26"/>
      <c r="N4" s="28"/>
      <c r="O4" s="26"/>
      <c r="P4" s="28"/>
      <c r="Q4" s="26"/>
      <c r="R4" s="28"/>
      <c r="S4" s="26"/>
      <c r="T4" s="28"/>
      <c r="U4" s="26"/>
      <c r="V4" s="28"/>
      <c r="W4" s="26"/>
      <c r="X4" s="28"/>
      <c r="Y4" s="29">
        <f t="shared" ref="Y4:Y9" si="0">(0.5/20)*((X4-100%)*100)+4</f>
        <v>1.5</v>
      </c>
      <c r="Z4" s="30" t="s">
        <v>73</v>
      </c>
    </row>
    <row r="5" spans="1:41" s="31" customFormat="1" ht="35.15" customHeight="1">
      <c r="A5" s="32" t="s">
        <v>29</v>
      </c>
      <c r="B5" s="627">
        <v>0.7</v>
      </c>
      <c r="C5" s="28"/>
      <c r="D5" s="660">
        <v>0.1</v>
      </c>
      <c r="E5" s="661"/>
      <c r="F5" s="660">
        <v>0.3</v>
      </c>
      <c r="G5" s="661"/>
      <c r="H5" s="660">
        <v>0.3</v>
      </c>
      <c r="I5" s="661"/>
      <c r="J5" s="660">
        <v>0.31790000000000002</v>
      </c>
      <c r="K5" s="26"/>
      <c r="L5" s="28"/>
      <c r="M5" s="26"/>
      <c r="N5" s="28"/>
      <c r="O5" s="26"/>
      <c r="P5" s="28"/>
      <c r="Q5" s="26"/>
      <c r="R5" s="28"/>
      <c r="S5" s="26"/>
      <c r="T5" s="28"/>
      <c r="U5" s="26"/>
      <c r="V5" s="28"/>
      <c r="W5" s="26"/>
      <c r="X5" s="28"/>
      <c r="Y5" s="29">
        <f t="shared" si="0"/>
        <v>1.5</v>
      </c>
      <c r="Z5" s="33"/>
      <c r="AB5" s="34"/>
      <c r="AC5" s="34"/>
      <c r="AD5" s="34"/>
      <c r="AE5" s="34"/>
      <c r="AF5" s="34"/>
      <c r="AG5" s="34"/>
      <c r="AH5" s="34"/>
      <c r="AI5" s="34"/>
      <c r="AJ5" s="34"/>
      <c r="AK5" s="34"/>
      <c r="AL5" s="34"/>
      <c r="AM5" s="34"/>
      <c r="AN5" s="34"/>
      <c r="AO5" s="34"/>
    </row>
    <row r="6" spans="1:41" s="31" customFormat="1" ht="35.15" customHeight="1">
      <c r="A6" s="32" t="s">
        <v>66</v>
      </c>
      <c r="B6" s="623">
        <v>0.99990000000000001</v>
      </c>
      <c r="C6" s="35"/>
      <c r="D6" s="624">
        <v>1</v>
      </c>
      <c r="E6" s="26"/>
      <c r="F6" s="627">
        <v>0.74029999999999996</v>
      </c>
      <c r="G6" s="26"/>
      <c r="H6" s="627">
        <v>0.65</v>
      </c>
      <c r="I6" s="26"/>
      <c r="J6" s="627">
        <v>0.74990000000000001</v>
      </c>
      <c r="K6" s="26"/>
      <c r="L6" s="28"/>
      <c r="M6" s="26"/>
      <c r="N6" s="28"/>
      <c r="O6" s="26"/>
      <c r="P6" s="28"/>
      <c r="Q6" s="26"/>
      <c r="R6" s="28"/>
      <c r="S6" s="26"/>
      <c r="T6" s="28"/>
      <c r="U6" s="26"/>
      <c r="V6" s="28"/>
      <c r="W6" s="26"/>
      <c r="X6" s="28"/>
      <c r="Y6" s="29">
        <f>(0.5/20)*((X6-100%)*100)+4</f>
        <v>1.5</v>
      </c>
      <c r="Z6" s="33"/>
      <c r="AB6" s="34"/>
      <c r="AC6" s="34"/>
      <c r="AD6" s="34"/>
      <c r="AE6" s="34"/>
      <c r="AF6" s="34"/>
      <c r="AG6" s="34"/>
      <c r="AH6" s="34"/>
      <c r="AI6" s="34"/>
      <c r="AJ6" s="34"/>
      <c r="AK6" s="34"/>
      <c r="AL6" s="34"/>
      <c r="AM6" s="34"/>
      <c r="AN6" s="34"/>
      <c r="AO6" s="34"/>
    </row>
    <row r="7" spans="1:41" s="31" customFormat="1" ht="35.15" customHeight="1">
      <c r="A7" s="32" t="s">
        <v>143</v>
      </c>
      <c r="B7" s="624">
        <v>1</v>
      </c>
      <c r="C7" s="28"/>
      <c r="D7" s="624">
        <v>0.95</v>
      </c>
      <c r="E7" s="26"/>
      <c r="F7" s="641">
        <v>0.95</v>
      </c>
      <c r="G7" s="26"/>
      <c r="H7" s="641">
        <v>0.82179999999999997</v>
      </c>
      <c r="I7" s="26"/>
      <c r="J7" s="660">
        <v>0.25</v>
      </c>
      <c r="K7" s="26"/>
      <c r="L7" s="28"/>
      <c r="M7" s="26"/>
      <c r="N7" s="28"/>
      <c r="O7" s="26"/>
      <c r="P7" s="28"/>
      <c r="Q7" s="26"/>
      <c r="R7" s="28"/>
      <c r="S7" s="26"/>
      <c r="T7" s="28"/>
      <c r="U7" s="26"/>
      <c r="V7" s="28"/>
      <c r="W7" s="26"/>
      <c r="X7" s="28"/>
      <c r="Y7" s="29">
        <f>(0.5/20)*((X7-100%)*100)+4</f>
        <v>1.5</v>
      </c>
      <c r="Z7" s="36" t="s">
        <v>73</v>
      </c>
    </row>
    <row r="8" spans="1:41" s="31" customFormat="1" ht="35.15" customHeight="1">
      <c r="A8" s="32" t="s">
        <v>65</v>
      </c>
      <c r="B8" s="624">
        <v>1</v>
      </c>
      <c r="C8" s="28"/>
      <c r="D8" s="624">
        <v>1</v>
      </c>
      <c r="E8" s="28"/>
      <c r="F8" s="641">
        <v>1</v>
      </c>
      <c r="G8" s="28"/>
      <c r="H8" s="641">
        <v>1</v>
      </c>
      <c r="I8" s="28"/>
      <c r="J8" s="641">
        <v>1</v>
      </c>
      <c r="K8" s="28"/>
      <c r="L8" s="28"/>
      <c r="M8" s="26"/>
      <c r="N8" s="28"/>
      <c r="O8" s="26"/>
      <c r="P8" s="28"/>
      <c r="Q8" s="26"/>
      <c r="R8" s="28"/>
      <c r="S8" s="28"/>
      <c r="T8" s="28"/>
      <c r="U8" s="26"/>
      <c r="V8" s="28"/>
      <c r="W8" s="26"/>
      <c r="X8" s="28"/>
      <c r="Y8" s="29">
        <f t="shared" si="0"/>
        <v>1.5</v>
      </c>
      <c r="Z8" s="36" t="s">
        <v>73</v>
      </c>
    </row>
    <row r="9" spans="1:41" s="31" customFormat="1" ht="35.15" customHeight="1" thickBot="1">
      <c r="A9" s="37" t="s">
        <v>74</v>
      </c>
      <c r="B9" s="624">
        <v>1</v>
      </c>
      <c r="C9" s="38"/>
      <c r="D9" s="624">
        <v>1</v>
      </c>
      <c r="E9" s="38"/>
      <c r="F9" s="642">
        <v>1</v>
      </c>
      <c r="G9" s="38"/>
      <c r="H9" s="641">
        <v>1</v>
      </c>
      <c r="I9" s="38"/>
      <c r="J9" s="641">
        <v>1</v>
      </c>
      <c r="K9" s="38"/>
      <c r="L9" s="38"/>
      <c r="M9" s="39"/>
      <c r="N9" s="38"/>
      <c r="O9" s="39"/>
      <c r="P9" s="38"/>
      <c r="Q9" s="38"/>
      <c r="R9" s="38"/>
      <c r="S9" s="39"/>
      <c r="T9" s="38"/>
      <c r="U9" s="38"/>
      <c r="V9" s="38"/>
      <c r="W9" s="39"/>
      <c r="X9" s="38"/>
      <c r="Y9" s="40">
        <f t="shared" si="0"/>
        <v>1.5</v>
      </c>
      <c r="Z9" s="41" t="s">
        <v>73</v>
      </c>
    </row>
    <row r="10" spans="1:41" s="31" customFormat="1" ht="3.75" customHeight="1" thickBot="1">
      <c r="A10" s="20"/>
      <c r="B10" s="42"/>
      <c r="C10" s="42"/>
      <c r="D10" s="42"/>
      <c r="E10" s="42"/>
      <c r="F10" s="42"/>
      <c r="G10" s="42"/>
      <c r="H10" s="42"/>
      <c r="I10" s="42"/>
      <c r="J10" s="42"/>
      <c r="K10" s="42"/>
      <c r="L10" s="42"/>
      <c r="M10" s="42"/>
      <c r="N10" s="42"/>
      <c r="O10" s="42"/>
      <c r="P10" s="42"/>
      <c r="Q10" s="42"/>
      <c r="R10" s="42"/>
      <c r="S10" s="42"/>
      <c r="T10" s="42"/>
      <c r="U10" s="42"/>
      <c r="V10" s="42"/>
      <c r="W10" s="42"/>
      <c r="X10" s="42"/>
      <c r="Y10" s="42"/>
      <c r="Z10" s="18"/>
    </row>
    <row r="11" spans="1:41" ht="30" customHeight="1" thickTop="1" thickBot="1">
      <c r="A11" s="43" t="s">
        <v>75</v>
      </c>
      <c r="B11" s="631">
        <f>'Company-wide'!AK229</f>
        <v>0.90000000000000013</v>
      </c>
      <c r="C11" s="44"/>
      <c r="D11" s="631">
        <f>'Company-wide'!AL229</f>
        <v>0.95000000000000007</v>
      </c>
      <c r="E11" s="45"/>
      <c r="F11" s="641">
        <f>'Company-wide'!AM229</f>
        <v>0.9274349875731932</v>
      </c>
      <c r="G11" s="45"/>
      <c r="H11" s="627">
        <f>'Company-wide'!AN229</f>
        <v>0.65000000000000013</v>
      </c>
      <c r="I11" s="46"/>
      <c r="J11" s="641">
        <v>0.85</v>
      </c>
      <c r="K11" s="45"/>
      <c r="L11" s="47"/>
      <c r="M11" s="48"/>
      <c r="N11" s="44"/>
      <c r="O11" s="45"/>
      <c r="P11" s="44"/>
      <c r="Q11" s="45"/>
      <c r="R11" s="44"/>
      <c r="S11" s="45"/>
      <c r="T11" s="44"/>
      <c r="U11" s="45"/>
      <c r="V11" s="44"/>
      <c r="W11" s="45"/>
      <c r="X11" s="47"/>
      <c r="Y11" s="49"/>
      <c r="Z11" s="50"/>
      <c r="AA11" s="51" t="s">
        <v>76</v>
      </c>
      <c r="AB11" s="52"/>
      <c r="AC11" s="52"/>
      <c r="AD11" s="52"/>
      <c r="AE11" s="52"/>
      <c r="AF11" s="52"/>
      <c r="AG11" s="52"/>
      <c r="AH11" s="52"/>
      <c r="AI11" s="52"/>
      <c r="AJ11" s="52"/>
    </row>
    <row r="12" spans="1:41" ht="5.25" customHeight="1" thickBot="1">
      <c r="A12" s="31"/>
      <c r="B12" s="53"/>
      <c r="C12" s="53"/>
      <c r="D12" s="53"/>
      <c r="E12" s="53"/>
      <c r="F12" s="54"/>
      <c r="G12" s="53"/>
      <c r="H12" s="53"/>
      <c r="I12" s="53"/>
      <c r="J12" s="53"/>
      <c r="K12" s="53"/>
      <c r="L12" s="55"/>
      <c r="M12" s="53"/>
      <c r="X12" s="56"/>
    </row>
    <row r="13" spans="1:41" ht="30" customHeight="1" thickTop="1" thickBot="1">
      <c r="A13" s="43" t="s">
        <v>77</v>
      </c>
      <c r="B13" s="57">
        <f>(0.5/20)*((B11-100%)*100)+4</f>
        <v>3.7500000000000004</v>
      </c>
      <c r="C13" s="57">
        <f t="shared" ref="C13:W13" si="1">(0.5/20)*((C11-100%)*100)+4</f>
        <v>1.5</v>
      </c>
      <c r="D13" s="57">
        <f t="shared" si="1"/>
        <v>3.875</v>
      </c>
      <c r="E13" s="57">
        <f t="shared" si="1"/>
        <v>1.5</v>
      </c>
      <c r="F13" s="57">
        <f>(0.5/20)*((F11-100%)*100)+4</f>
        <v>3.8185874689329831</v>
      </c>
      <c r="G13" s="57">
        <f t="shared" si="1"/>
        <v>1.5</v>
      </c>
      <c r="H13" s="57">
        <f t="shared" si="1"/>
        <v>3.1250000000000004</v>
      </c>
      <c r="I13" s="57">
        <f t="shared" si="1"/>
        <v>1.5</v>
      </c>
      <c r="J13" s="57">
        <f t="shared" si="1"/>
        <v>3.625</v>
      </c>
      <c r="K13" s="57">
        <f t="shared" si="1"/>
        <v>1.5</v>
      </c>
      <c r="L13" s="57">
        <f t="shared" si="1"/>
        <v>1.5</v>
      </c>
      <c r="M13" s="57">
        <f t="shared" si="1"/>
        <v>1.5</v>
      </c>
      <c r="N13" s="57">
        <f t="shared" si="1"/>
        <v>1.5</v>
      </c>
      <c r="O13" s="57">
        <f t="shared" si="1"/>
        <v>1.5</v>
      </c>
      <c r="P13" s="57">
        <f>(0.5/20)*((P11-100%)*100)+4</f>
        <v>1.5</v>
      </c>
      <c r="Q13" s="57">
        <f t="shared" si="1"/>
        <v>1.5</v>
      </c>
      <c r="R13" s="57">
        <f t="shared" si="1"/>
        <v>1.5</v>
      </c>
      <c r="S13" s="57">
        <f t="shared" si="1"/>
        <v>1.5</v>
      </c>
      <c r="T13" s="57">
        <f>(0.5/20)*((T11-100%)*100)+4</f>
        <v>1.5</v>
      </c>
      <c r="U13" s="57">
        <f>(0.5/20)*((U11-100%)*100)+4</f>
        <v>1.5</v>
      </c>
      <c r="V13" s="57">
        <f>(0.5/20)*((V11-100%)*100)+4</f>
        <v>1.5</v>
      </c>
      <c r="W13" s="57">
        <f t="shared" si="1"/>
        <v>1.5</v>
      </c>
      <c r="X13" s="57">
        <f>(0.5/20)*((X11-100%)*100)+4</f>
        <v>1.5</v>
      </c>
      <c r="Y13" s="58"/>
      <c r="Z13" s="50"/>
    </row>
    <row r="15" spans="1:41" ht="16" thickBot="1">
      <c r="A15" s="59" t="s">
        <v>78</v>
      </c>
      <c r="O15" s="60"/>
      <c r="P15" s="61"/>
      <c r="Q15" s="61"/>
      <c r="R15" s="61"/>
      <c r="S15" s="61"/>
      <c r="T15" s="61"/>
      <c r="U15" s="61"/>
      <c r="V15" s="61"/>
      <c r="W15" s="61"/>
      <c r="X15" s="61"/>
      <c r="Z15" s="61"/>
    </row>
    <row r="16" spans="1:41" ht="15.75" customHeight="1">
      <c r="A16" s="62" t="s">
        <v>79</v>
      </c>
      <c r="B16" s="63"/>
      <c r="C16" s="63"/>
      <c r="D16" s="63"/>
      <c r="E16" s="64"/>
      <c r="F16" s="63"/>
      <c r="G16" s="63"/>
      <c r="H16" s="63"/>
      <c r="I16" s="65"/>
      <c r="J16" s="63"/>
      <c r="K16" s="65"/>
      <c r="L16" s="63"/>
      <c r="M16" s="63"/>
      <c r="N16" s="63"/>
      <c r="O16" s="63"/>
      <c r="P16" s="63"/>
      <c r="Q16" s="63"/>
      <c r="R16" s="63"/>
      <c r="S16" s="63"/>
      <c r="T16" s="63"/>
      <c r="U16" s="63"/>
      <c r="V16" s="63"/>
      <c r="W16" s="63"/>
      <c r="X16" s="63"/>
      <c r="Z16" s="66"/>
      <c r="AB16" s="61"/>
      <c r="AC16" s="61"/>
      <c r="AD16" s="61"/>
      <c r="AE16" s="61"/>
      <c r="AF16" s="61"/>
      <c r="AG16" s="61"/>
      <c r="AH16" s="61"/>
      <c r="AI16" s="61"/>
      <c r="AJ16" s="61"/>
      <c r="AK16" s="61"/>
      <c r="AL16" s="61"/>
      <c r="AM16" s="61"/>
    </row>
    <row r="17" spans="1:26" ht="15.5">
      <c r="A17" s="67" t="s">
        <v>80</v>
      </c>
      <c r="B17" s="68"/>
      <c r="C17" s="68"/>
      <c r="D17" s="68"/>
      <c r="E17" s="68"/>
      <c r="F17" s="68"/>
      <c r="G17" s="68"/>
      <c r="H17" s="68"/>
      <c r="I17" s="69"/>
      <c r="J17" s="70"/>
      <c r="K17" s="70"/>
      <c r="L17" s="70"/>
      <c r="M17" s="70"/>
      <c r="N17" s="70"/>
      <c r="O17" s="70"/>
      <c r="P17" s="70"/>
      <c r="Q17" s="70"/>
      <c r="R17" s="70"/>
      <c r="S17" s="70"/>
      <c r="T17" s="70"/>
      <c r="U17" s="70"/>
      <c r="V17" s="70"/>
      <c r="W17" s="70"/>
      <c r="X17" s="70"/>
      <c r="Z17" s="66"/>
    </row>
    <row r="18" spans="1:26" ht="16" thickBot="1">
      <c r="A18" s="71" t="s">
        <v>81</v>
      </c>
      <c r="B18" s="72"/>
      <c r="C18" s="73"/>
      <c r="D18" s="72"/>
      <c r="E18" s="73"/>
      <c r="F18" s="72"/>
      <c r="G18" s="72"/>
      <c r="H18" s="72"/>
      <c r="I18" s="74"/>
      <c r="J18" s="72"/>
      <c r="K18" s="74"/>
      <c r="L18" s="72"/>
      <c r="M18" s="72"/>
      <c r="N18" s="72"/>
      <c r="O18" s="72"/>
      <c r="P18" s="72"/>
      <c r="Q18" s="72"/>
      <c r="R18" s="72"/>
      <c r="S18" s="72"/>
      <c r="T18" s="72"/>
      <c r="U18" s="72"/>
      <c r="V18" s="72"/>
      <c r="W18" s="72"/>
      <c r="X18" s="72"/>
      <c r="Z18" s="66"/>
    </row>
    <row r="19" spans="1:26">
      <c r="B19" s="75"/>
      <c r="C19" s="75"/>
      <c r="D19" s="75"/>
      <c r="E19" s="75"/>
      <c r="F19" s="75"/>
      <c r="G19" s="75"/>
      <c r="H19" s="75"/>
      <c r="I19" s="75"/>
      <c r="J19" s="75"/>
      <c r="K19" s="75"/>
      <c r="L19" s="75"/>
      <c r="M19" s="75"/>
      <c r="N19" s="75"/>
      <c r="O19" s="75"/>
      <c r="P19" s="75"/>
      <c r="Q19" s="75"/>
      <c r="R19" s="75"/>
      <c r="S19" s="75"/>
      <c r="T19" s="75"/>
      <c r="U19" s="75"/>
      <c r="V19" s="75"/>
      <c r="W19" s="75"/>
      <c r="X19" s="75"/>
      <c r="Z19" s="75"/>
    </row>
    <row r="21" spans="1:26">
      <c r="A21" s="707" t="s">
        <v>82</v>
      </c>
      <c r="B21" s="709" t="s">
        <v>83</v>
      </c>
      <c r="C21" s="709"/>
      <c r="D21" s="710" t="s">
        <v>84</v>
      </c>
      <c r="E21" s="710"/>
      <c r="F21" s="710"/>
    </row>
    <row r="22" spans="1:26">
      <c r="A22" s="708"/>
      <c r="B22" s="709"/>
      <c r="C22" s="709"/>
      <c r="D22" s="76" t="s">
        <v>85</v>
      </c>
      <c r="E22" s="76" t="s">
        <v>86</v>
      </c>
      <c r="F22" s="76" t="s">
        <v>86</v>
      </c>
    </row>
    <row r="23" spans="1:26" ht="15.5">
      <c r="A23" s="77">
        <v>1</v>
      </c>
      <c r="B23" s="713">
        <v>0</v>
      </c>
      <c r="C23" s="714"/>
      <c r="D23" s="78"/>
      <c r="E23" s="79" t="s">
        <v>87</v>
      </c>
      <c r="F23" s="79" t="s">
        <v>87</v>
      </c>
    </row>
    <row r="24" spans="1:26" ht="15.5">
      <c r="A24" s="77">
        <v>1.5</v>
      </c>
      <c r="B24" s="711" t="s">
        <v>88</v>
      </c>
      <c r="C24" s="712"/>
      <c r="D24" s="80"/>
      <c r="E24" s="79" t="s">
        <v>89</v>
      </c>
      <c r="F24" s="79" t="s">
        <v>89</v>
      </c>
    </row>
    <row r="25" spans="1:26" ht="15.5">
      <c r="A25" s="77">
        <v>2</v>
      </c>
      <c r="B25" s="711" t="s">
        <v>90</v>
      </c>
      <c r="C25" s="712"/>
      <c r="D25" s="81"/>
      <c r="E25" s="79" t="s">
        <v>91</v>
      </c>
      <c r="F25" s="79" t="s">
        <v>91</v>
      </c>
    </row>
    <row r="26" spans="1:26" ht="15.5">
      <c r="A26" s="77">
        <v>2.5</v>
      </c>
      <c r="B26" s="711" t="s">
        <v>92</v>
      </c>
      <c r="C26" s="712"/>
    </row>
    <row r="27" spans="1:26" ht="15.5">
      <c r="A27" s="77">
        <v>3</v>
      </c>
      <c r="B27" s="711" t="s">
        <v>93</v>
      </c>
      <c r="C27" s="712"/>
    </row>
    <row r="28" spans="1:26" ht="15.5">
      <c r="A28" s="77">
        <v>3.5</v>
      </c>
      <c r="B28" s="711" t="s">
        <v>94</v>
      </c>
      <c r="C28" s="712"/>
    </row>
    <row r="29" spans="1:26" ht="15.5">
      <c r="A29" s="77">
        <v>4</v>
      </c>
      <c r="B29" s="711"/>
      <c r="C29" s="712"/>
    </row>
    <row r="30" spans="1:26" ht="15.5">
      <c r="A30" s="77">
        <v>4.5</v>
      </c>
      <c r="B30" s="711"/>
      <c r="C30" s="712"/>
    </row>
    <row r="31" spans="1:26" ht="15.5">
      <c r="A31" s="77">
        <v>5</v>
      </c>
      <c r="B31" s="713"/>
      <c r="C31" s="714"/>
    </row>
  </sheetData>
  <mergeCells count="12">
    <mergeCell ref="B31:C31"/>
    <mergeCell ref="B25:C25"/>
    <mergeCell ref="B26:C26"/>
    <mergeCell ref="B27:C27"/>
    <mergeCell ref="B28:C28"/>
    <mergeCell ref="B29:C29"/>
    <mergeCell ref="B30:C30"/>
    <mergeCell ref="A21:A22"/>
    <mergeCell ref="B21:C22"/>
    <mergeCell ref="D21:F21"/>
    <mergeCell ref="B24:C24"/>
    <mergeCell ref="B23:C23"/>
  </mergeCells>
  <pageMargins left="0.26" right="0.2" top="0.37" bottom="1" header="0.28000000000000003" footer="0.5"/>
  <pageSetup paperSize="9" scale="90"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V237"/>
  <sheetViews>
    <sheetView tabSelected="1" zoomScale="60" zoomScaleNormal="60" workbookViewId="0">
      <selection activeCell="A2" sqref="A2:A3"/>
    </sheetView>
  </sheetViews>
  <sheetFormatPr defaultColWidth="9.1796875" defaultRowHeight="15.5"/>
  <cols>
    <col min="1" max="1" width="14.81640625" style="294" customWidth="1"/>
    <col min="2" max="2" width="2.81640625" style="294" customWidth="1"/>
    <col min="3" max="3" width="9.1796875" style="294"/>
    <col min="4" max="4" width="48.1796875" style="294" customWidth="1"/>
    <col min="5" max="5" width="15.81640625" style="294" customWidth="1"/>
    <col min="6" max="17" width="11.1796875" style="294" customWidth="1"/>
    <col min="18" max="19" width="12.1796875" style="294" customWidth="1"/>
    <col min="20" max="30" width="9.54296875" style="294" customWidth="1"/>
    <col min="31" max="31" width="14.81640625" style="294" customWidth="1"/>
    <col min="32" max="32" width="11.1796875" style="294" customWidth="1"/>
    <col min="33" max="33" width="15.81640625" style="294" customWidth="1"/>
    <col min="34" max="34" width="41.54296875" style="294" bestFit="1" customWidth="1"/>
    <col min="35" max="35" width="16.54296875" style="294" bestFit="1" customWidth="1"/>
    <col min="36" max="36" width="13.1796875" style="294" customWidth="1"/>
    <col min="37" max="37" width="17.453125" style="294" customWidth="1"/>
    <col min="38" max="38" width="17.81640625" style="294" customWidth="1"/>
    <col min="39" max="39" width="18.81640625" style="294" customWidth="1"/>
    <col min="40" max="40" width="15.453125" style="294" customWidth="1"/>
    <col min="41" max="41" width="17.81640625" style="294" customWidth="1"/>
    <col min="42" max="42" width="14" style="294" customWidth="1"/>
    <col min="43" max="43" width="17.1796875" style="294" bestFit="1" customWidth="1"/>
    <col min="44" max="44" width="17.81640625" style="294" bestFit="1" customWidth="1"/>
    <col min="45" max="48" width="13" style="294" customWidth="1"/>
    <col min="49" max="16384" width="9.1796875" style="294"/>
  </cols>
  <sheetData>
    <row r="1" spans="1:33" ht="16" thickBot="1"/>
    <row r="2" spans="1:33" ht="20.25" customHeight="1">
      <c r="A2" s="877">
        <f>AO229</f>
        <v>0.85000000000000009</v>
      </c>
      <c r="B2" s="879" t="s">
        <v>27</v>
      </c>
      <c r="C2" s="879"/>
      <c r="D2" s="880"/>
      <c r="E2" s="881" t="s">
        <v>28</v>
      </c>
      <c r="F2" s="882"/>
      <c r="G2" s="882"/>
      <c r="H2" s="797"/>
      <c r="I2" s="883" t="s">
        <v>147</v>
      </c>
      <c r="J2" s="882"/>
      <c r="K2" s="882"/>
      <c r="L2" s="882"/>
      <c r="M2" s="882"/>
      <c r="N2" s="882"/>
      <c r="O2" s="882"/>
      <c r="P2" s="882"/>
      <c r="Q2" s="882"/>
      <c r="R2" s="792" t="s">
        <v>30</v>
      </c>
      <c r="S2" s="793"/>
      <c r="T2" s="794"/>
      <c r="U2" s="795"/>
      <c r="V2" s="795"/>
      <c r="W2" s="795"/>
      <c r="X2" s="795"/>
      <c r="Y2" s="796"/>
      <c r="Z2" s="797" t="s">
        <v>31</v>
      </c>
      <c r="AA2" s="798"/>
      <c r="AB2" s="798"/>
      <c r="AC2" s="798"/>
      <c r="AD2" s="798"/>
      <c r="AE2" s="798"/>
      <c r="AF2" s="798"/>
      <c r="AG2" s="799"/>
    </row>
    <row r="3" spans="1:33" ht="20.25" customHeight="1">
      <c r="A3" s="878"/>
      <c r="B3" s="889" t="s">
        <v>32</v>
      </c>
      <c r="C3" s="890"/>
      <c r="D3" s="891"/>
      <c r="E3" s="889" t="s">
        <v>33</v>
      </c>
      <c r="F3" s="890"/>
      <c r="G3" s="890"/>
      <c r="H3" s="890"/>
      <c r="I3" s="890" t="s">
        <v>34</v>
      </c>
      <c r="J3" s="890"/>
      <c r="K3" s="890"/>
      <c r="L3" s="892"/>
      <c r="M3" s="892"/>
      <c r="N3" s="892"/>
      <c r="O3" s="892"/>
      <c r="P3" s="892"/>
      <c r="Q3" s="892"/>
      <c r="R3" s="829" t="s">
        <v>35</v>
      </c>
      <c r="S3" s="830"/>
      <c r="T3" s="831" t="s">
        <v>365</v>
      </c>
      <c r="U3" s="832"/>
      <c r="V3" s="832"/>
      <c r="W3" s="832"/>
      <c r="X3" s="832"/>
      <c r="Y3" s="833"/>
      <c r="Z3" s="834" t="s">
        <v>148</v>
      </c>
      <c r="AA3" s="835"/>
      <c r="AB3" s="835"/>
      <c r="AC3" s="835"/>
      <c r="AD3" s="835"/>
      <c r="AE3" s="835"/>
      <c r="AF3" s="835"/>
      <c r="AG3" s="836"/>
    </row>
    <row r="4" spans="1:33" ht="33.75" customHeight="1" thickBot="1">
      <c r="A4" s="295" t="s">
        <v>213</v>
      </c>
      <c r="B4" s="840" t="s">
        <v>36</v>
      </c>
      <c r="C4" s="841"/>
      <c r="D4" s="842"/>
      <c r="E4" s="884" t="s">
        <v>125</v>
      </c>
      <c r="F4" s="885"/>
      <c r="G4" s="885"/>
      <c r="H4" s="885"/>
      <c r="I4" s="886" t="s">
        <v>270</v>
      </c>
      <c r="J4" s="841"/>
      <c r="K4" s="841"/>
      <c r="L4" s="841"/>
      <c r="M4" s="841"/>
      <c r="N4" s="841"/>
      <c r="O4" s="841"/>
      <c r="P4" s="841"/>
      <c r="Q4" s="841"/>
      <c r="R4" s="843" t="s">
        <v>37</v>
      </c>
      <c r="S4" s="844"/>
      <c r="T4" s="845" t="s">
        <v>68</v>
      </c>
      <c r="U4" s="846"/>
      <c r="V4" s="846"/>
      <c r="W4" s="846"/>
      <c r="X4" s="846"/>
      <c r="Y4" s="847"/>
      <c r="Z4" s="837"/>
      <c r="AA4" s="838"/>
      <c r="AB4" s="838"/>
      <c r="AC4" s="838"/>
      <c r="AD4" s="838"/>
      <c r="AE4" s="838"/>
      <c r="AF4" s="838"/>
      <c r="AG4" s="839"/>
    </row>
    <row r="5" spans="1:33" ht="63" customHeight="1" thickBot="1">
      <c r="A5" s="872" t="s">
        <v>39</v>
      </c>
      <c r="B5" s="874" t="s">
        <v>40</v>
      </c>
      <c r="C5" s="875"/>
      <c r="D5" s="876"/>
      <c r="E5" s="874" t="s">
        <v>41</v>
      </c>
      <c r="F5" s="875"/>
      <c r="G5" s="875"/>
      <c r="H5" s="887"/>
      <c r="I5" s="888" t="s">
        <v>42</v>
      </c>
      <c r="J5" s="875"/>
      <c r="K5" s="875"/>
      <c r="L5" s="875"/>
      <c r="M5" s="875"/>
      <c r="N5" s="875"/>
      <c r="O5" s="875"/>
      <c r="P5" s="875"/>
      <c r="Q5" s="875"/>
      <c r="R5" s="848" t="s">
        <v>214</v>
      </c>
      <c r="S5" s="849"/>
      <c r="T5" s="850" t="s">
        <v>215</v>
      </c>
      <c r="U5" s="849"/>
      <c r="V5" s="828" t="s">
        <v>216</v>
      </c>
      <c r="W5" s="804"/>
      <c r="X5" s="828" t="s">
        <v>217</v>
      </c>
      <c r="Y5" s="804"/>
      <c r="Z5" s="828" t="s">
        <v>218</v>
      </c>
      <c r="AA5" s="804"/>
      <c r="AB5" s="803" t="s">
        <v>219</v>
      </c>
      <c r="AC5" s="804"/>
      <c r="AD5" s="803" t="s">
        <v>220</v>
      </c>
      <c r="AE5" s="804"/>
      <c r="AF5" s="828" t="s">
        <v>221</v>
      </c>
      <c r="AG5" s="868"/>
    </row>
    <row r="6" spans="1:33" ht="25.5" customHeight="1" thickBot="1">
      <c r="A6" s="872"/>
      <c r="B6" s="854" t="s">
        <v>43</v>
      </c>
      <c r="C6" s="855"/>
      <c r="D6" s="856"/>
      <c r="E6" s="861" t="s">
        <v>141</v>
      </c>
      <c r="F6" s="862"/>
      <c r="G6" s="862"/>
      <c r="H6" s="863"/>
      <c r="I6" s="809" t="s">
        <v>266</v>
      </c>
      <c r="J6" s="810"/>
      <c r="K6" s="810"/>
      <c r="L6" s="810"/>
      <c r="M6" s="810"/>
      <c r="N6" s="810"/>
      <c r="O6" s="810"/>
      <c r="P6" s="810"/>
      <c r="Q6" s="810"/>
      <c r="R6" s="598" t="s">
        <v>246</v>
      </c>
      <c r="S6" s="598" t="s">
        <v>247</v>
      </c>
      <c r="T6" s="598" t="s">
        <v>246</v>
      </c>
      <c r="U6" s="598" t="s">
        <v>247</v>
      </c>
      <c r="V6" s="598" t="s">
        <v>246</v>
      </c>
      <c r="W6" s="598" t="s">
        <v>247</v>
      </c>
      <c r="X6" s="598" t="s">
        <v>246</v>
      </c>
      <c r="Y6" s="598" t="s">
        <v>247</v>
      </c>
      <c r="Z6" s="598" t="s">
        <v>246</v>
      </c>
      <c r="AA6" s="598" t="s">
        <v>247</v>
      </c>
      <c r="AB6" s="598" t="s">
        <v>246</v>
      </c>
      <c r="AC6" s="598" t="s">
        <v>247</v>
      </c>
      <c r="AD6" s="598" t="s">
        <v>246</v>
      </c>
      <c r="AE6" s="598" t="s">
        <v>247</v>
      </c>
      <c r="AF6" s="598" t="s">
        <v>246</v>
      </c>
      <c r="AG6" s="598" t="s">
        <v>247</v>
      </c>
    </row>
    <row r="7" spans="1:33" ht="25.5" customHeight="1">
      <c r="A7" s="872"/>
      <c r="B7" s="857"/>
      <c r="C7" s="728"/>
      <c r="D7" s="729"/>
      <c r="E7" s="864"/>
      <c r="F7" s="865"/>
      <c r="G7" s="865"/>
      <c r="H7" s="866"/>
      <c r="I7" s="821" t="s">
        <v>267</v>
      </c>
      <c r="J7" s="822"/>
      <c r="K7" s="822"/>
      <c r="L7" s="822"/>
      <c r="M7" s="822"/>
      <c r="N7" s="822"/>
      <c r="O7" s="822"/>
      <c r="P7" s="822"/>
      <c r="Q7" s="823"/>
      <c r="R7" s="811" t="s">
        <v>248</v>
      </c>
      <c r="S7" s="814" t="s">
        <v>249</v>
      </c>
      <c r="T7" s="851">
        <v>0.99750000000000005</v>
      </c>
      <c r="U7" s="778">
        <v>0.99770000000000003</v>
      </c>
      <c r="V7" s="776">
        <v>0.99750000000000005</v>
      </c>
      <c r="W7" s="778">
        <v>0.99980000000000002</v>
      </c>
      <c r="X7" s="776">
        <v>0.99950000000000006</v>
      </c>
      <c r="Y7" s="778">
        <v>0.99960000000000004</v>
      </c>
      <c r="Z7" s="776">
        <v>0.99960000000000004</v>
      </c>
      <c r="AA7" s="778">
        <v>0.99839999999999995</v>
      </c>
      <c r="AB7" s="805">
        <v>1.8E-3</v>
      </c>
      <c r="AC7" s="778">
        <v>1.6000000000000001E-3</v>
      </c>
      <c r="AD7" s="767">
        <v>20</v>
      </c>
      <c r="AE7" s="770">
        <v>18</v>
      </c>
      <c r="AF7" s="869">
        <v>0.99729999999999996</v>
      </c>
      <c r="AG7" s="778">
        <v>0.95</v>
      </c>
    </row>
    <row r="8" spans="1:33" ht="13.5" customHeight="1">
      <c r="A8" s="872"/>
      <c r="B8" s="857"/>
      <c r="C8" s="728"/>
      <c r="D8" s="729"/>
      <c r="E8" s="864"/>
      <c r="F8" s="865"/>
      <c r="G8" s="865"/>
      <c r="H8" s="866"/>
      <c r="I8" s="800" t="s">
        <v>268</v>
      </c>
      <c r="J8" s="801"/>
      <c r="K8" s="801"/>
      <c r="L8" s="801"/>
      <c r="M8" s="801"/>
      <c r="N8" s="801"/>
      <c r="O8" s="801"/>
      <c r="P8" s="801"/>
      <c r="Q8" s="802"/>
      <c r="R8" s="812"/>
      <c r="S8" s="815"/>
      <c r="T8" s="852"/>
      <c r="U8" s="779"/>
      <c r="V8" s="777"/>
      <c r="W8" s="779"/>
      <c r="X8" s="777"/>
      <c r="Y8" s="779"/>
      <c r="Z8" s="777"/>
      <c r="AA8" s="779"/>
      <c r="AB8" s="806"/>
      <c r="AC8" s="779"/>
      <c r="AD8" s="768"/>
      <c r="AE8" s="771"/>
      <c r="AF8" s="870"/>
      <c r="AG8" s="779"/>
    </row>
    <row r="9" spans="1:33" ht="13.5" customHeight="1">
      <c r="A9" s="872"/>
      <c r="B9" s="857"/>
      <c r="C9" s="728"/>
      <c r="D9" s="729"/>
      <c r="E9" s="864"/>
      <c r="F9" s="865"/>
      <c r="G9" s="865"/>
      <c r="H9" s="866"/>
      <c r="I9" s="800" t="s">
        <v>269</v>
      </c>
      <c r="J9" s="801"/>
      <c r="K9" s="801"/>
      <c r="L9" s="801"/>
      <c r="M9" s="801"/>
      <c r="N9" s="801"/>
      <c r="O9" s="801"/>
      <c r="P9" s="801"/>
      <c r="Q9" s="802"/>
      <c r="R9" s="813"/>
      <c r="S9" s="816"/>
      <c r="T9" s="853"/>
      <c r="U9" s="779"/>
      <c r="V9" s="777"/>
      <c r="W9" s="779"/>
      <c r="X9" s="777"/>
      <c r="Y9" s="779"/>
      <c r="Z9" s="777"/>
      <c r="AA9" s="779"/>
      <c r="AB9" s="806"/>
      <c r="AC9" s="779"/>
      <c r="AD9" s="768"/>
      <c r="AE9" s="771"/>
      <c r="AF9" s="870"/>
      <c r="AG9" s="779"/>
    </row>
    <row r="10" spans="1:33" ht="13.5" customHeight="1">
      <c r="A10" s="872"/>
      <c r="B10" s="857"/>
      <c r="C10" s="728"/>
      <c r="D10" s="729"/>
      <c r="E10" s="864"/>
      <c r="F10" s="865"/>
      <c r="G10" s="865"/>
      <c r="H10" s="866"/>
      <c r="I10" s="800"/>
      <c r="J10" s="801"/>
      <c r="K10" s="801"/>
      <c r="L10" s="801"/>
      <c r="M10" s="801"/>
      <c r="N10" s="801"/>
      <c r="O10" s="801"/>
      <c r="P10" s="801"/>
      <c r="Q10" s="801"/>
      <c r="R10" s="824" t="s">
        <v>250</v>
      </c>
      <c r="S10" s="826" t="s">
        <v>250</v>
      </c>
      <c r="T10" s="773">
        <v>2478</v>
      </c>
      <c r="U10" s="785">
        <v>2305</v>
      </c>
      <c r="V10" s="787">
        <v>2549</v>
      </c>
      <c r="W10" s="785">
        <v>2166</v>
      </c>
      <c r="X10" s="787">
        <v>11</v>
      </c>
      <c r="Y10" s="785">
        <v>2</v>
      </c>
      <c r="Z10" s="760">
        <v>2</v>
      </c>
      <c r="AA10" s="817">
        <v>2.8650000000000002</v>
      </c>
      <c r="AB10" s="806"/>
      <c r="AC10" s="779"/>
      <c r="AD10" s="768"/>
      <c r="AE10" s="771"/>
      <c r="AF10" s="870"/>
      <c r="AG10" s="779"/>
    </row>
    <row r="11" spans="1:33" ht="13.5" customHeight="1">
      <c r="A11" s="872"/>
      <c r="B11" s="857"/>
      <c r="C11" s="728"/>
      <c r="D11" s="729"/>
      <c r="E11" s="864"/>
      <c r="F11" s="865"/>
      <c r="G11" s="865"/>
      <c r="H11" s="866"/>
      <c r="R11" s="812"/>
      <c r="S11" s="815"/>
      <c r="T11" s="774"/>
      <c r="U11" s="785"/>
      <c r="V11" s="787"/>
      <c r="W11" s="785"/>
      <c r="X11" s="787"/>
      <c r="Y11" s="785"/>
      <c r="Z11" s="760"/>
      <c r="AA11" s="817"/>
      <c r="AB11" s="806"/>
      <c r="AC11" s="779"/>
      <c r="AD11" s="768"/>
      <c r="AE11" s="771"/>
      <c r="AF11" s="870"/>
      <c r="AG11" s="779"/>
    </row>
    <row r="12" spans="1:33" ht="13.5" customHeight="1" thickBot="1">
      <c r="A12" s="873"/>
      <c r="B12" s="858"/>
      <c r="C12" s="859"/>
      <c r="D12" s="860"/>
      <c r="E12" s="837"/>
      <c r="F12" s="838"/>
      <c r="G12" s="838"/>
      <c r="H12" s="867"/>
      <c r="I12" s="819"/>
      <c r="J12" s="820"/>
      <c r="K12" s="820"/>
      <c r="L12" s="820"/>
      <c r="M12" s="820"/>
      <c r="N12" s="820"/>
      <c r="O12" s="820"/>
      <c r="P12" s="820"/>
      <c r="Q12" s="820"/>
      <c r="R12" s="825"/>
      <c r="S12" s="827"/>
      <c r="T12" s="775"/>
      <c r="U12" s="786"/>
      <c r="V12" s="788"/>
      <c r="W12" s="786"/>
      <c r="X12" s="788"/>
      <c r="Y12" s="786"/>
      <c r="Z12" s="761"/>
      <c r="AA12" s="818"/>
      <c r="AB12" s="807"/>
      <c r="AC12" s="808"/>
      <c r="AD12" s="769"/>
      <c r="AE12" s="772"/>
      <c r="AF12" s="871"/>
      <c r="AG12" s="808"/>
    </row>
    <row r="13" spans="1:33" ht="36" customHeight="1" thickBot="1">
      <c r="A13" s="291" t="s">
        <v>45</v>
      </c>
      <c r="B13" s="780" t="s">
        <v>46</v>
      </c>
      <c r="C13" s="780"/>
      <c r="D13" s="781"/>
      <c r="E13" s="292" t="s">
        <v>47</v>
      </c>
      <c r="F13" s="293" t="s">
        <v>48</v>
      </c>
      <c r="G13" s="293" t="s">
        <v>49</v>
      </c>
      <c r="H13" s="293" t="s">
        <v>50</v>
      </c>
      <c r="I13" s="293" t="s">
        <v>51</v>
      </c>
      <c r="J13" s="293" t="s">
        <v>52</v>
      </c>
      <c r="K13" s="293" t="s">
        <v>53</v>
      </c>
      <c r="L13" s="293" t="s">
        <v>54</v>
      </c>
      <c r="M13" s="293" t="s">
        <v>55</v>
      </c>
      <c r="N13" s="293" t="s">
        <v>56</v>
      </c>
      <c r="O13" s="293" t="s">
        <v>57</v>
      </c>
      <c r="P13" s="293" t="s">
        <v>58</v>
      </c>
      <c r="Q13" s="293" t="s">
        <v>59</v>
      </c>
      <c r="R13" s="782" t="s">
        <v>60</v>
      </c>
      <c r="S13" s="783"/>
      <c r="T13" s="783"/>
      <c r="U13" s="783"/>
      <c r="V13" s="783"/>
      <c r="W13" s="783"/>
      <c r="X13" s="783"/>
      <c r="Y13" s="784"/>
      <c r="Z13" s="782" t="s">
        <v>61</v>
      </c>
      <c r="AA13" s="783"/>
      <c r="AB13" s="783"/>
      <c r="AC13" s="783"/>
      <c r="AD13" s="783"/>
      <c r="AE13" s="783"/>
      <c r="AF13" s="783"/>
      <c r="AG13" s="784"/>
    </row>
    <row r="14" spans="1:33" ht="45.75" customHeight="1" thickBot="1">
      <c r="A14" s="297">
        <v>1</v>
      </c>
      <c r="B14" s="789" t="s">
        <v>170</v>
      </c>
      <c r="C14" s="790"/>
      <c r="D14" s="791"/>
      <c r="E14" s="596" t="s">
        <v>171</v>
      </c>
      <c r="F14" s="279"/>
      <c r="G14" s="279"/>
      <c r="H14" s="279"/>
      <c r="I14" s="279"/>
      <c r="J14" s="279"/>
      <c r="K14" s="279"/>
      <c r="L14" s="279"/>
      <c r="M14" s="279"/>
      <c r="N14" s="279"/>
      <c r="O14" s="279"/>
      <c r="P14" s="279"/>
      <c r="Q14" s="298"/>
      <c r="R14" s="299" t="s">
        <v>323</v>
      </c>
      <c r="S14" s="762" t="s">
        <v>325</v>
      </c>
      <c r="T14" s="763"/>
      <c r="U14" s="763"/>
      <c r="V14" s="763"/>
      <c r="W14" s="763"/>
      <c r="X14" s="763"/>
      <c r="Y14" s="764"/>
      <c r="Z14" s="299" t="s">
        <v>324</v>
      </c>
      <c r="AA14" s="765" t="s">
        <v>326</v>
      </c>
      <c r="AB14" s="765"/>
      <c r="AC14" s="765"/>
      <c r="AD14" s="765"/>
      <c r="AE14" s="765"/>
      <c r="AF14" s="765"/>
      <c r="AG14" s="766"/>
    </row>
    <row r="15" spans="1:33" ht="45.75" customHeight="1" thickBot="1">
      <c r="A15" s="300">
        <v>2</v>
      </c>
      <c r="B15" s="723" t="s">
        <v>172</v>
      </c>
      <c r="C15" s="724"/>
      <c r="D15" s="725"/>
      <c r="E15" s="597" t="s">
        <v>173</v>
      </c>
      <c r="F15" s="280"/>
      <c r="G15" s="280"/>
      <c r="H15" s="280"/>
      <c r="I15" s="280"/>
      <c r="J15" s="280"/>
      <c r="K15" s="280"/>
      <c r="L15" s="280"/>
      <c r="M15" s="280"/>
      <c r="N15" s="280"/>
      <c r="O15" s="280"/>
      <c r="P15" s="280"/>
      <c r="Q15" s="301"/>
      <c r="R15" s="302" t="s">
        <v>337</v>
      </c>
      <c r="S15" s="742" t="s">
        <v>340</v>
      </c>
      <c r="T15" s="742"/>
      <c r="U15" s="742"/>
      <c r="V15" s="742"/>
      <c r="W15" s="742"/>
      <c r="X15" s="742"/>
      <c r="Y15" s="743"/>
      <c r="Z15" s="299" t="s">
        <v>339</v>
      </c>
      <c r="AA15" s="757" t="s">
        <v>341</v>
      </c>
      <c r="AB15" s="758"/>
      <c r="AC15" s="758"/>
      <c r="AD15" s="758"/>
      <c r="AE15" s="758"/>
      <c r="AF15" s="758"/>
      <c r="AG15" s="759"/>
    </row>
    <row r="16" spans="1:33" ht="45.75" customHeight="1" thickBot="1">
      <c r="A16" s="303"/>
      <c r="B16" s="723"/>
      <c r="C16" s="724"/>
      <c r="D16" s="725"/>
      <c r="E16" s="597"/>
      <c r="F16" s="280"/>
      <c r="G16" s="280"/>
      <c r="H16" s="280"/>
      <c r="I16" s="280"/>
      <c r="J16" s="280"/>
      <c r="K16" s="280"/>
      <c r="L16" s="280"/>
      <c r="M16" s="280"/>
      <c r="N16" s="280"/>
      <c r="O16" s="280"/>
      <c r="P16" s="280"/>
      <c r="Q16" s="301"/>
      <c r="R16" s="302" t="s">
        <v>351</v>
      </c>
      <c r="S16" s="742" t="s">
        <v>353</v>
      </c>
      <c r="T16" s="742"/>
      <c r="U16" s="742"/>
      <c r="V16" s="742"/>
      <c r="W16" s="742"/>
      <c r="X16" s="742"/>
      <c r="Y16" s="743"/>
      <c r="Z16" s="299" t="s">
        <v>352</v>
      </c>
      <c r="AA16" s="757" t="s">
        <v>354</v>
      </c>
      <c r="AB16" s="758"/>
      <c r="AC16" s="758"/>
      <c r="AD16" s="758"/>
      <c r="AE16" s="758"/>
      <c r="AF16" s="758"/>
      <c r="AG16" s="759"/>
    </row>
    <row r="17" spans="1:33" ht="45.75" customHeight="1" thickBot="1">
      <c r="A17" s="303"/>
      <c r="B17" s="723"/>
      <c r="C17" s="724"/>
      <c r="D17" s="725"/>
      <c r="E17" s="278"/>
      <c r="F17" s="280"/>
      <c r="G17" s="280"/>
      <c r="H17" s="280"/>
      <c r="I17" s="280"/>
      <c r="J17" s="280"/>
      <c r="K17" s="280"/>
      <c r="L17" s="280"/>
      <c r="M17" s="280"/>
      <c r="N17" s="280"/>
      <c r="O17" s="280"/>
      <c r="P17" s="280"/>
      <c r="Q17" s="280"/>
      <c r="R17" s="646" t="s">
        <v>361</v>
      </c>
      <c r="S17" s="752" t="s">
        <v>362</v>
      </c>
      <c r="T17" s="752"/>
      <c r="U17" s="752"/>
      <c r="V17" s="752"/>
      <c r="W17" s="752"/>
      <c r="X17" s="752"/>
      <c r="Y17" s="753"/>
      <c r="Z17" s="647" t="s">
        <v>363</v>
      </c>
      <c r="AA17" s="754" t="s">
        <v>364</v>
      </c>
      <c r="AB17" s="755"/>
      <c r="AC17" s="755"/>
      <c r="AD17" s="755"/>
      <c r="AE17" s="755"/>
      <c r="AF17" s="755"/>
      <c r="AG17" s="756"/>
    </row>
    <row r="18" spans="1:33" ht="45.75" customHeight="1">
      <c r="A18" s="303"/>
      <c r="B18" s="723"/>
      <c r="C18" s="724"/>
      <c r="D18" s="725"/>
      <c r="E18" s="278"/>
      <c r="F18" s="280"/>
      <c r="G18" s="280"/>
      <c r="H18" s="280"/>
      <c r="I18" s="280"/>
      <c r="J18" s="280"/>
      <c r="K18" s="280"/>
      <c r="L18" s="280"/>
      <c r="M18" s="280"/>
      <c r="N18" s="280"/>
      <c r="O18" s="280"/>
      <c r="P18" s="280"/>
      <c r="Q18" s="304"/>
      <c r="R18" s="646" t="s">
        <v>378</v>
      </c>
      <c r="S18" s="752" t="s">
        <v>380</v>
      </c>
      <c r="T18" s="752"/>
      <c r="U18" s="752"/>
      <c r="V18" s="752"/>
      <c r="W18" s="752"/>
      <c r="X18" s="752"/>
      <c r="Y18" s="753"/>
      <c r="Z18" s="647" t="s">
        <v>379</v>
      </c>
      <c r="AA18" s="754" t="s">
        <v>381</v>
      </c>
      <c r="AB18" s="755"/>
      <c r="AC18" s="755"/>
      <c r="AD18" s="755"/>
      <c r="AE18" s="755"/>
      <c r="AF18" s="755"/>
      <c r="AG18" s="756"/>
    </row>
    <row r="19" spans="1:33" ht="45.75" customHeight="1">
      <c r="A19" s="303"/>
      <c r="B19" s="723"/>
      <c r="C19" s="724"/>
      <c r="D19" s="725"/>
      <c r="E19" s="278"/>
      <c r="F19" s="280"/>
      <c r="G19" s="280"/>
      <c r="H19" s="280"/>
      <c r="I19" s="280"/>
      <c r="J19" s="280"/>
      <c r="K19" s="280"/>
      <c r="L19" s="280"/>
      <c r="M19" s="280"/>
      <c r="N19" s="280"/>
      <c r="O19" s="280"/>
      <c r="P19" s="280"/>
      <c r="Q19" s="304"/>
      <c r="R19" s="302"/>
      <c r="S19" s="742"/>
      <c r="T19" s="742"/>
      <c r="U19" s="742"/>
      <c r="V19" s="742"/>
      <c r="W19" s="742"/>
      <c r="X19" s="742"/>
      <c r="Y19" s="743"/>
      <c r="Z19" s="302"/>
      <c r="AA19" s="744"/>
      <c r="AB19" s="744"/>
      <c r="AC19" s="744"/>
      <c r="AD19" s="744"/>
      <c r="AE19" s="744"/>
      <c r="AF19" s="744"/>
      <c r="AG19" s="745"/>
    </row>
    <row r="20" spans="1:33" ht="45.75" customHeight="1">
      <c r="A20" s="305"/>
      <c r="B20" s="723"/>
      <c r="C20" s="724"/>
      <c r="D20" s="725"/>
      <c r="E20" s="278"/>
      <c r="F20" s="280"/>
      <c r="G20" s="280"/>
      <c r="H20" s="280"/>
      <c r="I20" s="280"/>
      <c r="J20" s="280"/>
      <c r="K20" s="280"/>
      <c r="L20" s="280"/>
      <c r="M20" s="280"/>
      <c r="N20" s="280"/>
      <c r="O20" s="280"/>
      <c r="P20" s="280"/>
      <c r="Q20" s="304"/>
      <c r="R20" s="302"/>
      <c r="S20" s="742"/>
      <c r="T20" s="742"/>
      <c r="U20" s="742"/>
      <c r="V20" s="742"/>
      <c r="W20" s="742"/>
      <c r="X20" s="742"/>
      <c r="Y20" s="743"/>
      <c r="Z20" s="302"/>
      <c r="AA20" s="744"/>
      <c r="AB20" s="744"/>
      <c r="AC20" s="744"/>
      <c r="AD20" s="744"/>
      <c r="AE20" s="744"/>
      <c r="AF20" s="744"/>
      <c r="AG20" s="745"/>
    </row>
    <row r="21" spans="1:33" ht="45.75" customHeight="1">
      <c r="A21" s="306"/>
      <c r="B21" s="723"/>
      <c r="C21" s="724"/>
      <c r="D21" s="725"/>
      <c r="E21" s="307"/>
      <c r="F21" s="281"/>
      <c r="G21" s="280"/>
      <c r="H21" s="280"/>
      <c r="I21" s="280"/>
      <c r="J21" s="280"/>
      <c r="K21" s="281"/>
      <c r="L21" s="281"/>
      <c r="M21" s="281"/>
      <c r="N21" s="281"/>
      <c r="O21" s="281"/>
      <c r="P21" s="281"/>
      <c r="Q21" s="308"/>
      <c r="R21" s="302"/>
      <c r="S21" s="742"/>
      <c r="T21" s="742"/>
      <c r="U21" s="742"/>
      <c r="V21" s="742"/>
      <c r="W21" s="742"/>
      <c r="X21" s="742"/>
      <c r="Y21" s="743"/>
      <c r="Z21" s="302"/>
      <c r="AA21" s="744"/>
      <c r="AB21" s="744"/>
      <c r="AC21" s="744"/>
      <c r="AD21" s="744"/>
      <c r="AE21" s="744"/>
      <c r="AF21" s="744"/>
      <c r="AG21" s="745"/>
    </row>
    <row r="22" spans="1:33" ht="45.75" customHeight="1">
      <c r="A22" s="309"/>
      <c r="B22" s="739"/>
      <c r="C22" s="740"/>
      <c r="D22" s="741"/>
      <c r="E22" s="307"/>
      <c r="F22" s="311"/>
      <c r="G22" s="282"/>
      <c r="H22" s="282"/>
      <c r="I22" s="282"/>
      <c r="J22" s="282"/>
      <c r="K22" s="282"/>
      <c r="L22" s="311"/>
      <c r="M22" s="311"/>
      <c r="N22" s="311"/>
      <c r="O22" s="311"/>
      <c r="P22" s="311"/>
      <c r="Q22" s="312"/>
      <c r="R22" s="302"/>
      <c r="S22" s="742"/>
      <c r="T22" s="742"/>
      <c r="U22" s="742"/>
      <c r="V22" s="742"/>
      <c r="W22" s="742"/>
      <c r="X22" s="742"/>
      <c r="Y22" s="743"/>
      <c r="Z22" s="302"/>
      <c r="AA22" s="744"/>
      <c r="AB22" s="744"/>
      <c r="AC22" s="744"/>
      <c r="AD22" s="744"/>
      <c r="AE22" s="744"/>
      <c r="AF22" s="744"/>
      <c r="AG22" s="745"/>
    </row>
    <row r="23" spans="1:33" ht="45.75" customHeight="1">
      <c r="A23" s="313"/>
      <c r="B23" s="739"/>
      <c r="C23" s="740"/>
      <c r="D23" s="741"/>
      <c r="E23" s="278"/>
      <c r="F23" s="281"/>
      <c r="G23" s="281"/>
      <c r="H23" s="281"/>
      <c r="I23" s="281"/>
      <c r="J23" s="281"/>
      <c r="K23" s="281"/>
      <c r="L23" s="281"/>
      <c r="M23" s="281"/>
      <c r="N23" s="281"/>
      <c r="O23" s="281"/>
      <c r="P23" s="281"/>
      <c r="Q23" s="308"/>
      <c r="R23" s="314"/>
      <c r="S23" s="742"/>
      <c r="T23" s="742"/>
      <c r="U23" s="742"/>
      <c r="V23" s="742"/>
      <c r="W23" s="742"/>
      <c r="X23" s="742"/>
      <c r="Y23" s="743"/>
      <c r="Z23" s="314"/>
      <c r="AA23" s="744"/>
      <c r="AB23" s="744"/>
      <c r="AC23" s="744"/>
      <c r="AD23" s="744"/>
      <c r="AE23" s="744"/>
      <c r="AF23" s="744"/>
      <c r="AG23" s="745"/>
    </row>
    <row r="24" spans="1:33" ht="45.75" customHeight="1">
      <c r="A24" s="303"/>
      <c r="B24" s="739"/>
      <c r="C24" s="740"/>
      <c r="D24" s="741"/>
      <c r="E24" s="307"/>
      <c r="F24" s="281"/>
      <c r="G24" s="281"/>
      <c r="H24" s="281"/>
      <c r="I24" s="281"/>
      <c r="J24" s="281"/>
      <c r="K24" s="281"/>
      <c r="L24" s="281"/>
      <c r="M24" s="281"/>
      <c r="N24" s="281"/>
      <c r="O24" s="281"/>
      <c r="P24" s="281"/>
      <c r="Q24" s="308"/>
      <c r="R24" s="314"/>
      <c r="S24" s="742"/>
      <c r="T24" s="742"/>
      <c r="U24" s="742"/>
      <c r="V24" s="742"/>
      <c r="W24" s="742"/>
      <c r="X24" s="742"/>
      <c r="Y24" s="743"/>
      <c r="Z24" s="314"/>
      <c r="AA24" s="744"/>
      <c r="AB24" s="744"/>
      <c r="AC24" s="744"/>
      <c r="AD24" s="744"/>
      <c r="AE24" s="744"/>
      <c r="AF24" s="744"/>
      <c r="AG24" s="745"/>
    </row>
    <row r="25" spans="1:33" ht="45.75" customHeight="1" thickBot="1">
      <c r="A25" s="315"/>
      <c r="B25" s="746"/>
      <c r="C25" s="747"/>
      <c r="D25" s="748"/>
      <c r="E25" s="316"/>
      <c r="F25" s="317"/>
      <c r="G25" s="317"/>
      <c r="H25" s="317"/>
      <c r="I25" s="317"/>
      <c r="J25" s="317"/>
      <c r="K25" s="317"/>
      <c r="L25" s="317"/>
      <c r="M25" s="317"/>
      <c r="N25" s="317"/>
      <c r="O25" s="317"/>
      <c r="P25" s="317"/>
      <c r="Q25" s="318"/>
      <c r="R25" s="319"/>
      <c r="S25" s="749"/>
      <c r="T25" s="749"/>
      <c r="U25" s="749"/>
      <c r="V25" s="749"/>
      <c r="W25" s="749"/>
      <c r="X25" s="749"/>
      <c r="Y25" s="750"/>
      <c r="Z25" s="319"/>
      <c r="AA25" s="750"/>
      <c r="AB25" s="750"/>
      <c r="AC25" s="750"/>
      <c r="AD25" s="750"/>
      <c r="AE25" s="750"/>
      <c r="AF25" s="750"/>
      <c r="AG25" s="751"/>
    </row>
    <row r="26" spans="1:33" ht="24.65" customHeight="1">
      <c r="A26" s="736"/>
      <c r="B26" s="737"/>
      <c r="C26" s="737"/>
      <c r="D26" s="737"/>
      <c r="E26" s="734"/>
      <c r="F26" s="734"/>
      <c r="G26" s="730"/>
      <c r="H26" s="730"/>
      <c r="I26" s="730"/>
      <c r="J26" s="730"/>
      <c r="K26" s="730"/>
      <c r="L26" s="730"/>
      <c r="M26" s="730"/>
      <c r="N26" s="730"/>
      <c r="O26" s="730"/>
      <c r="P26" s="730"/>
      <c r="Q26" s="730"/>
      <c r="R26" s="733"/>
      <c r="S26" s="728"/>
      <c r="T26" s="728"/>
      <c r="U26" s="728"/>
      <c r="V26" s="728"/>
      <c r="W26" s="728"/>
      <c r="X26" s="728"/>
      <c r="Y26" s="728"/>
      <c r="Z26" s="733"/>
      <c r="AA26" s="728"/>
      <c r="AB26" s="728"/>
      <c r="AC26" s="728"/>
      <c r="AD26" s="728"/>
      <c r="AE26" s="728"/>
      <c r="AF26" s="728"/>
      <c r="AG26" s="729"/>
    </row>
    <row r="27" spans="1:33" ht="24.65" customHeight="1">
      <c r="A27" s="736"/>
      <c r="B27" s="737"/>
      <c r="C27" s="737"/>
      <c r="D27" s="737"/>
      <c r="E27" s="734"/>
      <c r="F27" s="734"/>
      <c r="G27" s="730"/>
      <c r="H27" s="730"/>
      <c r="I27" s="730"/>
      <c r="J27" s="730"/>
      <c r="K27" s="730"/>
      <c r="L27" s="730"/>
      <c r="M27" s="730"/>
      <c r="N27" s="730"/>
      <c r="O27" s="730"/>
      <c r="P27" s="730"/>
      <c r="Q27" s="730"/>
      <c r="R27" s="733"/>
      <c r="S27" s="728"/>
      <c r="T27" s="728"/>
      <c r="U27" s="728"/>
      <c r="V27" s="728"/>
      <c r="W27" s="728"/>
      <c r="X27" s="728"/>
      <c r="Y27" s="728"/>
      <c r="Z27" s="733"/>
      <c r="AA27" s="728"/>
      <c r="AB27" s="728"/>
      <c r="AC27" s="728"/>
      <c r="AD27" s="728"/>
      <c r="AE27" s="728"/>
      <c r="AF27" s="728"/>
      <c r="AG27" s="729"/>
    </row>
    <row r="28" spans="1:33" ht="24.65" customHeight="1">
      <c r="A28" s="736"/>
      <c r="B28" s="737"/>
      <c r="C28" s="737"/>
      <c r="D28" s="737"/>
      <c r="E28" s="734"/>
      <c r="F28" s="730"/>
      <c r="G28" s="730"/>
      <c r="H28" s="730"/>
      <c r="I28" s="730"/>
      <c r="J28" s="730"/>
      <c r="K28" s="730"/>
      <c r="L28" s="730"/>
      <c r="M28" s="730"/>
      <c r="N28" s="730"/>
      <c r="O28" s="730"/>
      <c r="P28" s="730"/>
      <c r="Q28" s="730"/>
      <c r="R28" s="733"/>
      <c r="S28" s="728"/>
      <c r="T28" s="728"/>
      <c r="U28" s="728"/>
      <c r="V28" s="728"/>
      <c r="W28" s="728"/>
      <c r="X28" s="728"/>
      <c r="Y28" s="728"/>
      <c r="Z28" s="733"/>
      <c r="AA28" s="728"/>
      <c r="AB28" s="728"/>
      <c r="AC28" s="728"/>
      <c r="AD28" s="728"/>
      <c r="AE28" s="728"/>
      <c r="AF28" s="728"/>
      <c r="AG28" s="729"/>
    </row>
    <row r="29" spans="1:33" ht="24.65" customHeight="1">
      <c r="A29" s="736"/>
      <c r="B29" s="737"/>
      <c r="C29" s="737"/>
      <c r="D29" s="737"/>
      <c r="E29" s="734"/>
      <c r="F29" s="730"/>
      <c r="G29" s="730"/>
      <c r="H29" s="730"/>
      <c r="I29" s="730"/>
      <c r="J29" s="730"/>
      <c r="K29" s="730"/>
      <c r="L29" s="730"/>
      <c r="M29" s="730"/>
      <c r="N29" s="730"/>
      <c r="O29" s="730"/>
      <c r="P29" s="730"/>
      <c r="Q29" s="730"/>
      <c r="R29" s="733"/>
      <c r="S29" s="728"/>
      <c r="T29" s="728"/>
      <c r="U29" s="728"/>
      <c r="V29" s="728"/>
      <c r="W29" s="728"/>
      <c r="X29" s="728"/>
      <c r="Y29" s="728"/>
      <c r="Z29" s="733"/>
      <c r="AA29" s="728"/>
      <c r="AB29" s="728"/>
      <c r="AC29" s="728"/>
      <c r="AD29" s="728"/>
      <c r="AE29" s="728"/>
      <c r="AF29" s="728"/>
      <c r="AG29" s="729"/>
    </row>
    <row r="30" spans="1:33" ht="24.65" customHeight="1">
      <c r="A30" s="736"/>
      <c r="B30" s="737"/>
      <c r="C30" s="737"/>
      <c r="D30" s="737"/>
      <c r="E30" s="734"/>
      <c r="F30" s="730"/>
      <c r="G30" s="730"/>
      <c r="H30" s="730"/>
      <c r="I30" s="730"/>
      <c r="J30" s="730"/>
      <c r="K30" s="730"/>
      <c r="L30" s="730"/>
      <c r="M30" s="730"/>
      <c r="N30" s="730"/>
      <c r="O30" s="730"/>
      <c r="P30" s="730"/>
      <c r="Q30" s="730"/>
      <c r="R30" s="732"/>
      <c r="S30" s="728"/>
      <c r="T30" s="728"/>
      <c r="U30" s="728"/>
      <c r="V30" s="728"/>
      <c r="W30" s="728"/>
      <c r="X30" s="728"/>
      <c r="Y30" s="728"/>
      <c r="Z30" s="733"/>
      <c r="AA30" s="728"/>
      <c r="AB30" s="728"/>
      <c r="AC30" s="728"/>
      <c r="AD30" s="728"/>
      <c r="AE30" s="728"/>
      <c r="AF30" s="728"/>
      <c r="AG30" s="729"/>
    </row>
    <row r="31" spans="1:33" ht="24.65" customHeight="1">
      <c r="A31" s="736"/>
      <c r="B31" s="737"/>
      <c r="C31" s="737"/>
      <c r="D31" s="737"/>
      <c r="E31" s="734"/>
      <c r="F31" s="730"/>
      <c r="G31" s="730"/>
      <c r="H31" s="730"/>
      <c r="I31" s="730"/>
      <c r="J31" s="730"/>
      <c r="K31" s="730"/>
      <c r="L31" s="730"/>
      <c r="M31" s="730"/>
      <c r="N31" s="730"/>
      <c r="O31" s="730"/>
      <c r="P31" s="730"/>
      <c r="Q31" s="730"/>
      <c r="R31" s="732"/>
      <c r="S31" s="728"/>
      <c r="T31" s="728"/>
      <c r="U31" s="728"/>
      <c r="V31" s="728"/>
      <c r="W31" s="728"/>
      <c r="X31" s="728"/>
      <c r="Y31" s="728"/>
      <c r="Z31" s="733"/>
      <c r="AA31" s="728"/>
      <c r="AB31" s="728"/>
      <c r="AC31" s="728"/>
      <c r="AD31" s="728"/>
      <c r="AE31" s="728"/>
      <c r="AF31" s="728"/>
      <c r="AG31" s="729"/>
    </row>
    <row r="32" spans="1:33" ht="24.65" customHeight="1">
      <c r="A32" s="736"/>
      <c r="B32" s="737"/>
      <c r="C32" s="737"/>
      <c r="D32" s="737"/>
      <c r="E32" s="734"/>
      <c r="F32" s="734"/>
      <c r="G32" s="730"/>
      <c r="H32" s="730"/>
      <c r="I32" s="730"/>
      <c r="J32" s="730"/>
      <c r="K32" s="730"/>
      <c r="L32" s="730"/>
      <c r="M32" s="730"/>
      <c r="N32" s="730"/>
      <c r="O32" s="730"/>
      <c r="P32" s="730"/>
      <c r="Q32" s="730"/>
      <c r="R32" s="733"/>
      <c r="S32" s="728"/>
      <c r="T32" s="728"/>
      <c r="U32" s="728"/>
      <c r="V32" s="728"/>
      <c r="W32" s="728"/>
      <c r="X32" s="728"/>
      <c r="Y32" s="728"/>
      <c r="Z32" s="733"/>
      <c r="AA32" s="728"/>
      <c r="AB32" s="728"/>
      <c r="AC32" s="728"/>
      <c r="AD32" s="728"/>
      <c r="AE32" s="728"/>
      <c r="AF32" s="728"/>
      <c r="AG32" s="729"/>
    </row>
    <row r="33" spans="1:48" ht="24.65" customHeight="1">
      <c r="A33" s="736"/>
      <c r="B33" s="737"/>
      <c r="C33" s="737"/>
      <c r="D33" s="737"/>
      <c r="E33" s="734"/>
      <c r="F33" s="734"/>
      <c r="G33" s="730"/>
      <c r="H33" s="730"/>
      <c r="I33" s="730"/>
      <c r="J33" s="730"/>
      <c r="K33" s="730"/>
      <c r="L33" s="730"/>
      <c r="M33" s="730"/>
      <c r="N33" s="730"/>
      <c r="O33" s="730"/>
      <c r="P33" s="730"/>
      <c r="Q33" s="730"/>
      <c r="R33" s="733"/>
      <c r="S33" s="728"/>
      <c r="T33" s="728"/>
      <c r="U33" s="728"/>
      <c r="V33" s="728"/>
      <c r="W33" s="728"/>
      <c r="X33" s="728"/>
      <c r="Y33" s="728"/>
      <c r="Z33" s="733"/>
      <c r="AA33" s="728"/>
      <c r="AB33" s="728"/>
      <c r="AC33" s="728"/>
      <c r="AD33" s="728"/>
      <c r="AE33" s="728"/>
      <c r="AF33" s="728"/>
      <c r="AG33" s="729"/>
    </row>
    <row r="34" spans="1:48" ht="24.65" customHeight="1">
      <c r="A34" s="736"/>
      <c r="B34" s="737"/>
      <c r="C34" s="737"/>
      <c r="D34" s="737"/>
      <c r="E34" s="734"/>
      <c r="F34" s="734"/>
      <c r="G34" s="730"/>
      <c r="H34" s="730"/>
      <c r="I34" s="730"/>
      <c r="J34" s="730"/>
      <c r="K34" s="730"/>
      <c r="L34" s="730"/>
      <c r="M34" s="730"/>
      <c r="N34" s="730"/>
      <c r="O34" s="730"/>
      <c r="P34" s="730"/>
      <c r="Q34" s="730"/>
      <c r="R34" s="732"/>
      <c r="S34" s="728"/>
      <c r="T34" s="728"/>
      <c r="U34" s="728"/>
      <c r="V34" s="728"/>
      <c r="W34" s="728"/>
      <c r="X34" s="728"/>
      <c r="Y34" s="728"/>
      <c r="Z34" s="733"/>
      <c r="AA34" s="728"/>
      <c r="AB34" s="728"/>
      <c r="AC34" s="728"/>
      <c r="AD34" s="728"/>
      <c r="AE34" s="728"/>
      <c r="AF34" s="728"/>
      <c r="AG34" s="729"/>
    </row>
    <row r="35" spans="1:48" ht="24.65" customHeight="1">
      <c r="A35" s="736"/>
      <c r="B35" s="737"/>
      <c r="C35" s="737"/>
      <c r="D35" s="737"/>
      <c r="E35" s="734"/>
      <c r="F35" s="734"/>
      <c r="G35" s="730"/>
      <c r="H35" s="730"/>
      <c r="I35" s="730"/>
      <c r="J35" s="730"/>
      <c r="K35" s="730"/>
      <c r="L35" s="730"/>
      <c r="M35" s="730"/>
      <c r="N35" s="730"/>
      <c r="O35" s="730"/>
      <c r="P35" s="730"/>
      <c r="Q35" s="730"/>
      <c r="R35" s="732"/>
      <c r="S35" s="728"/>
      <c r="T35" s="728"/>
      <c r="U35" s="728"/>
      <c r="V35" s="728"/>
      <c r="W35" s="728"/>
      <c r="X35" s="728"/>
      <c r="Y35" s="728"/>
      <c r="Z35" s="733"/>
      <c r="AA35" s="728"/>
      <c r="AB35" s="728"/>
      <c r="AC35" s="728"/>
      <c r="AD35" s="728"/>
      <c r="AE35" s="728"/>
      <c r="AF35" s="728"/>
      <c r="AG35" s="729"/>
    </row>
    <row r="36" spans="1:48" ht="24.65" customHeight="1">
      <c r="A36" s="320"/>
      <c r="B36" s="594"/>
      <c r="C36" s="594"/>
      <c r="D36" s="594"/>
      <c r="E36" s="599"/>
      <c r="F36" s="321"/>
      <c r="G36" s="322"/>
      <c r="H36" s="322"/>
      <c r="I36" s="322"/>
      <c r="J36" s="322"/>
      <c r="K36" s="322"/>
      <c r="L36" s="322"/>
      <c r="M36" s="322"/>
      <c r="N36" s="322"/>
      <c r="O36" s="322"/>
      <c r="P36" s="322"/>
      <c r="Q36" s="322"/>
      <c r="R36" s="595"/>
      <c r="S36" s="593"/>
      <c r="T36" s="593"/>
      <c r="U36" s="593"/>
      <c r="V36" s="593"/>
      <c r="W36" s="593"/>
      <c r="X36" s="593"/>
      <c r="Y36" s="321"/>
      <c r="Z36" s="327"/>
      <c r="AA36" s="328"/>
      <c r="AB36" s="328"/>
      <c r="AC36" s="328"/>
      <c r="AD36" s="328"/>
      <c r="AE36" s="328"/>
      <c r="AF36" s="328"/>
      <c r="AG36" s="329"/>
    </row>
    <row r="37" spans="1:48" ht="24.65" customHeight="1">
      <c r="A37" s="736"/>
      <c r="B37" s="737"/>
      <c r="C37" s="737"/>
      <c r="D37" s="737"/>
      <c r="E37" s="738"/>
      <c r="F37" s="734"/>
      <c r="G37" s="730"/>
      <c r="H37" s="730"/>
      <c r="I37" s="730"/>
      <c r="J37" s="730"/>
      <c r="K37" s="730"/>
      <c r="L37" s="730"/>
      <c r="M37" s="730"/>
      <c r="N37" s="730"/>
      <c r="O37" s="730"/>
      <c r="P37" s="730"/>
      <c r="Q37" s="730"/>
      <c r="R37" s="732"/>
      <c r="S37" s="728"/>
      <c r="T37" s="728"/>
      <c r="U37" s="728"/>
      <c r="V37" s="728"/>
      <c r="W37" s="728"/>
      <c r="X37" s="728"/>
      <c r="Y37" s="734"/>
      <c r="Z37" s="735"/>
      <c r="AA37" s="726"/>
      <c r="AB37" s="726"/>
      <c r="AC37" s="726"/>
      <c r="AD37" s="726"/>
      <c r="AE37" s="726"/>
      <c r="AF37" s="726"/>
      <c r="AG37" s="731"/>
    </row>
    <row r="38" spans="1:48" ht="24.65" customHeight="1">
      <c r="A38" s="736"/>
      <c r="B38" s="737"/>
      <c r="C38" s="737"/>
      <c r="D38" s="737"/>
      <c r="E38" s="738"/>
      <c r="F38" s="734"/>
      <c r="G38" s="730"/>
      <c r="H38" s="730"/>
      <c r="I38" s="730"/>
      <c r="J38" s="730"/>
      <c r="K38" s="730"/>
      <c r="L38" s="730"/>
      <c r="M38" s="730"/>
      <c r="N38" s="730"/>
      <c r="O38" s="730"/>
      <c r="P38" s="730"/>
      <c r="Q38" s="730"/>
      <c r="R38" s="732"/>
      <c r="S38" s="728"/>
      <c r="T38" s="728"/>
      <c r="U38" s="728"/>
      <c r="V38" s="728"/>
      <c r="W38" s="728"/>
      <c r="X38" s="728"/>
      <c r="Y38" s="734"/>
      <c r="Z38" s="735"/>
      <c r="AA38" s="726"/>
      <c r="AB38" s="726"/>
      <c r="AC38" s="726"/>
      <c r="AD38" s="726"/>
      <c r="AE38" s="726"/>
      <c r="AF38" s="726"/>
      <c r="AG38" s="731"/>
    </row>
    <row r="39" spans="1:48" ht="24.65" customHeight="1">
      <c r="A39" s="330"/>
      <c r="B39" s="323"/>
      <c r="C39" s="323"/>
      <c r="D39" s="323"/>
      <c r="E39" s="324"/>
      <c r="F39" s="325"/>
      <c r="G39" s="326"/>
      <c r="H39" s="326"/>
      <c r="I39" s="326"/>
      <c r="J39" s="326"/>
      <c r="K39" s="326"/>
      <c r="L39" s="326"/>
      <c r="M39" s="326"/>
      <c r="N39" s="326"/>
      <c r="O39" s="326"/>
      <c r="P39" s="326"/>
      <c r="Q39" s="326"/>
      <c r="R39" s="327"/>
      <c r="S39" s="328"/>
      <c r="T39" s="328"/>
      <c r="U39" s="328"/>
      <c r="V39" s="328"/>
      <c r="W39" s="328"/>
      <c r="X39" s="328"/>
      <c r="Y39" s="325"/>
      <c r="Z39" s="327"/>
      <c r="AA39" s="328"/>
      <c r="AB39" s="328"/>
      <c r="AC39" s="328"/>
      <c r="AD39" s="328"/>
      <c r="AE39" s="328"/>
      <c r="AF39" s="328"/>
      <c r="AG39" s="329"/>
      <c r="AK39" s="331"/>
      <c r="AL39" s="331"/>
      <c r="AM39" s="331"/>
      <c r="AN39" s="331"/>
      <c r="AO39" s="331"/>
      <c r="AP39" s="331"/>
      <c r="AQ39" s="331"/>
      <c r="AR39" s="331"/>
      <c r="AS39" s="331"/>
      <c r="AT39" s="331"/>
      <c r="AU39" s="331"/>
      <c r="AV39" s="331"/>
    </row>
    <row r="40" spans="1:48" ht="24.65" customHeight="1">
      <c r="A40" s="330"/>
      <c r="B40" s="323"/>
      <c r="C40" s="323"/>
      <c r="D40" s="323"/>
      <c r="E40" s="324"/>
      <c r="F40" s="325"/>
      <c r="G40" s="326"/>
      <c r="H40" s="326"/>
      <c r="I40" s="326"/>
      <c r="J40" s="326"/>
      <c r="K40" s="326"/>
      <c r="L40" s="326"/>
      <c r="M40" s="326"/>
      <c r="N40" s="326"/>
      <c r="O40" s="326"/>
      <c r="P40" s="326"/>
      <c r="Q40" s="326"/>
      <c r="R40" s="327"/>
      <c r="S40" s="328"/>
      <c r="T40" s="328"/>
      <c r="U40" s="328"/>
      <c r="V40" s="328"/>
      <c r="W40" s="328"/>
      <c r="X40" s="328"/>
      <c r="Y40" s="325"/>
      <c r="Z40" s="327"/>
      <c r="AA40" s="328"/>
      <c r="AB40" s="328"/>
      <c r="AC40" s="328"/>
      <c r="AD40" s="328"/>
      <c r="AE40" s="328"/>
      <c r="AF40" s="328"/>
      <c r="AG40" s="329"/>
    </row>
    <row r="41" spans="1:48" ht="24.65" customHeight="1">
      <c r="A41" s="330"/>
      <c r="B41" s="323"/>
      <c r="C41" s="323"/>
      <c r="D41" s="323"/>
      <c r="E41" s="324"/>
      <c r="F41" s="325"/>
      <c r="G41" s="326"/>
      <c r="H41" s="326"/>
      <c r="I41" s="326"/>
      <c r="J41" s="326"/>
      <c r="K41" s="326"/>
      <c r="L41" s="326"/>
      <c r="M41" s="326"/>
      <c r="N41" s="326"/>
      <c r="O41" s="326"/>
      <c r="P41" s="326"/>
      <c r="Q41" s="326"/>
      <c r="R41" s="327"/>
      <c r="S41" s="328"/>
      <c r="T41" s="328"/>
      <c r="U41" s="328"/>
      <c r="V41" s="328"/>
      <c r="W41" s="328"/>
      <c r="X41" s="328"/>
      <c r="Y41" s="325"/>
      <c r="Z41" s="327"/>
      <c r="AA41" s="328"/>
      <c r="AB41" s="328"/>
      <c r="AC41" s="328"/>
      <c r="AD41" s="328"/>
      <c r="AE41" s="328"/>
      <c r="AF41" s="328"/>
      <c r="AG41" s="329"/>
      <c r="AJ41" s="331"/>
      <c r="AK41" s="331"/>
      <c r="AL41" s="331"/>
      <c r="AM41" s="331"/>
      <c r="AN41" s="331"/>
      <c r="AO41" s="331"/>
      <c r="AP41" s="331"/>
      <c r="AQ41" s="331"/>
      <c r="AR41" s="331"/>
      <c r="AS41" s="331"/>
      <c r="AT41" s="331"/>
      <c r="AU41" s="331"/>
      <c r="AV41" s="331"/>
    </row>
    <row r="42" spans="1:48" ht="24.65" customHeight="1">
      <c r="A42" s="330"/>
      <c r="B42" s="323"/>
      <c r="C42" s="323"/>
      <c r="D42" s="323"/>
      <c r="E42" s="324"/>
      <c r="F42" s="325"/>
      <c r="G42" s="326"/>
      <c r="H42" s="326"/>
      <c r="I42" s="326"/>
      <c r="J42" s="326"/>
      <c r="K42" s="326"/>
      <c r="L42" s="326"/>
      <c r="M42" s="326"/>
      <c r="N42" s="326"/>
      <c r="O42" s="326"/>
      <c r="P42" s="326"/>
      <c r="Q42" s="326"/>
      <c r="R42" s="327"/>
      <c r="S42" s="328"/>
      <c r="T42" s="328"/>
      <c r="U42" s="328"/>
      <c r="V42" s="328"/>
      <c r="W42" s="328"/>
      <c r="X42" s="328"/>
      <c r="Y42" s="325"/>
      <c r="Z42" s="327"/>
      <c r="AA42" s="328"/>
      <c r="AB42" s="328"/>
      <c r="AC42" s="328"/>
      <c r="AD42" s="328"/>
      <c r="AE42" s="328"/>
      <c r="AF42" s="328"/>
      <c r="AG42" s="329"/>
      <c r="AK42" s="371"/>
      <c r="AL42" s="371"/>
      <c r="AM42" s="371"/>
      <c r="AN42" s="371"/>
      <c r="AO42" s="371"/>
      <c r="AP42" s="371"/>
      <c r="AQ42" s="371"/>
      <c r="AR42" s="371"/>
      <c r="AS42" s="371"/>
      <c r="AT42" s="371"/>
      <c r="AU42" s="371"/>
      <c r="AV42" s="371"/>
    </row>
    <row r="43" spans="1:48" ht="24.65" customHeight="1">
      <c r="A43" s="330"/>
      <c r="B43" s="323"/>
      <c r="C43" s="323"/>
      <c r="D43" s="323"/>
      <c r="E43" s="324"/>
      <c r="F43" s="325"/>
      <c r="G43" s="326"/>
      <c r="H43" s="326"/>
      <c r="I43" s="326"/>
      <c r="J43" s="326"/>
      <c r="K43" s="326"/>
      <c r="L43" s="326"/>
      <c r="M43" s="326"/>
      <c r="N43" s="326"/>
      <c r="O43" s="326"/>
      <c r="P43" s="326"/>
      <c r="Q43" s="326"/>
      <c r="R43" s="327"/>
      <c r="S43" s="328"/>
      <c r="T43" s="328"/>
      <c r="U43" s="328"/>
      <c r="V43" s="328"/>
      <c r="W43" s="328"/>
      <c r="X43" s="328"/>
      <c r="Y43" s="325"/>
      <c r="Z43" s="327"/>
      <c r="AA43" s="328"/>
      <c r="AB43" s="328"/>
      <c r="AC43" s="328"/>
      <c r="AD43" s="328"/>
      <c r="AE43" s="328"/>
      <c r="AF43" s="328"/>
      <c r="AG43" s="329"/>
    </row>
    <row r="44" spans="1:48" ht="24.65" customHeight="1">
      <c r="A44" s="330"/>
      <c r="B44" s="323"/>
      <c r="C44" s="323"/>
      <c r="D44" s="323"/>
      <c r="E44" s="324"/>
      <c r="F44" s="325"/>
      <c r="G44" s="326"/>
      <c r="H44" s="326"/>
      <c r="I44" s="326"/>
      <c r="J44" s="326"/>
      <c r="K44" s="326"/>
      <c r="L44" s="326"/>
      <c r="M44" s="326"/>
      <c r="N44" s="326"/>
      <c r="O44" s="326"/>
      <c r="P44" s="326"/>
      <c r="Q44" s="326"/>
      <c r="R44" s="327"/>
      <c r="S44" s="328"/>
      <c r="T44" s="328"/>
      <c r="U44" s="328"/>
      <c r="V44" s="328"/>
      <c r="W44" s="328"/>
      <c r="X44" s="328"/>
      <c r="Y44" s="325"/>
      <c r="Z44" s="327"/>
      <c r="AA44" s="328"/>
      <c r="AB44" s="328"/>
      <c r="AC44" s="328"/>
      <c r="AD44" s="328"/>
      <c r="AE44" s="328"/>
      <c r="AF44" s="328"/>
      <c r="AG44" s="329"/>
    </row>
    <row r="45" spans="1:48" ht="24.65" customHeight="1">
      <c r="A45" s="330"/>
      <c r="B45" s="323"/>
      <c r="C45" s="323"/>
      <c r="D45" s="323"/>
      <c r="E45" s="324"/>
      <c r="F45" s="325"/>
      <c r="G45" s="326"/>
      <c r="H45" s="326"/>
      <c r="I45" s="326"/>
      <c r="J45" s="326"/>
      <c r="K45" s="326"/>
      <c r="L45" s="326"/>
      <c r="M45" s="326"/>
      <c r="N45" s="326"/>
      <c r="O45" s="326"/>
      <c r="P45" s="326"/>
      <c r="Q45" s="326"/>
      <c r="R45" s="327"/>
      <c r="S45" s="328"/>
      <c r="T45" s="328"/>
      <c r="U45" s="328"/>
      <c r="V45" s="328"/>
      <c r="W45" s="328"/>
      <c r="X45" s="328"/>
      <c r="Y45" s="325"/>
      <c r="Z45" s="327"/>
      <c r="AA45" s="328"/>
      <c r="AB45" s="328"/>
      <c r="AC45" s="328"/>
      <c r="AD45" s="328"/>
      <c r="AE45" s="328"/>
      <c r="AF45" s="328"/>
      <c r="AG45" s="329"/>
    </row>
    <row r="46" spans="1:48" ht="24.65" customHeight="1">
      <c r="A46" s="330"/>
      <c r="B46" s="323"/>
      <c r="C46" s="323"/>
      <c r="D46" s="323"/>
      <c r="E46" s="324"/>
      <c r="F46" s="325"/>
      <c r="G46" s="326"/>
      <c r="H46" s="326"/>
      <c r="I46" s="326"/>
      <c r="J46" s="326"/>
      <c r="K46" s="326"/>
      <c r="L46" s="326"/>
      <c r="M46" s="326"/>
      <c r="N46" s="326"/>
      <c r="O46" s="326"/>
      <c r="P46" s="326"/>
      <c r="Q46" s="326"/>
      <c r="R46" s="327"/>
      <c r="S46" s="328"/>
      <c r="T46" s="328"/>
      <c r="U46" s="328"/>
      <c r="V46" s="328"/>
      <c r="W46" s="328"/>
      <c r="X46" s="328"/>
      <c r="Y46" s="325"/>
      <c r="Z46" s="327"/>
      <c r="AA46" s="328"/>
      <c r="AB46" s="328"/>
      <c r="AC46" s="328"/>
      <c r="AD46" s="328"/>
      <c r="AE46" s="328"/>
      <c r="AF46" s="328"/>
      <c r="AG46" s="329"/>
      <c r="AK46" s="331"/>
      <c r="AL46" s="331"/>
      <c r="AM46" s="331"/>
      <c r="AN46" s="331"/>
      <c r="AO46" s="331"/>
      <c r="AP46" s="331"/>
      <c r="AQ46" s="331"/>
      <c r="AR46" s="331"/>
      <c r="AS46" s="331"/>
      <c r="AT46" s="331"/>
      <c r="AU46" s="331"/>
    </row>
    <row r="47" spans="1:48" ht="24.65" customHeight="1">
      <c r="A47" s="330"/>
      <c r="B47" s="323"/>
      <c r="C47" s="323"/>
      <c r="D47" s="323"/>
      <c r="E47" s="324"/>
      <c r="F47" s="325"/>
      <c r="G47" s="326"/>
      <c r="H47" s="326"/>
      <c r="I47" s="326"/>
      <c r="J47" s="326"/>
      <c r="K47" s="326"/>
      <c r="L47" s="326"/>
      <c r="M47" s="326"/>
      <c r="N47" s="326"/>
      <c r="O47" s="326"/>
      <c r="P47" s="326"/>
      <c r="Q47" s="326"/>
      <c r="R47" s="327"/>
      <c r="S47" s="328"/>
      <c r="T47" s="328"/>
      <c r="U47" s="328"/>
      <c r="V47" s="328"/>
      <c r="W47" s="328"/>
      <c r="X47" s="328"/>
      <c r="Y47" s="325"/>
      <c r="Z47" s="327"/>
      <c r="AA47" s="328"/>
      <c r="AB47" s="328"/>
      <c r="AC47" s="328"/>
      <c r="AD47" s="328"/>
      <c r="AE47" s="328"/>
      <c r="AF47" s="328"/>
      <c r="AG47" s="329"/>
    </row>
    <row r="48" spans="1:48" ht="24.65" customHeight="1">
      <c r="A48" s="330"/>
      <c r="B48" s="323"/>
      <c r="C48" s="323"/>
      <c r="D48" s="323"/>
      <c r="E48" s="324"/>
      <c r="F48" s="325"/>
      <c r="G48" s="326"/>
      <c r="H48" s="326"/>
      <c r="I48" s="326"/>
      <c r="J48" s="326"/>
      <c r="K48" s="326"/>
      <c r="L48" s="326"/>
      <c r="M48" s="326"/>
      <c r="N48" s="326"/>
      <c r="O48" s="326"/>
      <c r="P48" s="326"/>
      <c r="Q48" s="326"/>
      <c r="R48" s="327"/>
      <c r="S48" s="328"/>
      <c r="T48" s="328"/>
      <c r="U48" s="328"/>
      <c r="V48" s="328"/>
      <c r="W48" s="328"/>
      <c r="X48" s="328"/>
      <c r="Y48" s="325"/>
      <c r="Z48" s="327"/>
      <c r="AA48" s="328"/>
      <c r="AB48" s="328"/>
      <c r="AC48" s="328"/>
      <c r="AD48" s="328"/>
      <c r="AE48" s="328"/>
      <c r="AF48" s="328"/>
      <c r="AG48" s="329"/>
    </row>
    <row r="49" spans="1:48" ht="24.65" customHeight="1">
      <c r="A49" s="330"/>
      <c r="B49" s="727"/>
      <c r="C49" s="727"/>
      <c r="D49" s="727"/>
      <c r="E49" s="324"/>
      <c r="F49" s="325"/>
      <c r="G49" s="326"/>
      <c r="H49" s="326"/>
      <c r="I49" s="326"/>
      <c r="J49" s="326"/>
      <c r="K49" s="326"/>
      <c r="L49" s="326"/>
      <c r="M49" s="326"/>
      <c r="N49" s="326"/>
      <c r="O49" s="326"/>
      <c r="P49" s="326"/>
      <c r="Q49" s="326"/>
      <c r="R49" s="327"/>
      <c r="S49" s="726"/>
      <c r="T49" s="726"/>
      <c r="U49" s="726"/>
      <c r="V49" s="726"/>
      <c r="W49" s="726"/>
      <c r="X49" s="726"/>
      <c r="Y49" s="325"/>
      <c r="Z49" s="327"/>
      <c r="AA49" s="332"/>
      <c r="AB49" s="332"/>
      <c r="AC49" s="332"/>
      <c r="AD49" s="332"/>
      <c r="AE49" s="332"/>
      <c r="AF49" s="332"/>
      <c r="AG49" s="333"/>
      <c r="AJ49" s="331"/>
      <c r="AK49" s="331"/>
      <c r="AL49" s="331"/>
      <c r="AM49" s="331"/>
      <c r="AN49" s="331"/>
      <c r="AO49" s="331"/>
      <c r="AP49" s="331"/>
      <c r="AQ49" s="331"/>
      <c r="AR49" s="331"/>
      <c r="AS49" s="331"/>
      <c r="AT49" s="331"/>
      <c r="AU49" s="331"/>
    </row>
    <row r="50" spans="1:48" ht="16" thickBot="1">
      <c r="A50" s="334"/>
      <c r="B50" s="335"/>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35"/>
      <c r="AB50" s="335"/>
      <c r="AC50" s="335"/>
      <c r="AD50" s="335"/>
      <c r="AE50" s="335"/>
      <c r="AF50" s="335"/>
      <c r="AG50" s="336"/>
    </row>
    <row r="51" spans="1:48" ht="16" thickBot="1">
      <c r="AI51" s="337"/>
      <c r="AJ51" s="294" t="s">
        <v>95</v>
      </c>
    </row>
    <row r="52" spans="1:48">
      <c r="AH52" s="338" t="s">
        <v>126</v>
      </c>
      <c r="AI52" s="339"/>
      <c r="AJ52" s="339"/>
      <c r="AK52" s="339"/>
      <c r="AL52" s="339"/>
      <c r="AM52" s="339"/>
      <c r="AN52" s="339"/>
      <c r="AO52" s="339"/>
      <c r="AP52" s="339"/>
      <c r="AQ52" s="339"/>
      <c r="AR52" s="339"/>
      <c r="AS52" s="339"/>
      <c r="AT52" s="339"/>
      <c r="AU52" s="339"/>
      <c r="AV52" s="340"/>
    </row>
    <row r="53" spans="1:48">
      <c r="AH53" s="341" t="s">
        <v>1</v>
      </c>
      <c r="AJ53" s="342">
        <v>45352</v>
      </c>
      <c r="AK53" s="342">
        <v>45383</v>
      </c>
      <c r="AL53" s="342">
        <v>45413</v>
      </c>
      <c r="AM53" s="342">
        <v>45444</v>
      </c>
      <c r="AN53" s="342">
        <v>45474</v>
      </c>
      <c r="AO53" s="342">
        <v>45505</v>
      </c>
      <c r="AP53" s="342">
        <v>45536</v>
      </c>
      <c r="AQ53" s="342">
        <v>45566</v>
      </c>
      <c r="AR53" s="342">
        <v>45597</v>
      </c>
      <c r="AS53" s="342">
        <v>45627</v>
      </c>
      <c r="AT53" s="342">
        <v>45658</v>
      </c>
      <c r="AU53" s="342">
        <v>45689</v>
      </c>
      <c r="AV53" s="343">
        <v>45717</v>
      </c>
    </row>
    <row r="54" spans="1:48">
      <c r="AH54" s="344">
        <f>(AV54-AJ54)/12</f>
        <v>0</v>
      </c>
      <c r="AI54" s="345"/>
      <c r="AJ54" s="345">
        <f>AV54</f>
        <v>10</v>
      </c>
      <c r="AK54" s="345">
        <f>AJ54+$AH$54</f>
        <v>10</v>
      </c>
      <c r="AL54" s="345">
        <f t="shared" ref="AL54:AU54" si="0">AK54+$AH$54</f>
        <v>10</v>
      </c>
      <c r="AM54" s="345">
        <f t="shared" si="0"/>
        <v>10</v>
      </c>
      <c r="AN54" s="345">
        <f t="shared" si="0"/>
        <v>10</v>
      </c>
      <c r="AO54" s="345">
        <f t="shared" si="0"/>
        <v>10</v>
      </c>
      <c r="AP54" s="345">
        <f t="shared" si="0"/>
        <v>10</v>
      </c>
      <c r="AQ54" s="345">
        <f t="shared" si="0"/>
        <v>10</v>
      </c>
      <c r="AR54" s="345">
        <f t="shared" si="0"/>
        <v>10</v>
      </c>
      <c r="AS54" s="345">
        <f t="shared" si="0"/>
        <v>10</v>
      </c>
      <c r="AT54" s="345">
        <f t="shared" si="0"/>
        <v>10</v>
      </c>
      <c r="AU54" s="345">
        <f t="shared" si="0"/>
        <v>10</v>
      </c>
      <c r="AV54" s="346">
        <v>10</v>
      </c>
    </row>
    <row r="55" spans="1:48">
      <c r="AH55" s="344">
        <f>(AV55-AJ55)/12</f>
        <v>-4.1666666666666664E-2</v>
      </c>
      <c r="AI55" s="347" t="s">
        <v>2</v>
      </c>
      <c r="AJ55" s="345">
        <f>AV54</f>
        <v>10</v>
      </c>
      <c r="AK55" s="345">
        <f>AJ55+$AH$55</f>
        <v>9.9583333333333339</v>
      </c>
      <c r="AL55" s="345">
        <f t="shared" ref="AL55:AU55" si="1">AK55+$AH$55</f>
        <v>9.9166666666666679</v>
      </c>
      <c r="AM55" s="345">
        <f t="shared" si="1"/>
        <v>9.8750000000000018</v>
      </c>
      <c r="AN55" s="345">
        <f t="shared" si="1"/>
        <v>9.8333333333333357</v>
      </c>
      <c r="AO55" s="345">
        <f t="shared" si="1"/>
        <v>9.7916666666666696</v>
      </c>
      <c r="AP55" s="345">
        <f t="shared" si="1"/>
        <v>9.7500000000000036</v>
      </c>
      <c r="AQ55" s="345">
        <f t="shared" si="1"/>
        <v>9.7083333333333375</v>
      </c>
      <c r="AR55" s="345">
        <f t="shared" si="1"/>
        <v>9.6666666666666714</v>
      </c>
      <c r="AS55" s="345">
        <f t="shared" si="1"/>
        <v>9.6250000000000053</v>
      </c>
      <c r="AT55" s="345">
        <f t="shared" si="1"/>
        <v>9.5833333333333393</v>
      </c>
      <c r="AU55" s="345">
        <f t="shared" si="1"/>
        <v>9.5416666666666732</v>
      </c>
      <c r="AV55" s="348">
        <f>AV54-(AV54-AV57)*0.5</f>
        <v>9.5</v>
      </c>
    </row>
    <row r="56" spans="1:48">
      <c r="AH56" s="344">
        <f>(AV56-AJ56)/12</f>
        <v>-6.6666666666666721E-2</v>
      </c>
      <c r="AI56" s="349" t="s">
        <v>2</v>
      </c>
      <c r="AJ56" s="345">
        <f>AV54</f>
        <v>10</v>
      </c>
      <c r="AK56" s="345">
        <f>AJ56+$AH$56</f>
        <v>9.9333333333333336</v>
      </c>
      <c r="AL56" s="345">
        <f t="shared" ref="AL56:AU56" si="2">AK56+$AH$56</f>
        <v>9.8666666666666671</v>
      </c>
      <c r="AM56" s="345">
        <f t="shared" si="2"/>
        <v>9.8000000000000007</v>
      </c>
      <c r="AN56" s="345">
        <f t="shared" si="2"/>
        <v>9.7333333333333343</v>
      </c>
      <c r="AO56" s="345">
        <f t="shared" si="2"/>
        <v>9.6666666666666679</v>
      </c>
      <c r="AP56" s="345">
        <f t="shared" si="2"/>
        <v>9.6000000000000014</v>
      </c>
      <c r="AQ56" s="345">
        <f t="shared" si="2"/>
        <v>9.533333333333335</v>
      </c>
      <c r="AR56" s="345">
        <f t="shared" si="2"/>
        <v>9.4666666666666686</v>
      </c>
      <c r="AS56" s="345">
        <f t="shared" si="2"/>
        <v>9.4000000000000021</v>
      </c>
      <c r="AT56" s="345">
        <f t="shared" si="2"/>
        <v>9.3333333333333357</v>
      </c>
      <c r="AU56" s="345">
        <f t="shared" si="2"/>
        <v>9.2666666666666693</v>
      </c>
      <c r="AV56" s="350">
        <f>AV54-(AV54-AV57)*0.8</f>
        <v>9.1999999999999993</v>
      </c>
    </row>
    <row r="57" spans="1:48">
      <c r="AH57" s="344">
        <f>(AV57-AJ57)/12</f>
        <v>-8.3333333333333329E-2</v>
      </c>
      <c r="AI57" s="351" t="s">
        <v>2</v>
      </c>
      <c r="AJ57" s="345">
        <f>AV54</f>
        <v>10</v>
      </c>
      <c r="AK57" s="345">
        <f>AJ57+$AH$57</f>
        <v>9.9166666666666661</v>
      </c>
      <c r="AL57" s="345">
        <f>AK57+$AH$57</f>
        <v>9.8333333333333321</v>
      </c>
      <c r="AM57" s="345">
        <f t="shared" ref="AM57:AU57" si="3">AL57+$AH$57</f>
        <v>9.7499999999999982</v>
      </c>
      <c r="AN57" s="345">
        <f t="shared" si="3"/>
        <v>9.6666666666666643</v>
      </c>
      <c r="AO57" s="345">
        <f t="shared" si="3"/>
        <v>9.5833333333333304</v>
      </c>
      <c r="AP57" s="345">
        <f t="shared" si="3"/>
        <v>9.4999999999999964</v>
      </c>
      <c r="AQ57" s="345">
        <f t="shared" si="3"/>
        <v>9.4166666666666625</v>
      </c>
      <c r="AR57" s="345">
        <f t="shared" si="3"/>
        <v>9.3333333333333286</v>
      </c>
      <c r="AS57" s="345">
        <f t="shared" si="3"/>
        <v>9.2499999999999947</v>
      </c>
      <c r="AT57" s="345">
        <f t="shared" si="3"/>
        <v>9.1666666666666607</v>
      </c>
      <c r="AU57" s="345">
        <f t="shared" si="3"/>
        <v>9.0833333333333268</v>
      </c>
      <c r="AV57" s="352">
        <v>9</v>
      </c>
    </row>
    <row r="58" spans="1:48">
      <c r="AH58" s="721" t="s">
        <v>3</v>
      </c>
      <c r="AI58" s="722"/>
      <c r="AJ58" s="355"/>
      <c r="AK58" s="356">
        <f>AK60</f>
        <v>0</v>
      </c>
      <c r="AL58" s="356">
        <f t="shared" ref="AL58:AU58" si="4">AK58+AL60</f>
        <v>0</v>
      </c>
      <c r="AM58" s="356">
        <f t="shared" si="4"/>
        <v>1</v>
      </c>
      <c r="AN58" s="356">
        <f t="shared" si="4"/>
        <v>2</v>
      </c>
      <c r="AO58" s="356">
        <f t="shared" si="4"/>
        <v>3</v>
      </c>
      <c r="AP58" s="356">
        <f t="shared" si="4"/>
        <v>3</v>
      </c>
      <c r="AQ58" s="356">
        <f t="shared" si="4"/>
        <v>3</v>
      </c>
      <c r="AR58" s="356">
        <f t="shared" si="4"/>
        <v>3</v>
      </c>
      <c r="AS58" s="356">
        <f t="shared" si="4"/>
        <v>3</v>
      </c>
      <c r="AT58" s="356">
        <f t="shared" si="4"/>
        <v>3</v>
      </c>
      <c r="AU58" s="356">
        <f t="shared" si="4"/>
        <v>3</v>
      </c>
      <c r="AV58" s="357">
        <f>AU58+AV60</f>
        <v>3</v>
      </c>
    </row>
    <row r="59" spans="1:48">
      <c r="AH59" s="353"/>
      <c r="AI59" s="354"/>
      <c r="AJ59" s="355"/>
      <c r="AK59" s="355"/>
      <c r="AL59" s="356"/>
      <c r="AM59" s="355"/>
      <c r="AN59" s="355"/>
      <c r="AO59" s="355"/>
      <c r="AP59" s="356"/>
      <c r="AQ59" s="356"/>
      <c r="AR59" s="356"/>
      <c r="AS59" s="356"/>
      <c r="AT59" s="356"/>
      <c r="AU59" s="356"/>
      <c r="AV59" s="357"/>
    </row>
    <row r="60" spans="1:48">
      <c r="AH60" s="721" t="s">
        <v>4</v>
      </c>
      <c r="AI60" s="722"/>
      <c r="AJ60" s="331"/>
      <c r="AK60" s="358">
        <f>TS!AG50+PPD!AI59+CN!AK63+YF!AK59</f>
        <v>0</v>
      </c>
      <c r="AL60" s="358">
        <f>TS!AH50+PPD!AJ59+CN!AL63+YF!AL59</f>
        <v>0</v>
      </c>
      <c r="AM60" s="358">
        <f>TS!AI50+PPD!AK59+CN!AM63+YF!AM59</f>
        <v>1</v>
      </c>
      <c r="AN60" s="358">
        <f>TS!AJ50+PPD!AL59+CN!AN63+YF!AN59</f>
        <v>1</v>
      </c>
      <c r="AO60" s="358">
        <f>TS!AK50+PPD!AM59+CN!AO63+YF!AO59</f>
        <v>1</v>
      </c>
      <c r="AP60" s="358">
        <f>TS!AL50+PPD!AN59+CN!AP63+YF!AP59</f>
        <v>0</v>
      </c>
      <c r="AQ60" s="358">
        <f>TS!AM50+PPD!AO59+CN!AQ63+YF!AQ59</f>
        <v>0</v>
      </c>
      <c r="AR60" s="358">
        <f>TS!AN50+PPD!AP59+CN!AR63+YF!AR59</f>
        <v>0</v>
      </c>
      <c r="AS60" s="358">
        <f>TS!AO50+PPD!AQ59+CN!AS63+YF!AS59</f>
        <v>0</v>
      </c>
      <c r="AT60" s="358">
        <f>TS!AP50+PPD!AR59+CN!AT63+YF!AT59</f>
        <v>0</v>
      </c>
      <c r="AU60" s="358">
        <f>TS!AQ50+PPD!AS59+CN!AU63+YF!AU59</f>
        <v>0</v>
      </c>
      <c r="AV60" s="359">
        <f>TS!AR50+PPD!AT59+CN!AV63+YF!AV59</f>
        <v>0</v>
      </c>
    </row>
    <row r="61" spans="1:48">
      <c r="AH61" s="353"/>
      <c r="AI61" s="354"/>
      <c r="AJ61" s="331"/>
      <c r="AK61" s="331">
        <f>AK60</f>
        <v>0</v>
      </c>
      <c r="AL61" s="331">
        <f>AL60</f>
        <v>0</v>
      </c>
      <c r="AM61" s="331">
        <f>AM60</f>
        <v>1</v>
      </c>
      <c r="AN61" s="331">
        <f>AN60</f>
        <v>1</v>
      </c>
      <c r="AO61" s="331">
        <f t="shared" ref="AO61:AV61" si="5">AO60</f>
        <v>1</v>
      </c>
      <c r="AP61" s="331">
        <f t="shared" si="5"/>
        <v>0</v>
      </c>
      <c r="AQ61" s="331">
        <f t="shared" si="5"/>
        <v>0</v>
      </c>
      <c r="AR61" s="331">
        <f t="shared" si="5"/>
        <v>0</v>
      </c>
      <c r="AS61" s="331">
        <f t="shared" si="5"/>
        <v>0</v>
      </c>
      <c r="AT61" s="331">
        <f t="shared" si="5"/>
        <v>0</v>
      </c>
      <c r="AU61" s="331">
        <f t="shared" si="5"/>
        <v>0</v>
      </c>
      <c r="AV61" s="360">
        <f t="shared" si="5"/>
        <v>0</v>
      </c>
    </row>
    <row r="62" spans="1:48">
      <c r="AH62" s="721" t="s">
        <v>5</v>
      </c>
      <c r="AI62" s="722"/>
      <c r="AK62" s="361">
        <f t="shared" ref="AK62:AV62" si="6">(AK54-AK58)/(AK54-AK57)</f>
        <v>119.99999999999915</v>
      </c>
      <c r="AL62" s="361">
        <f t="shared" si="6"/>
        <v>59.999999999999574</v>
      </c>
      <c r="AM62" s="361">
        <f t="shared" si="6"/>
        <v>35.999999999999744</v>
      </c>
      <c r="AN62" s="361">
        <f t="shared" si="6"/>
        <v>23.999999999999829</v>
      </c>
      <c r="AO62" s="361">
        <f t="shared" si="6"/>
        <v>16.79999999999988</v>
      </c>
      <c r="AP62" s="361">
        <f t="shared" si="6"/>
        <v>13.999999999999901</v>
      </c>
      <c r="AQ62" s="361">
        <f t="shared" si="6"/>
        <v>11.999999999999915</v>
      </c>
      <c r="AR62" s="361">
        <f t="shared" si="6"/>
        <v>10.499999999999925</v>
      </c>
      <c r="AS62" s="361">
        <f t="shared" si="6"/>
        <v>9.3333333333332664</v>
      </c>
      <c r="AT62" s="361">
        <f t="shared" si="6"/>
        <v>8.39999999999994</v>
      </c>
      <c r="AU62" s="361">
        <f t="shared" si="6"/>
        <v>7.6363636363635825</v>
      </c>
      <c r="AV62" s="362">
        <f t="shared" si="6"/>
        <v>7</v>
      </c>
    </row>
    <row r="63" spans="1:48">
      <c r="AH63" s="721" t="s">
        <v>6</v>
      </c>
      <c r="AI63" s="722"/>
      <c r="AK63" s="363">
        <f>IF(OR(AK62&gt;=100%),100%,IF(OR(AK62&lt;=0%),0%,AVERAGE(AK62)))</f>
        <v>1</v>
      </c>
      <c r="AL63" s="363">
        <f>IF(OR(AL62&gt;=100%),100%,IF(OR(AL62&lt;=0%),0%,AVERAGE(AL62)))</f>
        <v>1</v>
      </c>
      <c r="AM63" s="363">
        <f t="shared" ref="AM63:AU63" si="7">IF(OR(AM62&gt;=100%),100%,IF(OR(AM62&lt;=0%),0%,AVERAGE(AM62)))</f>
        <v>1</v>
      </c>
      <c r="AN63" s="363">
        <f t="shared" si="7"/>
        <v>1</v>
      </c>
      <c r="AO63" s="363">
        <f t="shared" si="7"/>
        <v>1</v>
      </c>
      <c r="AP63" s="363">
        <f t="shared" si="7"/>
        <v>1</v>
      </c>
      <c r="AQ63" s="363">
        <f>IF(OR(AQ62&gt;=100%),100%,IF(OR(AQ62&lt;=0%),0%,AVERAGE(AQ62)))</f>
        <v>1</v>
      </c>
      <c r="AR63" s="363">
        <f t="shared" si="7"/>
        <v>1</v>
      </c>
      <c r="AS63" s="363">
        <f t="shared" si="7"/>
        <v>1</v>
      </c>
      <c r="AT63" s="363">
        <f t="shared" si="7"/>
        <v>1</v>
      </c>
      <c r="AU63" s="363">
        <f t="shared" si="7"/>
        <v>1</v>
      </c>
      <c r="AV63" s="364">
        <f>IF(OR(AV62&gt;=100%),100%,IF(OR(AV62&lt;=0%),0%,AVERAGE(AV62)))</f>
        <v>1</v>
      </c>
    </row>
    <row r="64" spans="1:48">
      <c r="AH64" s="717" t="s">
        <v>7</v>
      </c>
      <c r="AI64" s="718"/>
      <c r="AK64" s="365">
        <f t="shared" ref="AK64:AV64" si="8">AK63*0.05</f>
        <v>0.05</v>
      </c>
      <c r="AL64" s="365">
        <f t="shared" si="8"/>
        <v>0.05</v>
      </c>
      <c r="AM64" s="365">
        <f t="shared" si="8"/>
        <v>0.05</v>
      </c>
      <c r="AN64" s="365">
        <f t="shared" si="8"/>
        <v>0.05</v>
      </c>
      <c r="AO64" s="365">
        <f t="shared" si="8"/>
        <v>0.05</v>
      </c>
      <c r="AP64" s="365">
        <f t="shared" si="8"/>
        <v>0.05</v>
      </c>
      <c r="AQ64" s="365">
        <f t="shared" si="8"/>
        <v>0.05</v>
      </c>
      <c r="AR64" s="365">
        <f t="shared" si="8"/>
        <v>0.05</v>
      </c>
      <c r="AS64" s="365">
        <f t="shared" si="8"/>
        <v>0.05</v>
      </c>
      <c r="AT64" s="365">
        <f t="shared" si="8"/>
        <v>0.05</v>
      </c>
      <c r="AU64" s="365">
        <f t="shared" si="8"/>
        <v>0.05</v>
      </c>
      <c r="AV64" s="366">
        <f t="shared" si="8"/>
        <v>0.05</v>
      </c>
    </row>
    <row r="65" spans="34:48">
      <c r="AH65" s="367"/>
      <c r="AI65" s="368"/>
      <c r="AJ65" s="368"/>
      <c r="AK65" s="369"/>
      <c r="AL65" s="369"/>
      <c r="AM65" s="369"/>
      <c r="AN65" s="369"/>
      <c r="AO65" s="369"/>
      <c r="AP65" s="369"/>
      <c r="AQ65" s="369"/>
      <c r="AR65" s="369"/>
      <c r="AS65" s="369"/>
      <c r="AT65" s="369"/>
      <c r="AU65" s="369"/>
      <c r="AV65" s="370"/>
    </row>
    <row r="66" spans="34:48">
      <c r="AH66" s="367"/>
      <c r="AI66" s="368"/>
      <c r="AJ66" s="368"/>
      <c r="AK66" s="369"/>
      <c r="AL66" s="369"/>
      <c r="AM66" s="369"/>
      <c r="AN66" s="369"/>
      <c r="AO66" s="369"/>
      <c r="AP66" s="369"/>
      <c r="AQ66" s="369"/>
      <c r="AR66" s="369"/>
      <c r="AS66" s="369"/>
      <c r="AT66" s="369"/>
      <c r="AU66" s="369"/>
      <c r="AV66" s="370"/>
    </row>
    <row r="67" spans="34:48">
      <c r="AH67" s="341" t="s">
        <v>8</v>
      </c>
      <c r="AJ67" s="342">
        <v>45352</v>
      </c>
      <c r="AK67" s="342">
        <v>45383</v>
      </c>
      <c r="AL67" s="342">
        <v>45413</v>
      </c>
      <c r="AM67" s="342">
        <v>45444</v>
      </c>
      <c r="AN67" s="342">
        <v>45474</v>
      </c>
      <c r="AO67" s="342">
        <v>45505</v>
      </c>
      <c r="AP67" s="342">
        <v>45536</v>
      </c>
      <c r="AQ67" s="342">
        <v>45566</v>
      </c>
      <c r="AR67" s="342">
        <v>45597</v>
      </c>
      <c r="AS67" s="342">
        <v>45627</v>
      </c>
      <c r="AT67" s="342">
        <v>45658</v>
      </c>
      <c r="AU67" s="342">
        <v>45689</v>
      </c>
      <c r="AV67" s="343">
        <v>45717</v>
      </c>
    </row>
    <row r="68" spans="34:48">
      <c r="AH68" s="344">
        <f>(AV68-AJ68)/12</f>
        <v>0</v>
      </c>
      <c r="AI68" s="371"/>
      <c r="AJ68" s="345">
        <f>AV68</f>
        <v>4</v>
      </c>
      <c r="AK68" s="345">
        <f>AJ68+$AH$68</f>
        <v>4</v>
      </c>
      <c r="AL68" s="345">
        <f t="shared" ref="AL68:AU68" si="9">AK68+$AH$68</f>
        <v>4</v>
      </c>
      <c r="AM68" s="345">
        <f t="shared" si="9"/>
        <v>4</v>
      </c>
      <c r="AN68" s="345">
        <f t="shared" si="9"/>
        <v>4</v>
      </c>
      <c r="AO68" s="345">
        <f t="shared" si="9"/>
        <v>4</v>
      </c>
      <c r="AP68" s="345">
        <f t="shared" si="9"/>
        <v>4</v>
      </c>
      <c r="AQ68" s="345">
        <f t="shared" si="9"/>
        <v>4</v>
      </c>
      <c r="AR68" s="345">
        <f t="shared" si="9"/>
        <v>4</v>
      </c>
      <c r="AS68" s="345">
        <f t="shared" si="9"/>
        <v>4</v>
      </c>
      <c r="AT68" s="345">
        <f t="shared" si="9"/>
        <v>4</v>
      </c>
      <c r="AU68" s="345">
        <f t="shared" si="9"/>
        <v>4</v>
      </c>
      <c r="AV68" s="346">
        <v>4</v>
      </c>
    </row>
    <row r="69" spans="34:48">
      <c r="AH69" s="344">
        <f>(AV69-AJ69)/12</f>
        <v>0</v>
      </c>
      <c r="AI69" s="347" t="s">
        <v>2</v>
      </c>
      <c r="AJ69" s="345">
        <f>AV68</f>
        <v>4</v>
      </c>
      <c r="AK69" s="345">
        <f>AJ69+$AH$69</f>
        <v>4</v>
      </c>
      <c r="AL69" s="345">
        <f t="shared" ref="AL69:AU69" si="10">AK69+$AH$69</f>
        <v>4</v>
      </c>
      <c r="AM69" s="345">
        <f t="shared" si="10"/>
        <v>4</v>
      </c>
      <c r="AN69" s="345">
        <f t="shared" si="10"/>
        <v>4</v>
      </c>
      <c r="AO69" s="345">
        <f t="shared" si="10"/>
        <v>4</v>
      </c>
      <c r="AP69" s="345">
        <f t="shared" si="10"/>
        <v>4</v>
      </c>
      <c r="AQ69" s="345">
        <f t="shared" si="10"/>
        <v>4</v>
      </c>
      <c r="AR69" s="345">
        <f t="shared" si="10"/>
        <v>4</v>
      </c>
      <c r="AS69" s="345">
        <f t="shared" si="10"/>
        <v>4</v>
      </c>
      <c r="AT69" s="345">
        <f t="shared" si="10"/>
        <v>4</v>
      </c>
      <c r="AU69" s="345">
        <f t="shared" si="10"/>
        <v>4</v>
      </c>
      <c r="AV69" s="348">
        <f>AV68-(AV68-AV71)*0.5</f>
        <v>4</v>
      </c>
    </row>
    <row r="70" spans="34:48">
      <c r="AH70" s="344">
        <f>(AV70-AJ70)/12</f>
        <v>0</v>
      </c>
      <c r="AI70" s="349" t="s">
        <v>2</v>
      </c>
      <c r="AJ70" s="345">
        <f>AV68</f>
        <v>4</v>
      </c>
      <c r="AK70" s="345">
        <f>AJ70+$AH$70</f>
        <v>4</v>
      </c>
      <c r="AL70" s="345">
        <f t="shared" ref="AL70:AU70" si="11">AK70+$AH$70</f>
        <v>4</v>
      </c>
      <c r="AM70" s="345">
        <f t="shared" si="11"/>
        <v>4</v>
      </c>
      <c r="AN70" s="345">
        <f t="shared" si="11"/>
        <v>4</v>
      </c>
      <c r="AO70" s="345">
        <f t="shared" si="11"/>
        <v>4</v>
      </c>
      <c r="AP70" s="345">
        <f t="shared" si="11"/>
        <v>4</v>
      </c>
      <c r="AQ70" s="345">
        <f t="shared" si="11"/>
        <v>4</v>
      </c>
      <c r="AR70" s="345">
        <f t="shared" si="11"/>
        <v>4</v>
      </c>
      <c r="AS70" s="345">
        <f t="shared" si="11"/>
        <v>4</v>
      </c>
      <c r="AT70" s="345">
        <f t="shared" si="11"/>
        <v>4</v>
      </c>
      <c r="AU70" s="345">
        <f t="shared" si="11"/>
        <v>4</v>
      </c>
      <c r="AV70" s="350">
        <f>AV68-(AV68-AV71)*0.8</f>
        <v>4</v>
      </c>
    </row>
    <row r="71" spans="34:48">
      <c r="AH71" s="344">
        <f>(AV71-AJ71)/12</f>
        <v>0</v>
      </c>
      <c r="AI71" s="351" t="s">
        <v>2</v>
      </c>
      <c r="AJ71" s="345">
        <f>AV68</f>
        <v>4</v>
      </c>
      <c r="AK71" s="345">
        <f>AJ71+$AH$71</f>
        <v>4</v>
      </c>
      <c r="AL71" s="345">
        <f t="shared" ref="AL71:AU71" si="12">AK71+$AH$71</f>
        <v>4</v>
      </c>
      <c r="AM71" s="345">
        <f t="shared" si="12"/>
        <v>4</v>
      </c>
      <c r="AN71" s="345">
        <f t="shared" si="12"/>
        <v>4</v>
      </c>
      <c r="AO71" s="345">
        <f t="shared" si="12"/>
        <v>4</v>
      </c>
      <c r="AP71" s="345">
        <f t="shared" si="12"/>
        <v>4</v>
      </c>
      <c r="AQ71" s="345">
        <f t="shared" si="12"/>
        <v>4</v>
      </c>
      <c r="AR71" s="345">
        <f t="shared" si="12"/>
        <v>4</v>
      </c>
      <c r="AS71" s="345">
        <f t="shared" si="12"/>
        <v>4</v>
      </c>
      <c r="AT71" s="345">
        <f t="shared" si="12"/>
        <v>4</v>
      </c>
      <c r="AU71" s="345">
        <f t="shared" si="12"/>
        <v>4</v>
      </c>
      <c r="AV71" s="352">
        <v>4</v>
      </c>
    </row>
    <row r="72" spans="34:48">
      <c r="AH72" s="721" t="s">
        <v>3</v>
      </c>
      <c r="AI72" s="722"/>
      <c r="AJ72" s="355"/>
      <c r="AK72" s="356">
        <f>AK74</f>
        <v>0</v>
      </c>
      <c r="AL72" s="356">
        <f t="shared" ref="AL72:AV72" si="13">AK72+AL74</f>
        <v>1</v>
      </c>
      <c r="AM72" s="356">
        <f t="shared" si="13"/>
        <v>2</v>
      </c>
      <c r="AN72" s="356">
        <f t="shared" si="13"/>
        <v>2</v>
      </c>
      <c r="AO72" s="356">
        <f t="shared" si="13"/>
        <v>2</v>
      </c>
      <c r="AP72" s="356">
        <f t="shared" si="13"/>
        <v>2</v>
      </c>
      <c r="AQ72" s="356">
        <f t="shared" si="13"/>
        <v>2</v>
      </c>
      <c r="AR72" s="356">
        <f t="shared" si="13"/>
        <v>2</v>
      </c>
      <c r="AS72" s="356">
        <f t="shared" si="13"/>
        <v>2</v>
      </c>
      <c r="AT72" s="356">
        <f t="shared" si="13"/>
        <v>2</v>
      </c>
      <c r="AU72" s="356">
        <f t="shared" si="13"/>
        <v>2</v>
      </c>
      <c r="AV72" s="357">
        <f t="shared" si="13"/>
        <v>2</v>
      </c>
    </row>
    <row r="73" spans="34:48">
      <c r="AH73" s="353"/>
      <c r="AI73" s="354"/>
      <c r="AJ73" s="355"/>
      <c r="AK73" s="355"/>
      <c r="AL73" s="356"/>
      <c r="AM73" s="356"/>
      <c r="AN73" s="355"/>
      <c r="AO73" s="355"/>
      <c r="AP73" s="356"/>
      <c r="AQ73" s="356"/>
      <c r="AR73" s="356"/>
      <c r="AS73" s="356"/>
      <c r="AT73" s="356"/>
      <c r="AU73" s="356"/>
      <c r="AV73" s="357"/>
    </row>
    <row r="74" spans="34:48">
      <c r="AH74" s="721" t="s">
        <v>4</v>
      </c>
      <c r="AI74" s="722"/>
      <c r="AJ74" s="331"/>
      <c r="AK74" s="358">
        <f>TS!AG64+PPD!AI73+CN!AK77+YF!AK73</f>
        <v>0</v>
      </c>
      <c r="AL74" s="358">
        <f>TS!AH64+PPD!AJ73+CN!AL77+YF!AL73</f>
        <v>1</v>
      </c>
      <c r="AM74" s="358">
        <f>TS!AI64+PPD!AK73+CN!AM77+YF!AM73</f>
        <v>1</v>
      </c>
      <c r="AN74" s="358">
        <f>TS!AJ64+PPD!AL73+CN!AN77+YF!AN73</f>
        <v>0</v>
      </c>
      <c r="AO74" s="358">
        <f>TS!AK64+PPD!AM73+CN!AO77+YF!AO73</f>
        <v>0</v>
      </c>
      <c r="AP74" s="358">
        <f>TS!AL64+PPD!AN73+CN!AP77+YF!AP73</f>
        <v>0</v>
      </c>
      <c r="AQ74" s="358">
        <f>TS!AM64+PPD!AO73+CN!AQ77+YF!AQ73</f>
        <v>0</v>
      </c>
      <c r="AR74" s="358">
        <f>TS!AN64+PPD!AP73+CN!AR77+YF!AR73</f>
        <v>0</v>
      </c>
      <c r="AS74" s="358">
        <f>TS!AO64+PPD!AQ73+CN!AS77+YF!AS73</f>
        <v>0</v>
      </c>
      <c r="AT74" s="358">
        <f>TS!AP64+PPD!AR73+CN!AT77+YF!AT73</f>
        <v>0</v>
      </c>
      <c r="AU74" s="358">
        <f>TS!AQ64+PPD!AS73+CN!AU77+YF!AU73</f>
        <v>0</v>
      </c>
      <c r="AV74" s="359">
        <f>TS!AR64+PPD!AT73+CN!AV77+YF!AV73</f>
        <v>0</v>
      </c>
    </row>
    <row r="75" spans="34:48">
      <c r="AH75" s="353"/>
      <c r="AI75" s="354"/>
      <c r="AJ75" s="331"/>
      <c r="AK75" s="331">
        <f>AK74</f>
        <v>0</v>
      </c>
      <c r="AL75" s="331">
        <f>AL74</f>
        <v>1</v>
      </c>
      <c r="AM75" s="331">
        <f>AM74</f>
        <v>1</v>
      </c>
      <c r="AN75" s="331">
        <f>AN74</f>
        <v>0</v>
      </c>
      <c r="AO75" s="331">
        <f>AO74</f>
        <v>0</v>
      </c>
      <c r="AP75" s="331">
        <f t="shared" ref="AP75:AV75" si="14">AP74</f>
        <v>0</v>
      </c>
      <c r="AQ75" s="331">
        <f t="shared" si="14"/>
        <v>0</v>
      </c>
      <c r="AR75" s="331">
        <f t="shared" si="14"/>
        <v>0</v>
      </c>
      <c r="AS75" s="331">
        <f t="shared" si="14"/>
        <v>0</v>
      </c>
      <c r="AT75" s="331">
        <f t="shared" si="14"/>
        <v>0</v>
      </c>
      <c r="AU75" s="331">
        <f t="shared" si="14"/>
        <v>0</v>
      </c>
      <c r="AV75" s="360">
        <f t="shared" si="14"/>
        <v>0</v>
      </c>
    </row>
    <row r="76" spans="34:48">
      <c r="AH76" s="721" t="s">
        <v>5</v>
      </c>
      <c r="AI76" s="722"/>
      <c r="AK76" s="361">
        <v>1</v>
      </c>
      <c r="AL76" s="361">
        <v>1</v>
      </c>
      <c r="AM76" s="361">
        <v>1</v>
      </c>
      <c r="AN76" s="361">
        <v>1</v>
      </c>
      <c r="AO76" s="361">
        <v>1</v>
      </c>
      <c r="AP76" s="361" t="e">
        <f t="shared" ref="AP76:AV76" si="15">(AP68-AP72)/(AP68-AP71)</f>
        <v>#DIV/0!</v>
      </c>
      <c r="AQ76" s="361" t="e">
        <f t="shared" si="15"/>
        <v>#DIV/0!</v>
      </c>
      <c r="AR76" s="361" t="e">
        <f t="shared" si="15"/>
        <v>#DIV/0!</v>
      </c>
      <c r="AS76" s="361" t="e">
        <f t="shared" si="15"/>
        <v>#DIV/0!</v>
      </c>
      <c r="AT76" s="361" t="e">
        <f t="shared" si="15"/>
        <v>#DIV/0!</v>
      </c>
      <c r="AU76" s="361" t="e">
        <f t="shared" si="15"/>
        <v>#DIV/0!</v>
      </c>
      <c r="AV76" s="362" t="e">
        <f t="shared" si="15"/>
        <v>#DIV/0!</v>
      </c>
    </row>
    <row r="77" spans="34:48">
      <c r="AH77" s="721" t="s">
        <v>6</v>
      </c>
      <c r="AI77" s="722"/>
      <c r="AK77" s="363">
        <f>IF(OR(AK76&gt;=100%),100%,IF(OR(AK76&lt;=0%),0%,AVERAGE(AK76)))</f>
        <v>1</v>
      </c>
      <c r="AL77" s="363">
        <f t="shared" ref="AL77:AV77" si="16">IF(OR(AL76&gt;=100%),100%,IF(OR(AL76&lt;=0%),0%,AVERAGE(AL76)))</f>
        <v>1</v>
      </c>
      <c r="AM77" s="363">
        <f t="shared" si="16"/>
        <v>1</v>
      </c>
      <c r="AN77" s="363">
        <f t="shared" si="16"/>
        <v>1</v>
      </c>
      <c r="AO77" s="363">
        <f t="shared" si="16"/>
        <v>1</v>
      </c>
      <c r="AP77" s="363" t="e">
        <f t="shared" si="16"/>
        <v>#DIV/0!</v>
      </c>
      <c r="AQ77" s="363" t="e">
        <f t="shared" si="16"/>
        <v>#DIV/0!</v>
      </c>
      <c r="AR77" s="363" t="e">
        <f t="shared" si="16"/>
        <v>#DIV/0!</v>
      </c>
      <c r="AS77" s="363" t="e">
        <f t="shared" si="16"/>
        <v>#DIV/0!</v>
      </c>
      <c r="AT77" s="363" t="e">
        <f>IF(OR(AT76&gt;=100%),100%,IF(OR(AT76&lt;=0%),0%,AVERAGE(AT76)))</f>
        <v>#DIV/0!</v>
      </c>
      <c r="AU77" s="363" t="e">
        <f t="shared" si="16"/>
        <v>#DIV/0!</v>
      </c>
      <c r="AV77" s="364" t="e">
        <f t="shared" si="16"/>
        <v>#DIV/0!</v>
      </c>
    </row>
    <row r="78" spans="34:48">
      <c r="AH78" s="717" t="s">
        <v>7</v>
      </c>
      <c r="AI78" s="718"/>
      <c r="AK78" s="365">
        <f>AK77*0.05</f>
        <v>0.05</v>
      </c>
      <c r="AL78" s="365">
        <f t="shared" ref="AL78:AV78" si="17">AL77*0.05</f>
        <v>0.05</v>
      </c>
      <c r="AM78" s="365">
        <f t="shared" si="17"/>
        <v>0.05</v>
      </c>
      <c r="AN78" s="365">
        <f t="shared" si="17"/>
        <v>0.05</v>
      </c>
      <c r="AO78" s="365">
        <f t="shared" si="17"/>
        <v>0.05</v>
      </c>
      <c r="AP78" s="365" t="e">
        <f t="shared" si="17"/>
        <v>#DIV/0!</v>
      </c>
      <c r="AQ78" s="365" t="e">
        <f t="shared" si="17"/>
        <v>#DIV/0!</v>
      </c>
      <c r="AR78" s="365" t="e">
        <f t="shared" si="17"/>
        <v>#DIV/0!</v>
      </c>
      <c r="AS78" s="365" t="e">
        <f t="shared" si="17"/>
        <v>#DIV/0!</v>
      </c>
      <c r="AT78" s="365" t="e">
        <f t="shared" si="17"/>
        <v>#DIV/0!</v>
      </c>
      <c r="AU78" s="365" t="e">
        <f t="shared" si="17"/>
        <v>#DIV/0!</v>
      </c>
      <c r="AV78" s="366" t="e">
        <f t="shared" si="17"/>
        <v>#DIV/0!</v>
      </c>
    </row>
    <row r="79" spans="34:48">
      <c r="AH79" s="367"/>
      <c r="AI79" s="368"/>
      <c r="AJ79" s="368"/>
      <c r="AK79" s="369"/>
      <c r="AL79" s="369"/>
      <c r="AM79" s="369"/>
      <c r="AN79" s="369"/>
      <c r="AO79" s="369"/>
      <c r="AP79" s="369"/>
      <c r="AQ79" s="369"/>
      <c r="AR79" s="369"/>
      <c r="AS79" s="369"/>
      <c r="AT79" s="369"/>
      <c r="AU79" s="369"/>
      <c r="AV79" s="370"/>
    </row>
    <row r="80" spans="34:48">
      <c r="AH80" s="341" t="s">
        <v>127</v>
      </c>
      <c r="AJ80" s="342">
        <v>45352</v>
      </c>
      <c r="AK80" s="342">
        <v>45383</v>
      </c>
      <c r="AL80" s="342">
        <v>45413</v>
      </c>
      <c r="AM80" s="342">
        <v>45444</v>
      </c>
      <c r="AN80" s="342">
        <v>45474</v>
      </c>
      <c r="AO80" s="342">
        <v>45505</v>
      </c>
      <c r="AP80" s="342">
        <v>45536</v>
      </c>
      <c r="AQ80" s="342">
        <v>45566</v>
      </c>
      <c r="AR80" s="342">
        <v>45597</v>
      </c>
      <c r="AS80" s="342">
        <v>45627</v>
      </c>
      <c r="AT80" s="342">
        <v>45658</v>
      </c>
      <c r="AU80" s="342">
        <v>45689</v>
      </c>
      <c r="AV80" s="343">
        <v>45717</v>
      </c>
    </row>
    <row r="81" spans="34:48">
      <c r="AH81" s="344">
        <f>(AV81-AJ81)/12</f>
        <v>0</v>
      </c>
      <c r="AI81" s="345"/>
      <c r="AJ81" s="345">
        <f>AV81</f>
        <v>20</v>
      </c>
      <c r="AK81" s="345">
        <f>AJ81+$AH$81</f>
        <v>20</v>
      </c>
      <c r="AL81" s="345">
        <f t="shared" ref="AL81:AU81" si="18">AK81+$AH$81</f>
        <v>20</v>
      </c>
      <c r="AM81" s="345">
        <f t="shared" si="18"/>
        <v>20</v>
      </c>
      <c r="AN81" s="345">
        <f t="shared" si="18"/>
        <v>20</v>
      </c>
      <c r="AO81" s="345">
        <f t="shared" si="18"/>
        <v>20</v>
      </c>
      <c r="AP81" s="345">
        <f t="shared" si="18"/>
        <v>20</v>
      </c>
      <c r="AQ81" s="345">
        <f t="shared" si="18"/>
        <v>20</v>
      </c>
      <c r="AR81" s="345">
        <f t="shared" si="18"/>
        <v>20</v>
      </c>
      <c r="AS81" s="345">
        <f t="shared" si="18"/>
        <v>20</v>
      </c>
      <c r="AT81" s="345">
        <f t="shared" si="18"/>
        <v>20</v>
      </c>
      <c r="AU81" s="345">
        <f t="shared" si="18"/>
        <v>20</v>
      </c>
      <c r="AV81" s="346">
        <v>20</v>
      </c>
    </row>
    <row r="82" spans="34:48">
      <c r="AH82" s="344">
        <f>(AV82-AJ82)/12</f>
        <v>-8.3333333333333329E-2</v>
      </c>
      <c r="AI82" s="347" t="s">
        <v>2</v>
      </c>
      <c r="AJ82" s="345">
        <f>AV81</f>
        <v>20</v>
      </c>
      <c r="AK82" s="345">
        <f>AJ82+$AH$82</f>
        <v>19.916666666666668</v>
      </c>
      <c r="AL82" s="345">
        <f t="shared" ref="AL82:AU82" si="19">AK82+$AH$82</f>
        <v>19.833333333333336</v>
      </c>
      <c r="AM82" s="345">
        <f t="shared" si="19"/>
        <v>19.750000000000004</v>
      </c>
      <c r="AN82" s="345">
        <f t="shared" si="19"/>
        <v>19.666666666666671</v>
      </c>
      <c r="AO82" s="345">
        <f t="shared" si="19"/>
        <v>19.583333333333339</v>
      </c>
      <c r="AP82" s="345">
        <f t="shared" si="19"/>
        <v>19.500000000000007</v>
      </c>
      <c r="AQ82" s="345">
        <f t="shared" si="19"/>
        <v>19.416666666666675</v>
      </c>
      <c r="AR82" s="345">
        <f t="shared" si="19"/>
        <v>19.333333333333343</v>
      </c>
      <c r="AS82" s="345">
        <f t="shared" si="19"/>
        <v>19.250000000000011</v>
      </c>
      <c r="AT82" s="345">
        <f t="shared" si="19"/>
        <v>19.166666666666679</v>
      </c>
      <c r="AU82" s="345">
        <f t="shared" si="19"/>
        <v>19.083333333333346</v>
      </c>
      <c r="AV82" s="348">
        <f>AV81-(AV81-AV84)*0.5</f>
        <v>19</v>
      </c>
    </row>
    <row r="83" spans="34:48">
      <c r="AH83" s="344">
        <f>(AV83-AJ83)/12</f>
        <v>-0.13333333333333344</v>
      </c>
      <c r="AI83" s="349" t="s">
        <v>2</v>
      </c>
      <c r="AJ83" s="345">
        <f>AV81</f>
        <v>20</v>
      </c>
      <c r="AK83" s="345">
        <f>AJ83+$AH$83</f>
        <v>19.866666666666667</v>
      </c>
      <c r="AL83" s="345">
        <f t="shared" ref="AL83:AU83" si="20">AK83+$AH$83</f>
        <v>19.733333333333334</v>
      </c>
      <c r="AM83" s="345">
        <f t="shared" si="20"/>
        <v>19.600000000000001</v>
      </c>
      <c r="AN83" s="345">
        <f t="shared" si="20"/>
        <v>19.466666666666669</v>
      </c>
      <c r="AO83" s="345">
        <f t="shared" si="20"/>
        <v>19.333333333333336</v>
      </c>
      <c r="AP83" s="345">
        <f t="shared" si="20"/>
        <v>19.200000000000003</v>
      </c>
      <c r="AQ83" s="345">
        <f t="shared" si="20"/>
        <v>19.06666666666667</v>
      </c>
      <c r="AR83" s="345">
        <f t="shared" si="20"/>
        <v>18.933333333333337</v>
      </c>
      <c r="AS83" s="345">
        <f t="shared" si="20"/>
        <v>18.800000000000004</v>
      </c>
      <c r="AT83" s="345">
        <f t="shared" si="20"/>
        <v>18.666666666666671</v>
      </c>
      <c r="AU83" s="345">
        <f t="shared" si="20"/>
        <v>18.533333333333339</v>
      </c>
      <c r="AV83" s="350">
        <f>AV81-(AV81-AV84)*0.8</f>
        <v>18.399999999999999</v>
      </c>
    </row>
    <row r="84" spans="34:48">
      <c r="AH84" s="344">
        <f>(AV84-AJ84)/12</f>
        <v>-0.16666666666666666</v>
      </c>
      <c r="AI84" s="351" t="s">
        <v>2</v>
      </c>
      <c r="AJ84" s="345">
        <f>AV81</f>
        <v>20</v>
      </c>
      <c r="AK84" s="345">
        <f>AJ84+$AH$84</f>
        <v>19.833333333333332</v>
      </c>
      <c r="AL84" s="345">
        <f t="shared" ref="AL84:AU84" si="21">AK84+$AH$84</f>
        <v>19.666666666666664</v>
      </c>
      <c r="AM84" s="345">
        <f t="shared" si="21"/>
        <v>19.499999999999996</v>
      </c>
      <c r="AN84" s="345">
        <f t="shared" si="21"/>
        <v>19.333333333333329</v>
      </c>
      <c r="AO84" s="345">
        <f t="shared" si="21"/>
        <v>19.166666666666661</v>
      </c>
      <c r="AP84" s="345">
        <f t="shared" si="21"/>
        <v>18.999999999999993</v>
      </c>
      <c r="AQ84" s="345">
        <f t="shared" si="21"/>
        <v>18.833333333333325</v>
      </c>
      <c r="AR84" s="345">
        <f t="shared" si="21"/>
        <v>18.666666666666657</v>
      </c>
      <c r="AS84" s="345">
        <f t="shared" si="21"/>
        <v>18.499999999999989</v>
      </c>
      <c r="AT84" s="345">
        <f t="shared" si="21"/>
        <v>18.333333333333321</v>
      </c>
      <c r="AU84" s="345">
        <f t="shared" si="21"/>
        <v>18.166666666666654</v>
      </c>
      <c r="AV84" s="352">
        <v>18</v>
      </c>
    </row>
    <row r="85" spans="34:48">
      <c r="AH85" s="721" t="s">
        <v>3</v>
      </c>
      <c r="AI85" s="722"/>
      <c r="AJ85" s="355"/>
      <c r="AK85" s="356">
        <f>AK87</f>
        <v>1</v>
      </c>
      <c r="AL85" s="356">
        <f t="shared" ref="AL85:AU85" si="22">AK85+AL87</f>
        <v>2</v>
      </c>
      <c r="AM85" s="356">
        <f t="shared" si="22"/>
        <v>3</v>
      </c>
      <c r="AN85" s="356">
        <f t="shared" si="22"/>
        <v>5</v>
      </c>
      <c r="AO85" s="356">
        <f t="shared" si="22"/>
        <v>8</v>
      </c>
      <c r="AP85" s="356">
        <f t="shared" si="22"/>
        <v>8</v>
      </c>
      <c r="AQ85" s="356">
        <f t="shared" si="22"/>
        <v>8</v>
      </c>
      <c r="AR85" s="356">
        <f t="shared" si="22"/>
        <v>8</v>
      </c>
      <c r="AS85" s="356">
        <f t="shared" si="22"/>
        <v>8</v>
      </c>
      <c r="AT85" s="356">
        <f t="shared" si="22"/>
        <v>8</v>
      </c>
      <c r="AU85" s="356">
        <f t="shared" si="22"/>
        <v>8</v>
      </c>
      <c r="AV85" s="357">
        <f>AU85+AV87</f>
        <v>8</v>
      </c>
    </row>
    <row r="86" spans="34:48">
      <c r="AH86" s="353"/>
      <c r="AI86" s="354"/>
      <c r="AJ86" s="355"/>
      <c r="AK86" s="355"/>
      <c r="AL86" s="356"/>
      <c r="AM86" s="356"/>
      <c r="AN86" s="355"/>
      <c r="AO86" s="355"/>
      <c r="AP86" s="356"/>
      <c r="AQ86" s="356"/>
      <c r="AR86" s="356"/>
      <c r="AS86" s="356"/>
      <c r="AT86" s="356"/>
      <c r="AU86" s="356"/>
      <c r="AV86" s="357"/>
    </row>
    <row r="87" spans="34:48">
      <c r="AH87" s="721" t="s">
        <v>4</v>
      </c>
      <c r="AI87" s="722"/>
      <c r="AJ87" s="331"/>
      <c r="AK87" s="358">
        <f>CN!AK91+PPD!AI87+Support!AK45</f>
        <v>1</v>
      </c>
      <c r="AL87" s="358">
        <f>CN!AL91+PPD!AJ87+Support!AL45</f>
        <v>1</v>
      </c>
      <c r="AM87" s="358">
        <f>CN!AM91+PPD!AK87+Support!AM45</f>
        <v>1</v>
      </c>
      <c r="AN87" s="358">
        <f>CN!AN91+PPD!AL87+Support!AN45</f>
        <v>2</v>
      </c>
      <c r="AO87" s="358">
        <f>CN!AO91+PPD!AM87+Support!AO45</f>
        <v>3</v>
      </c>
      <c r="AP87" s="358">
        <f>CN!AP91+PPD!AN87+Support!AP45</f>
        <v>0</v>
      </c>
      <c r="AQ87" s="358">
        <f>CN!AQ91+PPD!AO87+Support!AQ45</f>
        <v>0</v>
      </c>
      <c r="AR87" s="358">
        <f>CN!AR91+PPD!AP87+Support!AR45</f>
        <v>0</v>
      </c>
      <c r="AS87" s="358">
        <f>CN!AS91+PPD!AQ87+Support!AS45</f>
        <v>0</v>
      </c>
      <c r="AT87" s="358">
        <f>CN!AT91+PPD!AR87+Support!AT45</f>
        <v>0</v>
      </c>
      <c r="AU87" s="358">
        <f>CN!AU91+PPD!AS87+Support!AU45</f>
        <v>0</v>
      </c>
      <c r="AV87" s="359">
        <f>CN!AV91+PPD!AT87+Support!AV45</f>
        <v>0</v>
      </c>
    </row>
    <row r="88" spans="34:48">
      <c r="AH88" s="353"/>
      <c r="AI88" s="354"/>
      <c r="AJ88" s="331"/>
      <c r="AK88" s="331">
        <f>AK87</f>
        <v>1</v>
      </c>
      <c r="AL88" s="331">
        <f>AL87</f>
        <v>1</v>
      </c>
      <c r="AM88" s="331">
        <f>AM87</f>
        <v>1</v>
      </c>
      <c r="AN88" s="331">
        <f>AN87</f>
        <v>2</v>
      </c>
      <c r="AO88" s="331">
        <f>AO87</f>
        <v>3</v>
      </c>
      <c r="AP88" s="331">
        <f t="shared" ref="AP88:AV88" si="23">AP87</f>
        <v>0</v>
      </c>
      <c r="AQ88" s="331">
        <f t="shared" si="23"/>
        <v>0</v>
      </c>
      <c r="AR88" s="331">
        <f t="shared" si="23"/>
        <v>0</v>
      </c>
      <c r="AS88" s="331">
        <f t="shared" si="23"/>
        <v>0</v>
      </c>
      <c r="AT88" s="331">
        <f t="shared" si="23"/>
        <v>0</v>
      </c>
      <c r="AU88" s="331">
        <f t="shared" si="23"/>
        <v>0</v>
      </c>
      <c r="AV88" s="360">
        <f t="shared" si="23"/>
        <v>0</v>
      </c>
    </row>
    <row r="89" spans="34:48">
      <c r="AH89" s="721" t="s">
        <v>5</v>
      </c>
      <c r="AI89" s="722"/>
      <c r="AK89" s="361">
        <f>(AK81-AK85)/(AK81-AK84)</f>
        <v>113.99999999999919</v>
      </c>
      <c r="AL89" s="361">
        <f t="shared" ref="AL89:AV89" si="24">(AL81-AL85)/(AL81-AL84)</f>
        <v>53.999999999999616</v>
      </c>
      <c r="AM89" s="361">
        <f t="shared" si="24"/>
        <v>33.999999999999758</v>
      </c>
      <c r="AN89" s="361">
        <f t="shared" si="24"/>
        <v>22.49999999999984</v>
      </c>
      <c r="AO89" s="361">
        <f t="shared" si="24"/>
        <v>14.399999999999897</v>
      </c>
      <c r="AP89" s="361">
        <f t="shared" si="24"/>
        <v>11.999999999999915</v>
      </c>
      <c r="AQ89" s="361">
        <f t="shared" si="24"/>
        <v>10.285714285714212</v>
      </c>
      <c r="AR89" s="361">
        <f t="shared" si="24"/>
        <v>8.9999999999999361</v>
      </c>
      <c r="AS89" s="361">
        <f t="shared" si="24"/>
        <v>7.9999999999999432</v>
      </c>
      <c r="AT89" s="361">
        <f t="shared" si="24"/>
        <v>7.1999999999999487</v>
      </c>
      <c r="AU89" s="361">
        <f t="shared" si="24"/>
        <v>6.5454545454544988</v>
      </c>
      <c r="AV89" s="362">
        <f t="shared" si="24"/>
        <v>6</v>
      </c>
    </row>
    <row r="90" spans="34:48">
      <c r="AH90" s="721" t="s">
        <v>6</v>
      </c>
      <c r="AI90" s="722"/>
      <c r="AK90" s="363">
        <f t="shared" ref="AK90:AV90" si="25">IF(OR(AK89&gt;=100%),100%,IF(OR(AK89&lt;=0%),0%,AVERAGE(AK89)))</f>
        <v>1</v>
      </c>
      <c r="AL90" s="363">
        <f t="shared" si="25"/>
        <v>1</v>
      </c>
      <c r="AM90" s="363">
        <f t="shared" si="25"/>
        <v>1</v>
      </c>
      <c r="AN90" s="363">
        <f t="shared" si="25"/>
        <v>1</v>
      </c>
      <c r="AO90" s="363">
        <f t="shared" si="25"/>
        <v>1</v>
      </c>
      <c r="AP90" s="363">
        <f t="shared" si="25"/>
        <v>1</v>
      </c>
      <c r="AQ90" s="363">
        <f t="shared" si="25"/>
        <v>1</v>
      </c>
      <c r="AR90" s="363">
        <f t="shared" si="25"/>
        <v>1</v>
      </c>
      <c r="AS90" s="363">
        <f t="shared" si="25"/>
        <v>1</v>
      </c>
      <c r="AT90" s="363">
        <f t="shared" si="25"/>
        <v>1</v>
      </c>
      <c r="AU90" s="363">
        <f t="shared" si="25"/>
        <v>1</v>
      </c>
      <c r="AV90" s="364">
        <f t="shared" si="25"/>
        <v>1</v>
      </c>
    </row>
    <row r="91" spans="34:48">
      <c r="AH91" s="717" t="s">
        <v>7</v>
      </c>
      <c r="AI91" s="718"/>
      <c r="AK91" s="365">
        <f>AK90*0.05</f>
        <v>0.05</v>
      </c>
      <c r="AL91" s="365">
        <f t="shared" ref="AL91:AV91" si="26">AL90*0.05</f>
        <v>0.05</v>
      </c>
      <c r="AM91" s="365">
        <f t="shared" si="26"/>
        <v>0.05</v>
      </c>
      <c r="AN91" s="365">
        <f t="shared" si="26"/>
        <v>0.05</v>
      </c>
      <c r="AO91" s="365">
        <f t="shared" si="26"/>
        <v>0.05</v>
      </c>
      <c r="AP91" s="365">
        <f t="shared" si="26"/>
        <v>0.05</v>
      </c>
      <c r="AQ91" s="365">
        <f t="shared" si="26"/>
        <v>0.05</v>
      </c>
      <c r="AR91" s="365">
        <f t="shared" si="26"/>
        <v>0.05</v>
      </c>
      <c r="AS91" s="365">
        <f t="shared" si="26"/>
        <v>0.05</v>
      </c>
      <c r="AT91" s="365">
        <f t="shared" si="26"/>
        <v>0.05</v>
      </c>
      <c r="AU91" s="365">
        <f t="shared" si="26"/>
        <v>0.05</v>
      </c>
      <c r="AV91" s="366">
        <f t="shared" si="26"/>
        <v>0.05</v>
      </c>
    </row>
    <row r="92" spans="34:48">
      <c r="AH92" s="367"/>
      <c r="AI92" s="368"/>
      <c r="AJ92" s="368"/>
      <c r="AK92" s="369"/>
      <c r="AL92" s="369"/>
      <c r="AM92" s="369"/>
      <c r="AN92" s="369"/>
      <c r="AO92" s="369"/>
      <c r="AP92" s="369"/>
      <c r="AQ92" s="369"/>
      <c r="AR92" s="369"/>
      <c r="AS92" s="369"/>
      <c r="AT92" s="369"/>
      <c r="AU92" s="369"/>
      <c r="AV92" s="370"/>
    </row>
    <row r="93" spans="34:48">
      <c r="AH93" s="367"/>
      <c r="AI93" s="368"/>
      <c r="AJ93" s="368"/>
      <c r="AK93" s="369"/>
      <c r="AL93" s="369"/>
      <c r="AM93" s="369"/>
      <c r="AN93" s="369"/>
      <c r="AO93" s="369"/>
      <c r="AP93" s="369"/>
      <c r="AQ93" s="369"/>
      <c r="AR93" s="369"/>
      <c r="AS93" s="369"/>
      <c r="AT93" s="369"/>
      <c r="AU93" s="369"/>
      <c r="AV93" s="370"/>
    </row>
    <row r="94" spans="34:48">
      <c r="AH94" s="341" t="s">
        <v>128</v>
      </c>
      <c r="AJ94" s="342">
        <v>45352</v>
      </c>
      <c r="AK94" s="342">
        <v>45383</v>
      </c>
      <c r="AL94" s="342">
        <v>45413</v>
      </c>
      <c r="AM94" s="342">
        <v>45444</v>
      </c>
      <c r="AN94" s="342">
        <v>45474</v>
      </c>
      <c r="AO94" s="342">
        <v>45505</v>
      </c>
      <c r="AP94" s="342">
        <v>45536</v>
      </c>
      <c r="AQ94" s="342">
        <v>45566</v>
      </c>
      <c r="AR94" s="342">
        <v>45597</v>
      </c>
      <c r="AS94" s="342">
        <v>45627</v>
      </c>
      <c r="AT94" s="342">
        <v>45658</v>
      </c>
      <c r="AU94" s="342">
        <v>45689</v>
      </c>
      <c r="AV94" s="343">
        <v>45717</v>
      </c>
    </row>
    <row r="95" spans="34:48">
      <c r="AH95" s="372">
        <f>(AV95-AJ95)/12</f>
        <v>-14.416666666666666</v>
      </c>
      <c r="AI95" s="373" t="s">
        <v>2</v>
      </c>
      <c r="AJ95" s="374">
        <f>AV98</f>
        <v>2478</v>
      </c>
      <c r="AK95" s="374">
        <f>++AJ95+$AH$95</f>
        <v>2463.5833333333335</v>
      </c>
      <c r="AL95" s="374">
        <f t="shared" ref="AL95:AU95" si="27">++AK95+$AH$95</f>
        <v>2449.166666666667</v>
      </c>
      <c r="AM95" s="374">
        <f t="shared" si="27"/>
        <v>2434.7500000000005</v>
      </c>
      <c r="AN95" s="374">
        <f t="shared" si="27"/>
        <v>2420.3333333333339</v>
      </c>
      <c r="AO95" s="374">
        <f t="shared" si="27"/>
        <v>2405.9166666666674</v>
      </c>
      <c r="AP95" s="374">
        <f t="shared" si="27"/>
        <v>2391.5000000000009</v>
      </c>
      <c r="AQ95" s="374">
        <f t="shared" si="27"/>
        <v>2377.0833333333344</v>
      </c>
      <c r="AR95" s="374">
        <f t="shared" si="27"/>
        <v>2362.6666666666679</v>
      </c>
      <c r="AS95" s="374">
        <f t="shared" si="27"/>
        <v>2348.2500000000014</v>
      </c>
      <c r="AT95" s="374">
        <f t="shared" si="27"/>
        <v>2333.8333333333348</v>
      </c>
      <c r="AU95" s="374">
        <f t="shared" si="27"/>
        <v>2319.4166666666683</v>
      </c>
      <c r="AV95" s="375">
        <v>2305</v>
      </c>
    </row>
    <row r="96" spans="34:48">
      <c r="AH96" s="372">
        <f>(AV96-AJ96)/12</f>
        <v>-11.53333333333334</v>
      </c>
      <c r="AI96" s="376" t="s">
        <v>2</v>
      </c>
      <c r="AJ96" s="374">
        <f>AV98</f>
        <v>2478</v>
      </c>
      <c r="AK96" s="374">
        <f>++AJ96+$AH$96</f>
        <v>2466.4666666666667</v>
      </c>
      <c r="AL96" s="374">
        <f t="shared" ref="AL96:AU96" si="28">++AK96+$AG$80</f>
        <v>2466.4666666666667</v>
      </c>
      <c r="AM96" s="374">
        <f t="shared" si="28"/>
        <v>2466.4666666666667</v>
      </c>
      <c r="AN96" s="374">
        <f t="shared" si="28"/>
        <v>2466.4666666666667</v>
      </c>
      <c r="AO96" s="374">
        <f t="shared" si="28"/>
        <v>2466.4666666666667</v>
      </c>
      <c r="AP96" s="374">
        <f t="shared" si="28"/>
        <v>2466.4666666666667</v>
      </c>
      <c r="AQ96" s="374">
        <f t="shared" si="28"/>
        <v>2466.4666666666667</v>
      </c>
      <c r="AR96" s="374">
        <f t="shared" si="28"/>
        <v>2466.4666666666667</v>
      </c>
      <c r="AS96" s="374">
        <f t="shared" si="28"/>
        <v>2466.4666666666667</v>
      </c>
      <c r="AT96" s="374">
        <f t="shared" si="28"/>
        <v>2466.4666666666667</v>
      </c>
      <c r="AU96" s="374">
        <f t="shared" si="28"/>
        <v>2466.4666666666667</v>
      </c>
      <c r="AV96" s="377">
        <f>AV95-(AV95-AV98)*0.2</f>
        <v>2339.6</v>
      </c>
    </row>
    <row r="97" spans="34:48">
      <c r="AH97" s="372">
        <f>(AV97-AJ97)/12</f>
        <v>-7.208333333333333</v>
      </c>
      <c r="AI97" s="378" t="s">
        <v>2</v>
      </c>
      <c r="AJ97" s="374">
        <f>AV98</f>
        <v>2478</v>
      </c>
      <c r="AK97" s="374">
        <f>++AJ97+$AH$97</f>
        <v>2470.7916666666665</v>
      </c>
      <c r="AL97" s="374">
        <f t="shared" ref="AL97:AU97" si="29">++AK97+$AH$97</f>
        <v>2463.583333333333</v>
      </c>
      <c r="AM97" s="374">
        <f t="shared" si="29"/>
        <v>2456.3749999999995</v>
      </c>
      <c r="AN97" s="374">
        <f t="shared" si="29"/>
        <v>2449.1666666666661</v>
      </c>
      <c r="AO97" s="374">
        <f t="shared" si="29"/>
        <v>2441.9583333333326</v>
      </c>
      <c r="AP97" s="374">
        <f t="shared" si="29"/>
        <v>2434.7499999999991</v>
      </c>
      <c r="AQ97" s="374">
        <f t="shared" si="29"/>
        <v>2427.5416666666656</v>
      </c>
      <c r="AR97" s="374">
        <f t="shared" si="29"/>
        <v>2420.3333333333321</v>
      </c>
      <c r="AS97" s="374">
        <f t="shared" si="29"/>
        <v>2413.1249999999986</v>
      </c>
      <c r="AT97" s="374">
        <f t="shared" si="29"/>
        <v>2405.9166666666652</v>
      </c>
      <c r="AU97" s="374">
        <f t="shared" si="29"/>
        <v>2398.7083333333317</v>
      </c>
      <c r="AV97" s="379">
        <f>AV95-(AV95-AV98)*0.5</f>
        <v>2391.5</v>
      </c>
    </row>
    <row r="98" spans="34:48">
      <c r="AH98" s="372">
        <f>(AV98-AJ98)/12</f>
        <v>0</v>
      </c>
      <c r="AI98" s="355"/>
      <c r="AJ98" s="374">
        <f>$AV$98</f>
        <v>2478</v>
      </c>
      <c r="AK98" s="374">
        <f t="shared" ref="AK98:AU98" si="30">$AV$98</f>
        <v>2478</v>
      </c>
      <c r="AL98" s="374">
        <f t="shared" si="30"/>
        <v>2478</v>
      </c>
      <c r="AM98" s="374">
        <f t="shared" si="30"/>
        <v>2478</v>
      </c>
      <c r="AN98" s="374">
        <f t="shared" si="30"/>
        <v>2478</v>
      </c>
      <c r="AO98" s="374">
        <f t="shared" si="30"/>
        <v>2478</v>
      </c>
      <c r="AP98" s="374">
        <f t="shared" si="30"/>
        <v>2478</v>
      </c>
      <c r="AQ98" s="374">
        <f t="shared" si="30"/>
        <v>2478</v>
      </c>
      <c r="AR98" s="374">
        <f t="shared" si="30"/>
        <v>2478</v>
      </c>
      <c r="AS98" s="374">
        <f t="shared" si="30"/>
        <v>2478</v>
      </c>
      <c r="AT98" s="374">
        <f t="shared" si="30"/>
        <v>2478</v>
      </c>
      <c r="AU98" s="374">
        <f t="shared" si="30"/>
        <v>2478</v>
      </c>
      <c r="AV98" s="380">
        <v>2478</v>
      </c>
    </row>
    <row r="99" spans="34:48">
      <c r="AH99" s="381" t="s">
        <v>10</v>
      </c>
      <c r="AI99" s="354"/>
      <c r="AJ99" s="382"/>
      <c r="AK99" s="383">
        <f t="shared" ref="AK99:AV99" si="31">AK103/AK102*1000000</f>
        <v>2270.7992615822018</v>
      </c>
      <c r="AL99" s="383">
        <f t="shared" si="31"/>
        <v>1938.8589223962706</v>
      </c>
      <c r="AM99" s="383">
        <f t="shared" si="31"/>
        <v>2444.5093678745943</v>
      </c>
      <c r="AN99" s="383">
        <f t="shared" si="31"/>
        <v>3187.6247896363716</v>
      </c>
      <c r="AO99" s="383">
        <f t="shared" si="31"/>
        <v>2291.5637063058493</v>
      </c>
      <c r="AP99" s="383" t="e">
        <f t="shared" si="31"/>
        <v>#DIV/0!</v>
      </c>
      <c r="AQ99" s="383" t="e">
        <f t="shared" si="31"/>
        <v>#DIV/0!</v>
      </c>
      <c r="AR99" s="383" t="e">
        <f t="shared" si="31"/>
        <v>#DIV/0!</v>
      </c>
      <c r="AS99" s="383" t="e">
        <f t="shared" si="31"/>
        <v>#DIV/0!</v>
      </c>
      <c r="AT99" s="383" t="e">
        <f t="shared" si="31"/>
        <v>#DIV/0!</v>
      </c>
      <c r="AU99" s="383" t="e">
        <f t="shared" si="31"/>
        <v>#DIV/0!</v>
      </c>
      <c r="AV99" s="384" t="e">
        <f t="shared" si="31"/>
        <v>#DIV/0!</v>
      </c>
    </row>
    <row r="100" spans="34:48">
      <c r="AH100" s="381" t="s">
        <v>11</v>
      </c>
      <c r="AI100" s="354"/>
      <c r="AJ100" s="382"/>
      <c r="AK100" s="361">
        <f>AK101/AK102</f>
        <v>0.99772920073841775</v>
      </c>
      <c r="AL100" s="361">
        <f t="shared" ref="AL100:AV100" si="32">AL101/AL102</f>
        <v>0.99806114107760369</v>
      </c>
      <c r="AM100" s="361">
        <f t="shared" si="32"/>
        <v>0.99755549063212545</v>
      </c>
      <c r="AN100" s="361">
        <f t="shared" si="32"/>
        <v>0.99681237521036359</v>
      </c>
      <c r="AO100" s="361">
        <f t="shared" si="32"/>
        <v>0.9977084362936941</v>
      </c>
      <c r="AP100" s="361" t="e">
        <f t="shared" si="32"/>
        <v>#DIV/0!</v>
      </c>
      <c r="AQ100" s="361" t="e">
        <f t="shared" si="32"/>
        <v>#DIV/0!</v>
      </c>
      <c r="AR100" s="361" t="e">
        <f t="shared" si="32"/>
        <v>#DIV/0!</v>
      </c>
      <c r="AS100" s="361" t="e">
        <f t="shared" si="32"/>
        <v>#DIV/0!</v>
      </c>
      <c r="AT100" s="361" t="e">
        <f t="shared" si="32"/>
        <v>#DIV/0!</v>
      </c>
      <c r="AU100" s="361" t="e">
        <f t="shared" si="32"/>
        <v>#DIV/0!</v>
      </c>
      <c r="AV100" s="362" t="e">
        <f t="shared" si="32"/>
        <v>#DIV/0!</v>
      </c>
    </row>
    <row r="101" spans="34:48">
      <c r="AH101" s="160"/>
      <c r="AI101" s="161" t="s">
        <v>12</v>
      </c>
      <c r="AJ101" s="385"/>
      <c r="AK101" s="386">
        <f>TS!AG78+PPD!AI100+CN!AK105+YF!AK88</f>
        <v>7580073</v>
      </c>
      <c r="AL101" s="386">
        <f>TS!AH78+PPD!AJ100+CN!AL105+YF!AL88</f>
        <v>13402481</v>
      </c>
      <c r="AM101" s="386">
        <f>TS!AI78+PPD!AK100+CN!AM105+YF!AM88</f>
        <v>13326670</v>
      </c>
      <c r="AN101" s="386">
        <f>TS!AJ78+PPD!AL100+CN!AN105+YF!AN88</f>
        <v>12150159</v>
      </c>
      <c r="AO101" s="386">
        <f>TS!AK78+PPD!AM100+CN!AO105+YF!AO88</f>
        <v>8365889</v>
      </c>
      <c r="AP101" s="386">
        <f>TS!AL78+PPD!AN100+CN!AP105+YF!AP88</f>
        <v>0</v>
      </c>
      <c r="AQ101" s="386">
        <f>TS!AM78+PPD!AO100+CN!AQ105+YF!AQ88</f>
        <v>0</v>
      </c>
      <c r="AR101" s="386">
        <f>TS!AN78+PPD!AP100+CN!AR105+YF!AR88</f>
        <v>0</v>
      </c>
      <c r="AS101" s="386">
        <f>TS!AO78+PPD!AQ100+CN!AS105+YF!AS88</f>
        <v>0</v>
      </c>
      <c r="AT101" s="386">
        <f>TS!AP78+PPD!AR100+CN!AT105+YF!AT88</f>
        <v>0</v>
      </c>
      <c r="AU101" s="386">
        <f>TS!AQ78+PPD!AS100+CN!AU105+YF!AU88</f>
        <v>0</v>
      </c>
      <c r="AV101" s="387">
        <f>TS!AR78+PPD!AT100+CN!AV105+YF!AV88</f>
        <v>0</v>
      </c>
    </row>
    <row r="102" spans="34:48">
      <c r="AH102" s="160"/>
      <c r="AI102" s="161" t="s">
        <v>13</v>
      </c>
      <c r="AJ102" s="369"/>
      <c r="AK102" s="386">
        <f>TS!AG79+PPD!AI101+CN!AK106+YF!AK89</f>
        <v>7597325</v>
      </c>
      <c r="AL102" s="386">
        <f>TS!AH79+PPD!AJ101+CN!AL106+YF!AL89</f>
        <v>13428517</v>
      </c>
      <c r="AM102" s="386">
        <f>TS!AI79+PPD!AK101+CN!AM106+YF!AM89</f>
        <v>13359327</v>
      </c>
      <c r="AN102" s="386">
        <f>TS!AJ79+PPD!AL101+CN!AN106+YF!AN89</f>
        <v>12189013</v>
      </c>
      <c r="AO102" s="386">
        <f>TS!AK79+PPD!AM101+CN!AO106+YF!AO89</f>
        <v>8385104</v>
      </c>
      <c r="AP102" s="386">
        <f>TS!AL79+PPD!AN101+CN!AP106+YF!AP89</f>
        <v>0</v>
      </c>
      <c r="AQ102" s="386">
        <f>TS!AM79+PPD!AO101+CN!AQ106+YF!AQ89</f>
        <v>0</v>
      </c>
      <c r="AR102" s="386">
        <f>TS!AN79+PPD!AP101+CN!AR106+YF!AR89</f>
        <v>0</v>
      </c>
      <c r="AS102" s="386">
        <f>TS!AO79+PPD!AQ101+CN!AS106+YF!AS89</f>
        <v>0</v>
      </c>
      <c r="AT102" s="386">
        <f>TS!AP79+PPD!AR101+CN!AT106+YF!AT89</f>
        <v>0</v>
      </c>
      <c r="AU102" s="386">
        <f>TS!AQ79+PPD!AS101+CN!AU106+YF!AU89</f>
        <v>0</v>
      </c>
      <c r="AV102" s="387">
        <f>TS!AR79+PPD!AT101+CN!AV106+YF!AV89</f>
        <v>0</v>
      </c>
    </row>
    <row r="103" spans="34:48">
      <c r="AH103" s="160"/>
      <c r="AI103" s="161" t="s">
        <v>14</v>
      </c>
      <c r="AJ103" s="369"/>
      <c r="AK103" s="386">
        <f>TS!AG80+PPD!AI102+CN!AK107+YF!AK90</f>
        <v>17252</v>
      </c>
      <c r="AL103" s="386">
        <f>TS!AH80+PPD!AJ102+CN!AL107+YF!AL90</f>
        <v>26036</v>
      </c>
      <c r="AM103" s="386">
        <f>TS!AI80+PPD!AK102+CN!AM107+YF!AM90</f>
        <v>32657</v>
      </c>
      <c r="AN103" s="386">
        <f>TS!AJ80+PPD!AL102+CN!AN107+YF!AN90</f>
        <v>38854</v>
      </c>
      <c r="AO103" s="386">
        <f>TS!AK80+PPD!AM102+CN!AO107+YF!AO90</f>
        <v>19215</v>
      </c>
      <c r="AP103" s="386">
        <f>TS!AL80+PPD!AN102+CN!AP107+YF!AP90</f>
        <v>0</v>
      </c>
      <c r="AQ103" s="386">
        <f>TS!AM80+PPD!AO102+CN!AQ107+YF!AQ90</f>
        <v>0</v>
      </c>
      <c r="AR103" s="386">
        <f>TS!AN80+PPD!AP102+CN!AR107+YF!AR90</f>
        <v>0</v>
      </c>
      <c r="AS103" s="386">
        <f>TS!AO80+PPD!AQ102+CN!AS107+YF!AS90</f>
        <v>0</v>
      </c>
      <c r="AT103" s="386">
        <f>TS!AP80+PPD!AR102+CN!AT107+YF!AT90</f>
        <v>0</v>
      </c>
      <c r="AU103" s="386">
        <f>TS!AQ80+PPD!AS102+CN!AU107+YF!AU90</f>
        <v>0</v>
      </c>
      <c r="AV103" s="387">
        <f>TS!AR80+PPD!AT102+CN!AV107+YF!AV90</f>
        <v>0</v>
      </c>
    </row>
    <row r="104" spans="34:48">
      <c r="AH104" s="353" t="s">
        <v>5</v>
      </c>
      <c r="AI104" s="354"/>
      <c r="AK104" s="388">
        <f>(AK99-AK98)/(AK95-AK98)</f>
        <v>14.372305554991936</v>
      </c>
      <c r="AL104" s="388">
        <f t="shared" ref="AL104:AV104" si="33">(AL99-AL98)/(AL95-AL98)</f>
        <v>18.698534483366533</v>
      </c>
      <c r="AM104" s="388">
        <f t="shared" si="33"/>
        <v>0.77434987573193148</v>
      </c>
      <c r="AN104" s="388">
        <f t="shared" si="33"/>
        <v>-12.305632190226227</v>
      </c>
      <c r="AO104" s="388">
        <f t="shared" si="33"/>
        <v>2.5863994500922907</v>
      </c>
      <c r="AP104" s="388" t="e">
        <f t="shared" si="33"/>
        <v>#DIV/0!</v>
      </c>
      <c r="AQ104" s="388" t="e">
        <f t="shared" si="33"/>
        <v>#DIV/0!</v>
      </c>
      <c r="AR104" s="388" t="e">
        <f t="shared" si="33"/>
        <v>#DIV/0!</v>
      </c>
      <c r="AS104" s="388" t="e">
        <f t="shared" si="33"/>
        <v>#DIV/0!</v>
      </c>
      <c r="AT104" s="388" t="e">
        <f t="shared" si="33"/>
        <v>#DIV/0!</v>
      </c>
      <c r="AU104" s="388" t="e">
        <f t="shared" si="33"/>
        <v>#DIV/0!</v>
      </c>
      <c r="AV104" s="389" t="e">
        <f t="shared" si="33"/>
        <v>#DIV/0!</v>
      </c>
    </row>
    <row r="105" spans="34:48">
      <c r="AH105" s="390" t="s">
        <v>6</v>
      </c>
      <c r="AI105" s="354"/>
      <c r="AK105" s="363">
        <f>IF(OR(AK104&gt;=100%),100%,IF(OR(AK104&lt;=0%),0%,AVERAGE(AK104)))</f>
        <v>1</v>
      </c>
      <c r="AL105" s="363">
        <f>IF(OR(AL104&gt;=100%),100%,IF(OR(AL104&lt;=0%),0%,AVERAGE(AL104)))</f>
        <v>1</v>
      </c>
      <c r="AM105" s="363">
        <f t="shared" ref="AM105:AV105" si="34">IF(OR(AM104&gt;=100%),100%,IF(OR(AM104&lt;=0%),0%,AVERAGE(AM104)))</f>
        <v>0.77434987573193148</v>
      </c>
      <c r="AN105" s="363">
        <f t="shared" si="34"/>
        <v>0</v>
      </c>
      <c r="AO105" s="363">
        <f t="shared" si="34"/>
        <v>1</v>
      </c>
      <c r="AP105" s="363" t="e">
        <f t="shared" si="34"/>
        <v>#DIV/0!</v>
      </c>
      <c r="AQ105" s="363" t="e">
        <f t="shared" si="34"/>
        <v>#DIV/0!</v>
      </c>
      <c r="AR105" s="363" t="e">
        <f t="shared" si="34"/>
        <v>#DIV/0!</v>
      </c>
      <c r="AS105" s="363" t="e">
        <f t="shared" si="34"/>
        <v>#DIV/0!</v>
      </c>
      <c r="AT105" s="363" t="e">
        <f t="shared" si="34"/>
        <v>#DIV/0!</v>
      </c>
      <c r="AU105" s="363" t="e">
        <f t="shared" si="34"/>
        <v>#DIV/0!</v>
      </c>
      <c r="AV105" s="364" t="e">
        <f t="shared" si="34"/>
        <v>#DIV/0!</v>
      </c>
    </row>
    <row r="106" spans="34:48">
      <c r="AH106" s="717" t="s">
        <v>7</v>
      </c>
      <c r="AI106" s="718"/>
      <c r="AK106" s="365">
        <f>AK105*0.1</f>
        <v>0.1</v>
      </c>
      <c r="AL106" s="365">
        <f t="shared" ref="AL106:AV106" si="35">AL105*0.1</f>
        <v>0.1</v>
      </c>
      <c r="AM106" s="365">
        <f t="shared" si="35"/>
        <v>7.7434987573193156E-2</v>
      </c>
      <c r="AN106" s="365">
        <f t="shared" si="35"/>
        <v>0</v>
      </c>
      <c r="AO106" s="365">
        <f t="shared" si="35"/>
        <v>0.1</v>
      </c>
      <c r="AP106" s="365" t="e">
        <f t="shared" si="35"/>
        <v>#DIV/0!</v>
      </c>
      <c r="AQ106" s="365" t="e">
        <f t="shared" si="35"/>
        <v>#DIV/0!</v>
      </c>
      <c r="AR106" s="365" t="e">
        <f t="shared" si="35"/>
        <v>#DIV/0!</v>
      </c>
      <c r="AS106" s="365" t="e">
        <f t="shared" si="35"/>
        <v>#DIV/0!</v>
      </c>
      <c r="AT106" s="365" t="e">
        <f t="shared" si="35"/>
        <v>#DIV/0!</v>
      </c>
      <c r="AU106" s="365" t="e">
        <f t="shared" si="35"/>
        <v>#DIV/0!</v>
      </c>
      <c r="AV106" s="366" t="e">
        <f t="shared" si="35"/>
        <v>#DIV/0!</v>
      </c>
    </row>
    <row r="107" spans="34:48">
      <c r="AH107" s="367"/>
      <c r="AI107" s="368"/>
      <c r="AJ107" s="368"/>
      <c r="AK107" s="368"/>
      <c r="AL107" s="368"/>
      <c r="AM107" s="368"/>
      <c r="AN107" s="368"/>
      <c r="AO107" s="368"/>
      <c r="AP107" s="368"/>
      <c r="AQ107" s="368"/>
      <c r="AR107" s="368"/>
      <c r="AS107" s="368"/>
      <c r="AT107" s="368"/>
      <c r="AU107" s="368"/>
      <c r="AV107" s="391"/>
    </row>
    <row r="108" spans="34:48">
      <c r="AH108" s="367"/>
      <c r="AI108" s="368"/>
      <c r="AJ108" s="368"/>
      <c r="AK108" s="368"/>
      <c r="AL108" s="368"/>
      <c r="AM108" s="368"/>
      <c r="AN108" s="368"/>
      <c r="AO108" s="368"/>
      <c r="AP108" s="368"/>
      <c r="AQ108" s="368"/>
      <c r="AR108" s="368"/>
      <c r="AS108" s="368"/>
      <c r="AT108" s="368"/>
      <c r="AU108" s="368"/>
      <c r="AV108" s="391"/>
    </row>
    <row r="109" spans="34:48">
      <c r="AH109" s="341" t="s">
        <v>129</v>
      </c>
      <c r="AJ109" s="342">
        <v>45352</v>
      </c>
      <c r="AK109" s="342">
        <v>45383</v>
      </c>
      <c r="AL109" s="342">
        <v>45413</v>
      </c>
      <c r="AM109" s="342">
        <v>45444</v>
      </c>
      <c r="AN109" s="342">
        <v>45474</v>
      </c>
      <c r="AO109" s="342">
        <v>45505</v>
      </c>
      <c r="AP109" s="342">
        <v>45536</v>
      </c>
      <c r="AQ109" s="342">
        <v>45566</v>
      </c>
      <c r="AR109" s="342">
        <v>45597</v>
      </c>
      <c r="AS109" s="342">
        <v>45627</v>
      </c>
      <c r="AT109" s="342">
        <v>45658</v>
      </c>
      <c r="AU109" s="342">
        <v>45689</v>
      </c>
      <c r="AV109" s="343">
        <v>45717</v>
      </c>
    </row>
    <row r="110" spans="34:48">
      <c r="AH110" s="344">
        <f>(AV110-AJ110)/12</f>
        <v>1.6666666666664831E-5</v>
      </c>
      <c r="AI110" s="373" t="s">
        <v>2</v>
      </c>
      <c r="AJ110" s="392">
        <f>$AV$113</f>
        <v>0.99750000000000005</v>
      </c>
      <c r="AK110" s="392">
        <f>AJ110+$AH$110</f>
        <v>0.99751666666666672</v>
      </c>
      <c r="AL110" s="392">
        <f t="shared" ref="AL110:AU110" si="36">AK110+$AH$110</f>
        <v>0.99753333333333338</v>
      </c>
      <c r="AM110" s="392">
        <f t="shared" si="36"/>
        <v>0.99755000000000005</v>
      </c>
      <c r="AN110" s="392">
        <f t="shared" si="36"/>
        <v>0.99756666666666671</v>
      </c>
      <c r="AO110" s="392">
        <f t="shared" si="36"/>
        <v>0.99758333333333338</v>
      </c>
      <c r="AP110" s="392">
        <f t="shared" si="36"/>
        <v>0.99760000000000004</v>
      </c>
      <c r="AQ110" s="392">
        <f t="shared" si="36"/>
        <v>0.99761666666666671</v>
      </c>
      <c r="AR110" s="392">
        <f t="shared" si="36"/>
        <v>0.99763333333333337</v>
      </c>
      <c r="AS110" s="392">
        <f t="shared" si="36"/>
        <v>0.99765000000000004</v>
      </c>
      <c r="AT110" s="392">
        <f t="shared" si="36"/>
        <v>0.9976666666666667</v>
      </c>
      <c r="AU110" s="392">
        <f t="shared" si="36"/>
        <v>0.99768333333333337</v>
      </c>
      <c r="AV110" s="393">
        <v>0.99770000000000003</v>
      </c>
    </row>
    <row r="111" spans="34:48">
      <c r="AH111" s="344">
        <f>(AV111-AJ111)/12</f>
        <v>1.3333333333328165E-5</v>
      </c>
      <c r="AI111" s="376" t="s">
        <v>2</v>
      </c>
      <c r="AJ111" s="392">
        <f>$AV$113</f>
        <v>0.99750000000000005</v>
      </c>
      <c r="AK111" s="394">
        <f>AJ111+$AH$111</f>
        <v>0.99751333333333336</v>
      </c>
      <c r="AL111" s="394">
        <f t="shared" ref="AL111:AU111" si="37">AK111+$AH$111</f>
        <v>0.99752666666666667</v>
      </c>
      <c r="AM111" s="394">
        <f t="shared" si="37"/>
        <v>0.99753999999999998</v>
      </c>
      <c r="AN111" s="394">
        <f t="shared" si="37"/>
        <v>0.99755333333333329</v>
      </c>
      <c r="AO111" s="394">
        <f t="shared" si="37"/>
        <v>0.9975666666666666</v>
      </c>
      <c r="AP111" s="394">
        <f t="shared" si="37"/>
        <v>0.99757999999999991</v>
      </c>
      <c r="AQ111" s="394">
        <f t="shared" si="37"/>
        <v>0.99759333333333322</v>
      </c>
      <c r="AR111" s="394">
        <f t="shared" si="37"/>
        <v>0.99760666666666653</v>
      </c>
      <c r="AS111" s="394">
        <f t="shared" si="37"/>
        <v>0.99761999999999984</v>
      </c>
      <c r="AT111" s="394">
        <f t="shared" si="37"/>
        <v>0.99763333333333315</v>
      </c>
      <c r="AU111" s="394">
        <f t="shared" si="37"/>
        <v>0.99764666666666646</v>
      </c>
      <c r="AV111" s="395">
        <f>AV110-(AV110-AV113)*0.2</f>
        <v>0.99765999999999999</v>
      </c>
    </row>
    <row r="112" spans="34:48">
      <c r="AH112" s="344">
        <f>(AV112-AJ112)/12</f>
        <v>8.3333333333324155E-6</v>
      </c>
      <c r="AI112" s="378" t="s">
        <v>2</v>
      </c>
      <c r="AJ112" s="392">
        <f>$AV$113</f>
        <v>0.99750000000000005</v>
      </c>
      <c r="AK112" s="394">
        <f>++AJ112+$AH$112</f>
        <v>0.99750833333333344</v>
      </c>
      <c r="AL112" s="394">
        <f t="shared" ref="AL112:AU112" si="38">++AK112+$AH$112</f>
        <v>0.99751666666666683</v>
      </c>
      <c r="AM112" s="394">
        <f t="shared" si="38"/>
        <v>0.99752500000000022</v>
      </c>
      <c r="AN112" s="394">
        <f t="shared" si="38"/>
        <v>0.9975333333333336</v>
      </c>
      <c r="AO112" s="394">
        <f t="shared" si="38"/>
        <v>0.99754166666666699</v>
      </c>
      <c r="AP112" s="394">
        <f t="shared" si="38"/>
        <v>0.99755000000000038</v>
      </c>
      <c r="AQ112" s="394">
        <f t="shared" si="38"/>
        <v>0.99755833333333377</v>
      </c>
      <c r="AR112" s="394">
        <f t="shared" si="38"/>
        <v>0.99756666666666716</v>
      </c>
      <c r="AS112" s="394">
        <f t="shared" si="38"/>
        <v>0.99757500000000054</v>
      </c>
      <c r="AT112" s="394">
        <f t="shared" si="38"/>
        <v>0.99758333333333393</v>
      </c>
      <c r="AU112" s="394">
        <f t="shared" si="38"/>
        <v>0.99759166666666732</v>
      </c>
      <c r="AV112" s="396">
        <f>AV110-(AV110-AV113)*0.5</f>
        <v>0.99760000000000004</v>
      </c>
    </row>
    <row r="113" spans="34:48">
      <c r="AH113" s="344">
        <f>(AV113-AJ113)/12</f>
        <v>0</v>
      </c>
      <c r="AI113" s="355"/>
      <c r="AJ113" s="392">
        <f>$AV$113</f>
        <v>0.99750000000000005</v>
      </c>
      <c r="AK113" s="392">
        <f t="shared" ref="AK113:AU113" si="39">$AV$113</f>
        <v>0.99750000000000005</v>
      </c>
      <c r="AL113" s="392">
        <f t="shared" si="39"/>
        <v>0.99750000000000005</v>
      </c>
      <c r="AM113" s="392">
        <f t="shared" si="39"/>
        <v>0.99750000000000005</v>
      </c>
      <c r="AN113" s="392">
        <f t="shared" si="39"/>
        <v>0.99750000000000005</v>
      </c>
      <c r="AO113" s="392">
        <f t="shared" si="39"/>
        <v>0.99750000000000005</v>
      </c>
      <c r="AP113" s="392">
        <f t="shared" si="39"/>
        <v>0.99750000000000005</v>
      </c>
      <c r="AQ113" s="392">
        <f t="shared" si="39"/>
        <v>0.99750000000000005</v>
      </c>
      <c r="AR113" s="392">
        <f t="shared" si="39"/>
        <v>0.99750000000000005</v>
      </c>
      <c r="AS113" s="392">
        <f t="shared" si="39"/>
        <v>0.99750000000000005</v>
      </c>
      <c r="AT113" s="392">
        <f t="shared" si="39"/>
        <v>0.99750000000000005</v>
      </c>
      <c r="AU113" s="392">
        <f t="shared" si="39"/>
        <v>0.99750000000000005</v>
      </c>
      <c r="AV113" s="397">
        <v>0.99750000000000005</v>
      </c>
    </row>
    <row r="114" spans="34:48">
      <c r="AH114" s="353" t="s">
        <v>4</v>
      </c>
      <c r="AI114" s="354"/>
      <c r="AJ114" s="398"/>
      <c r="AK114" s="361">
        <f t="shared" ref="AK114:AV114" si="40">AK115/AK116</f>
        <v>0.99772920073841775</v>
      </c>
      <c r="AL114" s="361">
        <f t="shared" si="40"/>
        <v>0.99806114107760369</v>
      </c>
      <c r="AM114" s="361">
        <f t="shared" si="40"/>
        <v>0.99755549063212545</v>
      </c>
      <c r="AN114" s="361">
        <f t="shared" si="40"/>
        <v>0.99681237521036359</v>
      </c>
      <c r="AO114" s="361">
        <f t="shared" si="40"/>
        <v>0.9977084362936941</v>
      </c>
      <c r="AP114" s="361" t="e">
        <f t="shared" si="40"/>
        <v>#DIV/0!</v>
      </c>
      <c r="AQ114" s="361" t="e">
        <f t="shared" si="40"/>
        <v>#DIV/0!</v>
      </c>
      <c r="AR114" s="361" t="e">
        <f t="shared" si="40"/>
        <v>#DIV/0!</v>
      </c>
      <c r="AS114" s="361" t="e">
        <f t="shared" si="40"/>
        <v>#DIV/0!</v>
      </c>
      <c r="AT114" s="361" t="e">
        <f t="shared" si="40"/>
        <v>#DIV/0!</v>
      </c>
      <c r="AU114" s="361" t="e">
        <f t="shared" si="40"/>
        <v>#DIV/0!</v>
      </c>
      <c r="AV114" s="362" t="e">
        <f t="shared" si="40"/>
        <v>#DIV/0!</v>
      </c>
    </row>
    <row r="115" spans="34:48">
      <c r="AH115" s="715" t="s">
        <v>16</v>
      </c>
      <c r="AI115" s="716"/>
      <c r="AJ115" s="399"/>
      <c r="AK115" s="400">
        <f>AK101</f>
        <v>7580073</v>
      </c>
      <c r="AL115" s="400">
        <f t="shared" ref="AL115:AV115" si="41">AL101</f>
        <v>13402481</v>
      </c>
      <c r="AM115" s="400">
        <f t="shared" si="41"/>
        <v>13326670</v>
      </c>
      <c r="AN115" s="400">
        <f t="shared" ref="AN115" si="42">AN101</f>
        <v>12150159</v>
      </c>
      <c r="AO115" s="400">
        <f t="shared" si="41"/>
        <v>8365889</v>
      </c>
      <c r="AP115" s="400">
        <f t="shared" si="41"/>
        <v>0</v>
      </c>
      <c r="AQ115" s="400">
        <f t="shared" si="41"/>
        <v>0</v>
      </c>
      <c r="AR115" s="400">
        <f t="shared" si="41"/>
        <v>0</v>
      </c>
      <c r="AS115" s="400">
        <f t="shared" si="41"/>
        <v>0</v>
      </c>
      <c r="AT115" s="400">
        <f t="shared" si="41"/>
        <v>0</v>
      </c>
      <c r="AU115" s="400">
        <f t="shared" si="41"/>
        <v>0</v>
      </c>
      <c r="AV115" s="401">
        <f t="shared" si="41"/>
        <v>0</v>
      </c>
    </row>
    <row r="116" spans="34:48">
      <c r="AH116" s="715" t="s">
        <v>17</v>
      </c>
      <c r="AI116" s="716"/>
      <c r="AJ116" s="399"/>
      <c r="AK116" s="400">
        <f>AK102</f>
        <v>7597325</v>
      </c>
      <c r="AL116" s="400">
        <f t="shared" ref="AL116:AV116" si="43">AL102</f>
        <v>13428517</v>
      </c>
      <c r="AM116" s="400">
        <f t="shared" si="43"/>
        <v>13359327</v>
      </c>
      <c r="AN116" s="400">
        <f t="shared" ref="AN116" si="44">AN102</f>
        <v>12189013</v>
      </c>
      <c r="AO116" s="400">
        <f t="shared" si="43"/>
        <v>8385104</v>
      </c>
      <c r="AP116" s="400">
        <f t="shared" si="43"/>
        <v>0</v>
      </c>
      <c r="AQ116" s="400">
        <f t="shared" si="43"/>
        <v>0</v>
      </c>
      <c r="AR116" s="400">
        <f t="shared" si="43"/>
        <v>0</v>
      </c>
      <c r="AS116" s="400">
        <f t="shared" si="43"/>
        <v>0</v>
      </c>
      <c r="AT116" s="400">
        <f t="shared" si="43"/>
        <v>0</v>
      </c>
      <c r="AU116" s="400">
        <f t="shared" si="43"/>
        <v>0</v>
      </c>
      <c r="AV116" s="401">
        <f t="shared" si="43"/>
        <v>0</v>
      </c>
    </row>
    <row r="117" spans="34:48">
      <c r="AH117" s="390" t="s">
        <v>5</v>
      </c>
      <c r="AI117" s="354"/>
      <c r="AK117" s="361">
        <f>(AK114-AK113)/(AK110-AK113)</f>
        <v>13.752044305063565</v>
      </c>
      <c r="AL117" s="361">
        <f>(AL114-AL113)/(AL110-AL113)</f>
        <v>16.834232328110843</v>
      </c>
      <c r="AM117" s="361">
        <f>(AM114-AM113)/(AM110-AM113)</f>
        <v>1.1098126425081012</v>
      </c>
      <c r="AN117" s="361">
        <f>(AN114-AN113)/(AN110-AN113)</f>
        <v>-10.314371844548113</v>
      </c>
      <c r="AO117" s="361">
        <f t="shared" ref="AO117:AV117" si="45">(AO114-AO113)/(AO110-AO113)</f>
        <v>2.5012355243288464</v>
      </c>
      <c r="AP117" s="361" t="e">
        <f t="shared" si="45"/>
        <v>#DIV/0!</v>
      </c>
      <c r="AQ117" s="361" t="e">
        <f t="shared" si="45"/>
        <v>#DIV/0!</v>
      </c>
      <c r="AR117" s="361" t="e">
        <f t="shared" si="45"/>
        <v>#DIV/0!</v>
      </c>
      <c r="AS117" s="361" t="e">
        <f t="shared" si="45"/>
        <v>#DIV/0!</v>
      </c>
      <c r="AT117" s="361" t="e">
        <f t="shared" si="45"/>
        <v>#DIV/0!</v>
      </c>
      <c r="AU117" s="361" t="e">
        <f t="shared" si="45"/>
        <v>#DIV/0!</v>
      </c>
      <c r="AV117" s="362" t="e">
        <f t="shared" si="45"/>
        <v>#DIV/0!</v>
      </c>
    </row>
    <row r="118" spans="34:48">
      <c r="AH118" s="390" t="s">
        <v>6</v>
      </c>
      <c r="AI118" s="354"/>
      <c r="AK118" s="363">
        <f t="shared" ref="AK118:AV118" si="46">IF(OR(AK117&gt;=100%),100%,IF(OR(AK117&lt;=0%),0%,AVERAGE(AK117)))</f>
        <v>1</v>
      </c>
      <c r="AL118" s="363">
        <f t="shared" si="46"/>
        <v>1</v>
      </c>
      <c r="AM118" s="363">
        <f t="shared" si="46"/>
        <v>1</v>
      </c>
      <c r="AN118" s="363">
        <f t="shared" si="46"/>
        <v>0</v>
      </c>
      <c r="AO118" s="363">
        <f t="shared" si="46"/>
        <v>1</v>
      </c>
      <c r="AP118" s="363" t="e">
        <f t="shared" si="46"/>
        <v>#DIV/0!</v>
      </c>
      <c r="AQ118" s="363" t="e">
        <f t="shared" si="46"/>
        <v>#DIV/0!</v>
      </c>
      <c r="AR118" s="363" t="e">
        <f t="shared" si="46"/>
        <v>#DIV/0!</v>
      </c>
      <c r="AS118" s="363" t="e">
        <f t="shared" si="46"/>
        <v>#DIV/0!</v>
      </c>
      <c r="AT118" s="363" t="e">
        <f t="shared" si="46"/>
        <v>#DIV/0!</v>
      </c>
      <c r="AU118" s="363" t="e">
        <f t="shared" si="46"/>
        <v>#DIV/0!</v>
      </c>
      <c r="AV118" s="364" t="e">
        <f t="shared" si="46"/>
        <v>#DIV/0!</v>
      </c>
    </row>
    <row r="119" spans="34:48">
      <c r="AH119" s="717" t="s">
        <v>7</v>
      </c>
      <c r="AI119" s="718"/>
      <c r="AK119" s="365">
        <f>AK118*0.1</f>
        <v>0.1</v>
      </c>
      <c r="AL119" s="365">
        <f t="shared" ref="AL119:AV119" si="47">AL118*0.1</f>
        <v>0.1</v>
      </c>
      <c r="AM119" s="365">
        <f t="shared" si="47"/>
        <v>0.1</v>
      </c>
      <c r="AN119" s="365">
        <f t="shared" si="47"/>
        <v>0</v>
      </c>
      <c r="AO119" s="365">
        <f t="shared" si="47"/>
        <v>0.1</v>
      </c>
      <c r="AP119" s="365" t="e">
        <f t="shared" si="47"/>
        <v>#DIV/0!</v>
      </c>
      <c r="AQ119" s="365" t="e">
        <f t="shared" si="47"/>
        <v>#DIV/0!</v>
      </c>
      <c r="AR119" s="365" t="e">
        <f t="shared" si="47"/>
        <v>#DIV/0!</v>
      </c>
      <c r="AS119" s="365" t="e">
        <f t="shared" si="47"/>
        <v>#DIV/0!</v>
      </c>
      <c r="AT119" s="365" t="e">
        <f t="shared" si="47"/>
        <v>#DIV/0!</v>
      </c>
      <c r="AU119" s="365" t="e">
        <f t="shared" si="47"/>
        <v>#DIV/0!</v>
      </c>
      <c r="AV119" s="366" t="e">
        <f t="shared" si="47"/>
        <v>#DIV/0!</v>
      </c>
    </row>
    <row r="120" spans="34:48">
      <c r="AH120" s="367"/>
      <c r="AI120" s="368"/>
      <c r="AJ120" s="368"/>
      <c r="AK120" s="368"/>
      <c r="AL120" s="368"/>
      <c r="AM120" s="368"/>
      <c r="AN120" s="368"/>
      <c r="AO120" s="368"/>
      <c r="AP120" s="368"/>
      <c r="AQ120" s="368"/>
      <c r="AR120" s="368"/>
      <c r="AS120" s="368"/>
      <c r="AT120" s="368"/>
      <c r="AU120" s="368"/>
      <c r="AV120" s="391"/>
    </row>
    <row r="121" spans="34:48">
      <c r="AH121" s="341" t="s">
        <v>104</v>
      </c>
      <c r="AJ121" s="342">
        <v>45352</v>
      </c>
      <c r="AK121" s="342">
        <v>45383</v>
      </c>
      <c r="AL121" s="342">
        <v>45413</v>
      </c>
      <c r="AM121" s="342">
        <v>45444</v>
      </c>
      <c r="AN121" s="342">
        <v>45474</v>
      </c>
      <c r="AO121" s="342">
        <v>45505</v>
      </c>
      <c r="AP121" s="342">
        <v>45536</v>
      </c>
      <c r="AQ121" s="342">
        <v>45566</v>
      </c>
      <c r="AR121" s="342">
        <v>45597</v>
      </c>
      <c r="AS121" s="342">
        <v>45627</v>
      </c>
      <c r="AT121" s="342">
        <v>45658</v>
      </c>
      <c r="AU121" s="342">
        <v>45689</v>
      </c>
      <c r="AV121" s="343">
        <v>45717</v>
      </c>
    </row>
    <row r="122" spans="34:48">
      <c r="AH122" s="372">
        <f>(AV122-AJ122)/12</f>
        <v>-31.916666666666668</v>
      </c>
      <c r="AI122" s="373" t="s">
        <v>2</v>
      </c>
      <c r="AJ122" s="374">
        <f>AV125</f>
        <v>2549</v>
      </c>
      <c r="AK122" s="374">
        <f>++AJ122+$AH$122</f>
        <v>2517.0833333333335</v>
      </c>
      <c r="AL122" s="374">
        <f t="shared" ref="AL122:AU122" si="48">++AK122+$AH$122</f>
        <v>2485.166666666667</v>
      </c>
      <c r="AM122" s="374">
        <f t="shared" si="48"/>
        <v>2453.2500000000005</v>
      </c>
      <c r="AN122" s="374">
        <f t="shared" si="48"/>
        <v>2421.3333333333339</v>
      </c>
      <c r="AO122" s="374">
        <f t="shared" si="48"/>
        <v>2389.4166666666674</v>
      </c>
      <c r="AP122" s="374">
        <f t="shared" si="48"/>
        <v>2357.5000000000009</v>
      </c>
      <c r="AQ122" s="374">
        <f t="shared" si="48"/>
        <v>2325.5833333333344</v>
      </c>
      <c r="AR122" s="374">
        <f t="shared" si="48"/>
        <v>2293.6666666666679</v>
      </c>
      <c r="AS122" s="374">
        <f t="shared" si="48"/>
        <v>2261.7500000000014</v>
      </c>
      <c r="AT122" s="374">
        <f t="shared" si="48"/>
        <v>2229.8333333333348</v>
      </c>
      <c r="AU122" s="374">
        <f t="shared" si="48"/>
        <v>2197.9166666666683</v>
      </c>
      <c r="AV122" s="375">
        <v>2166</v>
      </c>
    </row>
    <row r="123" spans="34:48">
      <c r="AH123" s="372">
        <f>(AV123-AJ123)/12</f>
        <v>-25.533333333333342</v>
      </c>
      <c r="AI123" s="376" t="s">
        <v>2</v>
      </c>
      <c r="AJ123" s="374">
        <f>AV125</f>
        <v>2549</v>
      </c>
      <c r="AK123" s="374">
        <f>++AJ123+$AH$123</f>
        <v>2523.4666666666667</v>
      </c>
      <c r="AL123" s="374">
        <f t="shared" ref="AL123:AU123" si="49">++AK123+$AH$123</f>
        <v>2497.9333333333334</v>
      </c>
      <c r="AM123" s="374">
        <f t="shared" si="49"/>
        <v>2472.4</v>
      </c>
      <c r="AN123" s="374">
        <f t="shared" si="49"/>
        <v>2446.8666666666668</v>
      </c>
      <c r="AO123" s="374">
        <f t="shared" si="49"/>
        <v>2421.3333333333335</v>
      </c>
      <c r="AP123" s="374">
        <f t="shared" si="49"/>
        <v>2395.8000000000002</v>
      </c>
      <c r="AQ123" s="374">
        <f t="shared" si="49"/>
        <v>2370.2666666666669</v>
      </c>
      <c r="AR123" s="374">
        <f t="shared" si="49"/>
        <v>2344.7333333333336</v>
      </c>
      <c r="AS123" s="374">
        <f t="shared" si="49"/>
        <v>2319.2000000000003</v>
      </c>
      <c r="AT123" s="374">
        <f t="shared" si="49"/>
        <v>2293.666666666667</v>
      </c>
      <c r="AU123" s="374">
        <f t="shared" si="49"/>
        <v>2268.1333333333337</v>
      </c>
      <c r="AV123" s="377">
        <f>AV122-(AV122-AV125)*0.2</f>
        <v>2242.6</v>
      </c>
    </row>
    <row r="124" spans="34:48">
      <c r="AH124" s="372">
        <f>(AV124-AJ124)/12</f>
        <v>-15.958333333333334</v>
      </c>
      <c r="AI124" s="378" t="s">
        <v>2</v>
      </c>
      <c r="AJ124" s="374">
        <f>AV125</f>
        <v>2549</v>
      </c>
      <c r="AK124" s="374">
        <f>++AJ124+$AH$124</f>
        <v>2533.0416666666665</v>
      </c>
      <c r="AL124" s="374">
        <f t="shared" ref="AL124:AU124" si="50">++AK124+$AH$124</f>
        <v>2517.083333333333</v>
      </c>
      <c r="AM124" s="374">
        <f t="shared" si="50"/>
        <v>2501.1249999999995</v>
      </c>
      <c r="AN124" s="374">
        <f t="shared" si="50"/>
        <v>2485.1666666666661</v>
      </c>
      <c r="AO124" s="374">
        <f t="shared" si="50"/>
        <v>2469.2083333333326</v>
      </c>
      <c r="AP124" s="374">
        <f t="shared" si="50"/>
        <v>2453.2499999999991</v>
      </c>
      <c r="AQ124" s="374">
        <f t="shared" si="50"/>
        <v>2437.2916666666656</v>
      </c>
      <c r="AR124" s="374">
        <f t="shared" si="50"/>
        <v>2421.3333333333321</v>
      </c>
      <c r="AS124" s="374">
        <f t="shared" si="50"/>
        <v>2405.3749999999986</v>
      </c>
      <c r="AT124" s="374">
        <f t="shared" si="50"/>
        <v>2389.4166666666652</v>
      </c>
      <c r="AU124" s="374">
        <f t="shared" si="50"/>
        <v>2373.4583333333317</v>
      </c>
      <c r="AV124" s="379">
        <f>AV122-(AV122-AV125)*0.5</f>
        <v>2357.5</v>
      </c>
    </row>
    <row r="125" spans="34:48">
      <c r="AH125" s="372">
        <f>(AV125-AJ125)/12</f>
        <v>0</v>
      </c>
      <c r="AI125" s="355"/>
      <c r="AJ125" s="374">
        <f>$AV$125</f>
        <v>2549</v>
      </c>
      <c r="AK125" s="374">
        <f>$AV$125</f>
        <v>2549</v>
      </c>
      <c r="AL125" s="374">
        <f t="shared" ref="AL125:AU125" si="51">$AV$125</f>
        <v>2549</v>
      </c>
      <c r="AM125" s="374">
        <f t="shared" si="51"/>
        <v>2549</v>
      </c>
      <c r="AN125" s="374">
        <f t="shared" si="51"/>
        <v>2549</v>
      </c>
      <c r="AO125" s="374">
        <f t="shared" si="51"/>
        <v>2549</v>
      </c>
      <c r="AP125" s="374">
        <f t="shared" si="51"/>
        <v>2549</v>
      </c>
      <c r="AQ125" s="374">
        <f t="shared" si="51"/>
        <v>2549</v>
      </c>
      <c r="AR125" s="374">
        <f t="shared" si="51"/>
        <v>2549</v>
      </c>
      <c r="AS125" s="374">
        <f t="shared" si="51"/>
        <v>2549</v>
      </c>
      <c r="AT125" s="374">
        <f t="shared" si="51"/>
        <v>2549</v>
      </c>
      <c r="AU125" s="374">
        <f t="shared" si="51"/>
        <v>2549</v>
      </c>
      <c r="AV125" s="380">
        <v>2549</v>
      </c>
    </row>
    <row r="126" spans="34:48">
      <c r="AH126" s="381" t="s">
        <v>10</v>
      </c>
      <c r="AI126" s="354"/>
      <c r="AJ126" s="382"/>
      <c r="AK126" s="383">
        <f t="shared" ref="AK126:AV126" si="52">AK130/AK129*1000000</f>
        <v>2041.6826060456103</v>
      </c>
      <c r="AL126" s="383">
        <f t="shared" si="52"/>
        <v>1837.0220260226131</v>
      </c>
      <c r="AM126" s="383">
        <f t="shared" si="52"/>
        <v>249.3979869663815</v>
      </c>
      <c r="AN126" s="383">
        <f t="shared" si="52"/>
        <v>273.93633557114083</v>
      </c>
      <c r="AO126" s="383">
        <f t="shared" si="52"/>
        <v>421.64303072664865</v>
      </c>
      <c r="AP126" s="383" t="e">
        <f t="shared" si="52"/>
        <v>#DIV/0!</v>
      </c>
      <c r="AQ126" s="383" t="e">
        <f t="shared" si="52"/>
        <v>#DIV/0!</v>
      </c>
      <c r="AR126" s="383" t="e">
        <f t="shared" si="52"/>
        <v>#DIV/0!</v>
      </c>
      <c r="AS126" s="383" t="e">
        <f t="shared" si="52"/>
        <v>#DIV/0!</v>
      </c>
      <c r="AT126" s="383" t="e">
        <f t="shared" si="52"/>
        <v>#DIV/0!</v>
      </c>
      <c r="AU126" s="383" t="e">
        <f t="shared" si="52"/>
        <v>#DIV/0!</v>
      </c>
      <c r="AV126" s="384" t="e">
        <f t="shared" si="52"/>
        <v>#DIV/0!</v>
      </c>
    </row>
    <row r="127" spans="34:48">
      <c r="AH127" s="381" t="s">
        <v>11</v>
      </c>
      <c r="AI127" s="354"/>
      <c r="AJ127" s="382"/>
      <c r="AK127" s="361">
        <f>AK128/AK129</f>
        <v>0.99795498946794614</v>
      </c>
      <c r="AL127" s="361">
        <f t="shared" ref="AL127:AV127" si="53">AL128/AL129</f>
        <v>0.99816098797042851</v>
      </c>
      <c r="AM127" s="361">
        <f t="shared" si="53"/>
        <v>0.99759817451300348</v>
      </c>
      <c r="AN127" s="361">
        <f t="shared" si="53"/>
        <v>0.99673548724842309</v>
      </c>
      <c r="AO127" s="361">
        <f t="shared" si="53"/>
        <v>0.99770371913523836</v>
      </c>
      <c r="AP127" s="361" t="e">
        <f t="shared" si="53"/>
        <v>#DIV/0!</v>
      </c>
      <c r="AQ127" s="361" t="e">
        <f t="shared" si="53"/>
        <v>#DIV/0!</v>
      </c>
      <c r="AR127" s="361" t="e">
        <f t="shared" si="53"/>
        <v>#DIV/0!</v>
      </c>
      <c r="AS127" s="361" t="e">
        <f t="shared" si="53"/>
        <v>#DIV/0!</v>
      </c>
      <c r="AT127" s="361" t="e">
        <f t="shared" si="53"/>
        <v>#DIV/0!</v>
      </c>
      <c r="AU127" s="361" t="e">
        <f t="shared" si="53"/>
        <v>#DIV/0!</v>
      </c>
      <c r="AV127" s="362" t="e">
        <f t="shared" si="53"/>
        <v>#DIV/0!</v>
      </c>
    </row>
    <row r="128" spans="34:48">
      <c r="AH128" s="160"/>
      <c r="AI128" s="161" t="s">
        <v>12</v>
      </c>
      <c r="AJ128" s="385"/>
      <c r="AK128" s="386">
        <f>CN!AK133+YF!AK88+TS!AG78+PPD!AI100</f>
        <v>5997459</v>
      </c>
      <c r="AL128" s="386">
        <f>CN!AL133+YF!AL88+TS!AH78+PPD!AJ100</f>
        <v>12038101</v>
      </c>
      <c r="AM128" s="386">
        <f>CN!AM133+YF!AM88+TS!AI78+PPD!AK100</f>
        <v>12016075</v>
      </c>
      <c r="AN128" s="386">
        <f>CN!AN133+YF!AN88+TS!AJ78+PPD!AL100</f>
        <v>10308058</v>
      </c>
      <c r="AO128" s="386">
        <f>CN!AO133+YF!AO88+TS!AK78+PPD!AM100</f>
        <v>6795808</v>
      </c>
      <c r="AP128" s="386">
        <f>CN!AP133+YF!AP115</f>
        <v>0</v>
      </c>
      <c r="AQ128" s="386">
        <f>CN!AQ133+YF!AQ115</f>
        <v>0</v>
      </c>
      <c r="AR128" s="386">
        <f>CN!AR133+YF!AR115</f>
        <v>0</v>
      </c>
      <c r="AS128" s="386">
        <f>CN!AS133+YF!AS115</f>
        <v>0</v>
      </c>
      <c r="AT128" s="386">
        <f>CN!AT133+YF!AT115</f>
        <v>0</v>
      </c>
      <c r="AU128" s="386">
        <f>CN!AU133+YF!AU115</f>
        <v>0</v>
      </c>
      <c r="AV128" s="387">
        <f>CN!AV133+YF!AV115</f>
        <v>0</v>
      </c>
    </row>
    <row r="129" spans="34:48">
      <c r="AH129" s="160"/>
      <c r="AI129" s="161" t="s">
        <v>13</v>
      </c>
      <c r="AJ129" s="369"/>
      <c r="AK129" s="386">
        <f>CN!AK134+YF!AK89+TS!AG79+PPD!AI101</f>
        <v>6009749</v>
      </c>
      <c r="AL129" s="386">
        <f>CN!AL134+YF!AL89+TS!AH79+PPD!AJ101</f>
        <v>12060280</v>
      </c>
      <c r="AM129" s="386">
        <f>CN!AM134+YF!AM89+TS!AI79+PPD!AK101</f>
        <v>12045005</v>
      </c>
      <c r="AN129" s="386">
        <f>CN!AN134+YF!AN89+TS!AJ79+PPD!AL101</f>
        <v>10341819</v>
      </c>
      <c r="AO129" s="386">
        <f>CN!AO134+YF!AO89+TS!AK79+PPD!AM101</f>
        <v>6811449</v>
      </c>
      <c r="AP129" s="386">
        <f>CN!AP134+YF!AP116</f>
        <v>0</v>
      </c>
      <c r="AQ129" s="386">
        <f>CN!AQ134+YF!AQ116</f>
        <v>0</v>
      </c>
      <c r="AR129" s="386">
        <f>CN!AR134+YF!AR116</f>
        <v>0</v>
      </c>
      <c r="AS129" s="386">
        <f>CN!AS134+YF!AS116</f>
        <v>0</v>
      </c>
      <c r="AT129" s="386">
        <f>CN!AT134+YF!AT116</f>
        <v>0</v>
      </c>
      <c r="AU129" s="386">
        <f>CN!AU134+YF!AU116</f>
        <v>0</v>
      </c>
      <c r="AV129" s="387">
        <f>CN!AV134+YF!AV116</f>
        <v>0</v>
      </c>
    </row>
    <row r="130" spans="34:48">
      <c r="AH130" s="160"/>
      <c r="AI130" s="161" t="s">
        <v>14</v>
      </c>
      <c r="AJ130" s="369"/>
      <c r="AK130" s="386">
        <f>CN!AK135+YF!AK117+TS!AG80+PPD!AI102</f>
        <v>12270</v>
      </c>
      <c r="AL130" s="386">
        <f>CN!AL135+YF!AL117+TS!AH80+PPD!AJ102</f>
        <v>22155</v>
      </c>
      <c r="AM130" s="386">
        <f>CN!AM135+YF!AM117</f>
        <v>3004</v>
      </c>
      <c r="AN130" s="386">
        <f>CN!AN135+YF!AN117</f>
        <v>2833</v>
      </c>
      <c r="AO130" s="386">
        <f>CN!AO135+YF!AO117</f>
        <v>2872</v>
      </c>
      <c r="AP130" s="386">
        <f>CN!AP135+YF!AP117</f>
        <v>0</v>
      </c>
      <c r="AQ130" s="386">
        <f>CN!AQ135+YF!AQ117</f>
        <v>0</v>
      </c>
      <c r="AR130" s="386">
        <f>CN!AR135+YF!AR117</f>
        <v>0</v>
      </c>
      <c r="AS130" s="386">
        <f>CN!AS135+YF!AS117</f>
        <v>0</v>
      </c>
      <c r="AT130" s="386">
        <f>CN!AT135+YF!AT117</f>
        <v>0</v>
      </c>
      <c r="AU130" s="386">
        <f>CN!AU135+YF!AU117</f>
        <v>0</v>
      </c>
      <c r="AV130" s="387">
        <f>CN!AV135+YF!AV117</f>
        <v>0</v>
      </c>
    </row>
    <row r="131" spans="34:48">
      <c r="AH131" s="353" t="s">
        <v>5</v>
      </c>
      <c r="AI131" s="354"/>
      <c r="AK131" s="398">
        <f>(AK126-AK125)/(AK122-AK125)</f>
        <v>15.895061951573643</v>
      </c>
      <c r="AL131" s="398">
        <f t="shared" ref="AL131:AV131" si="54">(AL126-AL125)/(AL122-AL125)</f>
        <v>11.153701942204547</v>
      </c>
      <c r="AM131" s="398">
        <f t="shared" si="54"/>
        <v>24.016731206617536</v>
      </c>
      <c r="AN131" s="398">
        <f t="shared" si="54"/>
        <v>17.820342019025091</v>
      </c>
      <c r="AO131" s="398">
        <f t="shared" si="54"/>
        <v>13.33069641320122</v>
      </c>
      <c r="AP131" s="398" t="e">
        <f t="shared" si="54"/>
        <v>#DIV/0!</v>
      </c>
      <c r="AQ131" s="398" t="e">
        <f t="shared" si="54"/>
        <v>#DIV/0!</v>
      </c>
      <c r="AR131" s="398" t="e">
        <f t="shared" si="54"/>
        <v>#DIV/0!</v>
      </c>
      <c r="AS131" s="398" t="e">
        <f t="shared" si="54"/>
        <v>#DIV/0!</v>
      </c>
      <c r="AT131" s="398" t="e">
        <f t="shared" si="54"/>
        <v>#DIV/0!</v>
      </c>
      <c r="AU131" s="398" t="e">
        <f t="shared" si="54"/>
        <v>#DIV/0!</v>
      </c>
      <c r="AV131" s="402" t="e">
        <f t="shared" si="54"/>
        <v>#DIV/0!</v>
      </c>
    </row>
    <row r="132" spans="34:48">
      <c r="AH132" s="390" t="s">
        <v>6</v>
      </c>
      <c r="AI132" s="354"/>
      <c r="AK132" s="363">
        <f>IF(OR(AK131&gt;=100%),100%,IF(OR(AK131&lt;=0%),0%,AVERAGE(AK131)))</f>
        <v>1</v>
      </c>
      <c r="AL132" s="363">
        <f>IF(OR(AL131&gt;=100%),100%,IF(OR(AL131&lt;=0%),0%,AVERAGE(AL131)))</f>
        <v>1</v>
      </c>
      <c r="AM132" s="363">
        <f t="shared" ref="AM132:AV132" si="55">IF(OR(AM131&gt;=100%),100%,IF(OR(AM131&lt;=0%),0%,AVERAGE(AM131)))</f>
        <v>1</v>
      </c>
      <c r="AN132" s="363">
        <f t="shared" si="55"/>
        <v>1</v>
      </c>
      <c r="AO132" s="363">
        <f t="shared" si="55"/>
        <v>1</v>
      </c>
      <c r="AP132" s="363" t="e">
        <f t="shared" si="55"/>
        <v>#DIV/0!</v>
      </c>
      <c r="AQ132" s="363" t="e">
        <f t="shared" si="55"/>
        <v>#DIV/0!</v>
      </c>
      <c r="AR132" s="363" t="e">
        <f t="shared" si="55"/>
        <v>#DIV/0!</v>
      </c>
      <c r="AS132" s="363" t="e">
        <f t="shared" si="55"/>
        <v>#DIV/0!</v>
      </c>
      <c r="AT132" s="363" t="e">
        <f t="shared" si="55"/>
        <v>#DIV/0!</v>
      </c>
      <c r="AU132" s="363" t="e">
        <f t="shared" si="55"/>
        <v>#DIV/0!</v>
      </c>
      <c r="AV132" s="364" t="e">
        <f t="shared" si="55"/>
        <v>#DIV/0!</v>
      </c>
    </row>
    <row r="133" spans="34:48">
      <c r="AH133" s="717" t="s">
        <v>7</v>
      </c>
      <c r="AI133" s="718"/>
      <c r="AK133" s="365">
        <f>AK132*0.1</f>
        <v>0.1</v>
      </c>
      <c r="AL133" s="365">
        <f t="shared" ref="AL133:AV133" si="56">AL132*0.1</f>
        <v>0.1</v>
      </c>
      <c r="AM133" s="365">
        <f t="shared" si="56"/>
        <v>0.1</v>
      </c>
      <c r="AN133" s="365">
        <f t="shared" si="56"/>
        <v>0.1</v>
      </c>
      <c r="AO133" s="365">
        <f t="shared" si="56"/>
        <v>0.1</v>
      </c>
      <c r="AP133" s="365" t="e">
        <f t="shared" si="56"/>
        <v>#DIV/0!</v>
      </c>
      <c r="AQ133" s="365" t="e">
        <f t="shared" si="56"/>
        <v>#DIV/0!</v>
      </c>
      <c r="AR133" s="365" t="e">
        <f t="shared" si="56"/>
        <v>#DIV/0!</v>
      </c>
      <c r="AS133" s="365" t="e">
        <f t="shared" si="56"/>
        <v>#DIV/0!</v>
      </c>
      <c r="AT133" s="365" t="e">
        <f t="shared" si="56"/>
        <v>#DIV/0!</v>
      </c>
      <c r="AU133" s="365" t="e">
        <f t="shared" si="56"/>
        <v>#DIV/0!</v>
      </c>
      <c r="AV133" s="366" t="e">
        <f t="shared" si="56"/>
        <v>#DIV/0!</v>
      </c>
    </row>
    <row r="134" spans="34:48">
      <c r="AH134" s="367"/>
      <c r="AI134" s="368"/>
      <c r="AJ134" s="368"/>
      <c r="AK134" s="368"/>
      <c r="AL134" s="368"/>
      <c r="AM134" s="368"/>
      <c r="AN134" s="368"/>
      <c r="AO134" s="368"/>
      <c r="AP134" s="368"/>
      <c r="AQ134" s="368"/>
      <c r="AR134" s="368"/>
      <c r="AS134" s="368"/>
      <c r="AT134" s="368"/>
      <c r="AU134" s="368"/>
      <c r="AV134" s="391"/>
    </row>
    <row r="135" spans="34:48">
      <c r="AH135" s="367"/>
      <c r="AI135" s="368"/>
      <c r="AJ135" s="368"/>
      <c r="AK135" s="368"/>
      <c r="AL135" s="368"/>
      <c r="AM135" s="368"/>
      <c r="AN135" s="368"/>
      <c r="AO135" s="368"/>
      <c r="AP135" s="368"/>
      <c r="AQ135" s="368"/>
      <c r="AR135" s="368"/>
      <c r="AS135" s="368"/>
      <c r="AT135" s="368"/>
      <c r="AU135" s="368"/>
      <c r="AV135" s="391"/>
    </row>
    <row r="136" spans="34:48">
      <c r="AH136" s="341" t="s">
        <v>130</v>
      </c>
      <c r="AJ136" s="342">
        <v>45352</v>
      </c>
      <c r="AK136" s="342">
        <v>45383</v>
      </c>
      <c r="AL136" s="342">
        <v>45413</v>
      </c>
      <c r="AM136" s="342">
        <v>45444</v>
      </c>
      <c r="AN136" s="342">
        <v>45474</v>
      </c>
      <c r="AO136" s="342">
        <v>45505</v>
      </c>
      <c r="AP136" s="342">
        <v>45536</v>
      </c>
      <c r="AQ136" s="342">
        <v>45566</v>
      </c>
      <c r="AR136" s="342">
        <v>45597</v>
      </c>
      <c r="AS136" s="342">
        <v>45627</v>
      </c>
      <c r="AT136" s="342">
        <v>45658</v>
      </c>
      <c r="AU136" s="342">
        <v>45689</v>
      </c>
      <c r="AV136" s="343">
        <v>45717</v>
      </c>
    </row>
    <row r="137" spans="34:48">
      <c r="AH137" s="344">
        <f>(AV137-AJ137)/12</f>
        <v>1.9166666666666407E-4</v>
      </c>
      <c r="AI137" s="373" t="s">
        <v>2</v>
      </c>
      <c r="AJ137" s="392">
        <f>$AV$140</f>
        <v>0.99750000000000005</v>
      </c>
      <c r="AK137" s="394">
        <f t="shared" ref="AK137:AU137" si="57">AJ137+$AH$110</f>
        <v>0.99751666666666672</v>
      </c>
      <c r="AL137" s="394">
        <f t="shared" si="57"/>
        <v>0.99753333333333338</v>
      </c>
      <c r="AM137" s="394">
        <f t="shared" si="57"/>
        <v>0.99755000000000005</v>
      </c>
      <c r="AN137" s="394">
        <f t="shared" si="57"/>
        <v>0.99756666666666671</v>
      </c>
      <c r="AO137" s="394">
        <f t="shared" si="57"/>
        <v>0.99758333333333338</v>
      </c>
      <c r="AP137" s="394">
        <f t="shared" si="57"/>
        <v>0.99760000000000004</v>
      </c>
      <c r="AQ137" s="394">
        <f t="shared" si="57"/>
        <v>0.99761666666666671</v>
      </c>
      <c r="AR137" s="394">
        <f t="shared" si="57"/>
        <v>0.99763333333333337</v>
      </c>
      <c r="AS137" s="394">
        <f t="shared" si="57"/>
        <v>0.99765000000000004</v>
      </c>
      <c r="AT137" s="394">
        <f t="shared" si="57"/>
        <v>0.9976666666666667</v>
      </c>
      <c r="AU137" s="394">
        <f t="shared" si="57"/>
        <v>0.99768333333333337</v>
      </c>
      <c r="AV137" s="393">
        <v>0.99980000000000002</v>
      </c>
    </row>
    <row r="138" spans="34:48">
      <c r="AH138" s="344">
        <f>(AV138-AJ138)/12</f>
        <v>1.5333333333332941E-4</v>
      </c>
      <c r="AI138" s="376" t="s">
        <v>2</v>
      </c>
      <c r="AJ138" s="392">
        <f>$AV$140</f>
        <v>0.99750000000000005</v>
      </c>
      <c r="AK138" s="394">
        <f t="shared" ref="AK138:AU138" si="58">AJ138+$AH$111</f>
        <v>0.99751333333333336</v>
      </c>
      <c r="AL138" s="394">
        <f t="shared" si="58"/>
        <v>0.99752666666666667</v>
      </c>
      <c r="AM138" s="394">
        <f t="shared" si="58"/>
        <v>0.99753999999999998</v>
      </c>
      <c r="AN138" s="394">
        <f t="shared" si="58"/>
        <v>0.99755333333333329</v>
      </c>
      <c r="AO138" s="394">
        <f t="shared" si="58"/>
        <v>0.9975666666666666</v>
      </c>
      <c r="AP138" s="394">
        <f t="shared" si="58"/>
        <v>0.99757999999999991</v>
      </c>
      <c r="AQ138" s="394">
        <f t="shared" si="58"/>
        <v>0.99759333333333322</v>
      </c>
      <c r="AR138" s="394">
        <f t="shared" si="58"/>
        <v>0.99760666666666653</v>
      </c>
      <c r="AS138" s="394">
        <f t="shared" si="58"/>
        <v>0.99761999999999984</v>
      </c>
      <c r="AT138" s="394">
        <f t="shared" si="58"/>
        <v>0.99763333333333315</v>
      </c>
      <c r="AU138" s="394">
        <f t="shared" si="58"/>
        <v>0.99764666666666646</v>
      </c>
      <c r="AV138" s="395">
        <f>AV137-(AV137-AV140)*0.2</f>
        <v>0.99934000000000001</v>
      </c>
    </row>
    <row r="139" spans="34:48">
      <c r="AH139" s="344">
        <f>(AV139-AJ139)/12</f>
        <v>9.5833333333332035E-5</v>
      </c>
      <c r="AI139" s="378" t="s">
        <v>2</v>
      </c>
      <c r="AJ139" s="392">
        <f>$AV$140</f>
        <v>0.99750000000000005</v>
      </c>
      <c r="AK139" s="394">
        <f t="shared" ref="AK139:AU139" si="59">++AJ139+$AH$112</f>
        <v>0.99750833333333344</v>
      </c>
      <c r="AL139" s="394">
        <f t="shared" si="59"/>
        <v>0.99751666666666683</v>
      </c>
      <c r="AM139" s="394">
        <f t="shared" si="59"/>
        <v>0.99752500000000022</v>
      </c>
      <c r="AN139" s="394">
        <f t="shared" si="59"/>
        <v>0.9975333333333336</v>
      </c>
      <c r="AO139" s="394">
        <f t="shared" si="59"/>
        <v>0.99754166666666699</v>
      </c>
      <c r="AP139" s="394">
        <f t="shared" si="59"/>
        <v>0.99755000000000038</v>
      </c>
      <c r="AQ139" s="394">
        <f t="shared" si="59"/>
        <v>0.99755833333333377</v>
      </c>
      <c r="AR139" s="394">
        <f t="shared" si="59"/>
        <v>0.99756666666666716</v>
      </c>
      <c r="AS139" s="394">
        <f t="shared" si="59"/>
        <v>0.99757500000000054</v>
      </c>
      <c r="AT139" s="394">
        <f t="shared" si="59"/>
        <v>0.99758333333333393</v>
      </c>
      <c r="AU139" s="394">
        <f t="shared" si="59"/>
        <v>0.99759166666666732</v>
      </c>
      <c r="AV139" s="396">
        <f>AV137-(AV137-AV140)*0.5</f>
        <v>0.99865000000000004</v>
      </c>
    </row>
    <row r="140" spans="34:48">
      <c r="AH140" s="344">
        <f>(AV140-AJ140)/12</f>
        <v>0</v>
      </c>
      <c r="AI140" s="355"/>
      <c r="AJ140" s="392">
        <f>$AV$140</f>
        <v>0.99750000000000005</v>
      </c>
      <c r="AK140" s="392">
        <f t="shared" ref="AK140:AU140" si="60">$AV$113</f>
        <v>0.99750000000000005</v>
      </c>
      <c r="AL140" s="392">
        <f t="shared" si="60"/>
        <v>0.99750000000000005</v>
      </c>
      <c r="AM140" s="392">
        <f t="shared" si="60"/>
        <v>0.99750000000000005</v>
      </c>
      <c r="AN140" s="392">
        <f t="shared" si="60"/>
        <v>0.99750000000000005</v>
      </c>
      <c r="AO140" s="392">
        <f t="shared" si="60"/>
        <v>0.99750000000000005</v>
      </c>
      <c r="AP140" s="392">
        <f t="shared" si="60"/>
        <v>0.99750000000000005</v>
      </c>
      <c r="AQ140" s="392">
        <f t="shared" si="60"/>
        <v>0.99750000000000005</v>
      </c>
      <c r="AR140" s="392">
        <f t="shared" si="60"/>
        <v>0.99750000000000005</v>
      </c>
      <c r="AS140" s="392">
        <f t="shared" si="60"/>
        <v>0.99750000000000005</v>
      </c>
      <c r="AT140" s="392">
        <f t="shared" si="60"/>
        <v>0.99750000000000005</v>
      </c>
      <c r="AU140" s="392">
        <f t="shared" si="60"/>
        <v>0.99750000000000005</v>
      </c>
      <c r="AV140" s="397">
        <v>0.99750000000000005</v>
      </c>
    </row>
    <row r="141" spans="34:48">
      <c r="AH141" s="353" t="s">
        <v>4</v>
      </c>
      <c r="AI141" s="354"/>
      <c r="AJ141" s="398"/>
      <c r="AK141" s="361">
        <f t="shared" ref="AK141:AV141" si="61">AK142/AK143</f>
        <v>0.99795498946794614</v>
      </c>
      <c r="AL141" s="361">
        <f t="shared" si="61"/>
        <v>0.99816098797042851</v>
      </c>
      <c r="AM141" s="361">
        <f t="shared" si="61"/>
        <v>0.99759817451300348</v>
      </c>
      <c r="AN141" s="361">
        <f t="shared" si="61"/>
        <v>0.99673548724842309</v>
      </c>
      <c r="AO141" s="361">
        <f t="shared" si="61"/>
        <v>0.99770371913523836</v>
      </c>
      <c r="AP141" s="361" t="e">
        <f t="shared" si="61"/>
        <v>#DIV/0!</v>
      </c>
      <c r="AQ141" s="361" t="e">
        <f t="shared" si="61"/>
        <v>#DIV/0!</v>
      </c>
      <c r="AR141" s="361" t="e">
        <f t="shared" si="61"/>
        <v>#DIV/0!</v>
      </c>
      <c r="AS141" s="361" t="e">
        <f t="shared" si="61"/>
        <v>#DIV/0!</v>
      </c>
      <c r="AT141" s="361" t="e">
        <f t="shared" si="61"/>
        <v>#DIV/0!</v>
      </c>
      <c r="AU141" s="361" t="e">
        <f t="shared" si="61"/>
        <v>#DIV/0!</v>
      </c>
      <c r="AV141" s="362" t="e">
        <f t="shared" si="61"/>
        <v>#DIV/0!</v>
      </c>
    </row>
    <row r="142" spans="34:48">
      <c r="AH142" s="715" t="s">
        <v>16</v>
      </c>
      <c r="AI142" s="716"/>
      <c r="AJ142" s="399"/>
      <c r="AK142" s="386">
        <f>AK128</f>
        <v>5997459</v>
      </c>
      <c r="AL142" s="386">
        <f t="shared" ref="AL142:AV142" si="62">AL128</f>
        <v>12038101</v>
      </c>
      <c r="AM142" s="386">
        <f t="shared" si="62"/>
        <v>12016075</v>
      </c>
      <c r="AN142" s="386">
        <f t="shared" si="62"/>
        <v>10308058</v>
      </c>
      <c r="AO142" s="386">
        <f t="shared" si="62"/>
        <v>6795808</v>
      </c>
      <c r="AP142" s="386">
        <f t="shared" si="62"/>
        <v>0</v>
      </c>
      <c r="AQ142" s="386">
        <f t="shared" si="62"/>
        <v>0</v>
      </c>
      <c r="AR142" s="386">
        <f t="shared" si="62"/>
        <v>0</v>
      </c>
      <c r="AS142" s="386">
        <f t="shared" si="62"/>
        <v>0</v>
      </c>
      <c r="AT142" s="386">
        <f t="shared" si="62"/>
        <v>0</v>
      </c>
      <c r="AU142" s="386">
        <f t="shared" si="62"/>
        <v>0</v>
      </c>
      <c r="AV142" s="387">
        <f t="shared" si="62"/>
        <v>0</v>
      </c>
    </row>
    <row r="143" spans="34:48">
      <c r="AH143" s="715" t="s">
        <v>17</v>
      </c>
      <c r="AI143" s="716"/>
      <c r="AJ143" s="399"/>
      <c r="AK143" s="386">
        <f>AK129</f>
        <v>6009749</v>
      </c>
      <c r="AL143" s="386">
        <f t="shared" ref="AL143:AV143" si="63">AL129</f>
        <v>12060280</v>
      </c>
      <c r="AM143" s="386">
        <f t="shared" si="63"/>
        <v>12045005</v>
      </c>
      <c r="AN143" s="386">
        <f t="shared" si="63"/>
        <v>10341819</v>
      </c>
      <c r="AO143" s="386">
        <f t="shared" si="63"/>
        <v>6811449</v>
      </c>
      <c r="AP143" s="386">
        <f t="shared" si="63"/>
        <v>0</v>
      </c>
      <c r="AQ143" s="386">
        <f t="shared" si="63"/>
        <v>0</v>
      </c>
      <c r="AR143" s="386">
        <f t="shared" si="63"/>
        <v>0</v>
      </c>
      <c r="AS143" s="386">
        <f t="shared" si="63"/>
        <v>0</v>
      </c>
      <c r="AT143" s="386">
        <f t="shared" si="63"/>
        <v>0</v>
      </c>
      <c r="AU143" s="386">
        <f t="shared" si="63"/>
        <v>0</v>
      </c>
      <c r="AV143" s="387">
        <f t="shared" si="63"/>
        <v>0</v>
      </c>
    </row>
    <row r="144" spans="34:48">
      <c r="AH144" s="390" t="s">
        <v>5</v>
      </c>
      <c r="AI144" s="354"/>
      <c r="AK144" s="361">
        <f>(AK141-AK140)/(AK137-AK140)</f>
        <v>27.299368076768257</v>
      </c>
      <c r="AL144" s="361">
        <f>(AL141-AL140)/(AL137-AL140)</f>
        <v>19.829639112856032</v>
      </c>
      <c r="AM144" s="361">
        <f>(AM141-AM140)/(AM137-AM140)</f>
        <v>1.9634902600686952</v>
      </c>
      <c r="AN144" s="361">
        <f>(AN141-AN140)/(AN137-AN140)</f>
        <v>-11.467691273655698</v>
      </c>
      <c r="AO144" s="361">
        <f t="shared" ref="AO144:AV144" si="64">(AO141-AO140)/(AO137-AO140)</f>
        <v>2.4446296228600088</v>
      </c>
      <c r="AP144" s="361" t="e">
        <f t="shared" si="64"/>
        <v>#DIV/0!</v>
      </c>
      <c r="AQ144" s="361" t="e">
        <f t="shared" si="64"/>
        <v>#DIV/0!</v>
      </c>
      <c r="AR144" s="361" t="e">
        <f t="shared" si="64"/>
        <v>#DIV/0!</v>
      </c>
      <c r="AS144" s="361" t="e">
        <f t="shared" si="64"/>
        <v>#DIV/0!</v>
      </c>
      <c r="AT144" s="361" t="e">
        <f t="shared" si="64"/>
        <v>#DIV/0!</v>
      </c>
      <c r="AU144" s="361" t="e">
        <f t="shared" si="64"/>
        <v>#DIV/0!</v>
      </c>
      <c r="AV144" s="362" t="e">
        <f t="shared" si="64"/>
        <v>#DIV/0!</v>
      </c>
    </row>
    <row r="145" spans="34:48">
      <c r="AH145" s="390" t="s">
        <v>6</v>
      </c>
      <c r="AI145" s="354"/>
      <c r="AK145" s="363">
        <v>1</v>
      </c>
      <c r="AL145" s="363">
        <f t="shared" ref="AL145:AV145" si="65">IF(OR(AL144&gt;=100%),100%,IF(OR(AL144&lt;=0%),0%,AVERAGE(AL144)))</f>
        <v>1</v>
      </c>
      <c r="AM145" s="363">
        <f t="shared" si="65"/>
        <v>1</v>
      </c>
      <c r="AN145" s="363">
        <f t="shared" si="65"/>
        <v>0</v>
      </c>
      <c r="AO145" s="363">
        <f t="shared" si="65"/>
        <v>1</v>
      </c>
      <c r="AP145" s="363" t="e">
        <f t="shared" si="65"/>
        <v>#DIV/0!</v>
      </c>
      <c r="AQ145" s="363" t="e">
        <f t="shared" si="65"/>
        <v>#DIV/0!</v>
      </c>
      <c r="AR145" s="363" t="e">
        <f t="shared" si="65"/>
        <v>#DIV/0!</v>
      </c>
      <c r="AS145" s="363" t="e">
        <f t="shared" si="65"/>
        <v>#DIV/0!</v>
      </c>
      <c r="AT145" s="363" t="e">
        <f t="shared" si="65"/>
        <v>#DIV/0!</v>
      </c>
      <c r="AU145" s="363" t="e">
        <f t="shared" si="65"/>
        <v>#DIV/0!</v>
      </c>
      <c r="AV145" s="364" t="e">
        <f t="shared" si="65"/>
        <v>#DIV/0!</v>
      </c>
    </row>
    <row r="146" spans="34:48">
      <c r="AH146" s="717" t="s">
        <v>7</v>
      </c>
      <c r="AI146" s="718"/>
      <c r="AK146" s="365">
        <f>AK145*0.1</f>
        <v>0.1</v>
      </c>
      <c r="AL146" s="365">
        <f t="shared" ref="AL146:AV146" si="66">AL145*0.1</f>
        <v>0.1</v>
      </c>
      <c r="AM146" s="365">
        <f t="shared" si="66"/>
        <v>0.1</v>
      </c>
      <c r="AN146" s="365">
        <f t="shared" si="66"/>
        <v>0</v>
      </c>
      <c r="AO146" s="365">
        <f t="shared" si="66"/>
        <v>0.1</v>
      </c>
      <c r="AP146" s="365" t="e">
        <f t="shared" si="66"/>
        <v>#DIV/0!</v>
      </c>
      <c r="AQ146" s="365" t="e">
        <f t="shared" si="66"/>
        <v>#DIV/0!</v>
      </c>
      <c r="AR146" s="365" t="e">
        <f t="shared" si="66"/>
        <v>#DIV/0!</v>
      </c>
      <c r="AS146" s="365" t="e">
        <f t="shared" si="66"/>
        <v>#DIV/0!</v>
      </c>
      <c r="AT146" s="365" t="e">
        <f t="shared" si="66"/>
        <v>#DIV/0!</v>
      </c>
      <c r="AU146" s="365" t="e">
        <f t="shared" si="66"/>
        <v>#DIV/0!</v>
      </c>
      <c r="AV146" s="366" t="e">
        <f t="shared" si="66"/>
        <v>#DIV/0!</v>
      </c>
    </row>
    <row r="147" spans="34:48">
      <c r="AH147" s="367"/>
      <c r="AI147" s="368"/>
      <c r="AJ147" s="368"/>
      <c r="AK147" s="368"/>
      <c r="AL147" s="368"/>
      <c r="AM147" s="368"/>
      <c r="AN147" s="368"/>
      <c r="AO147" s="368"/>
      <c r="AP147" s="368"/>
      <c r="AQ147" s="368"/>
      <c r="AR147" s="368"/>
      <c r="AS147" s="368"/>
      <c r="AT147" s="368"/>
      <c r="AU147" s="368"/>
      <c r="AV147" s="391"/>
    </row>
    <row r="148" spans="34:48">
      <c r="AH148" s="717" t="s">
        <v>26</v>
      </c>
      <c r="AI148" s="718"/>
      <c r="AJ148" s="403"/>
      <c r="AK148" s="628">
        <f>TS!AG99+CN!AK153+YF!AK135+PPD!AI121</f>
        <v>6.8299200000000004</v>
      </c>
      <c r="AL148" s="628">
        <f>TS!AH99+CN!AL153+YF!AL135+PPD!AJ121</f>
        <v>9.9599999999999991</v>
      </c>
      <c r="AM148" s="628">
        <f>TS!AI99+CN!AM153+YF!AM135+PPD!AK121</f>
        <v>5.5879700000000003</v>
      </c>
      <c r="AN148" s="628">
        <f>TS!AJ99+CN!AN153+YF!AN135+PPD!AL121</f>
        <v>7.5682</v>
      </c>
      <c r="AO148" s="628">
        <f>TS!AK99+CN!AO153+YF!AO135+PPD!AM121</f>
        <v>7.9611200000000002</v>
      </c>
      <c r="AP148" s="628">
        <f>TS!AL99+CN!AP153+YF!AP135+PPD!AN121</f>
        <v>0</v>
      </c>
      <c r="AQ148" s="628">
        <f>TS!AM99+CN!AQ153+YF!AQ135+PPD!AO121</f>
        <v>0</v>
      </c>
      <c r="AR148" s="628">
        <f>TS!AN99+CN!AR153+YF!AR135+PPD!AP121</f>
        <v>0</v>
      </c>
      <c r="AS148" s="628">
        <f>TS!AO99+CN!AS153+YF!AS135+PPD!AQ121</f>
        <v>0</v>
      </c>
      <c r="AT148" s="628">
        <f>TS!AP99+CN!AT153+YF!AT135+PPD!AR121</f>
        <v>0</v>
      </c>
      <c r="AU148" s="628">
        <f>TS!AQ99+CN!AU153+YF!AU135+PPD!AS121</f>
        <v>0</v>
      </c>
      <c r="AV148" s="404">
        <f>TS!AR99+CN!AV153+YF!AV135+PPD!AT121</f>
        <v>0</v>
      </c>
    </row>
    <row r="149" spans="34:48">
      <c r="AH149" s="405"/>
      <c r="AL149" s="368"/>
      <c r="AV149" s="406"/>
    </row>
    <row r="150" spans="34:48">
      <c r="AH150" s="405"/>
      <c r="AL150" s="368"/>
      <c r="AV150" s="406"/>
    </row>
    <row r="151" spans="34:48">
      <c r="AH151" s="341" t="s">
        <v>131</v>
      </c>
      <c r="AJ151" s="342">
        <v>45352</v>
      </c>
      <c r="AK151" s="342">
        <v>45383</v>
      </c>
      <c r="AL151" s="342">
        <v>45413</v>
      </c>
      <c r="AM151" s="342">
        <v>45444</v>
      </c>
      <c r="AN151" s="342">
        <v>45474</v>
      </c>
      <c r="AO151" s="342">
        <v>45505</v>
      </c>
      <c r="AP151" s="342">
        <v>45536</v>
      </c>
      <c r="AQ151" s="342">
        <v>45566</v>
      </c>
      <c r="AR151" s="342">
        <v>45597</v>
      </c>
      <c r="AS151" s="342">
        <v>45627</v>
      </c>
      <c r="AT151" s="342">
        <v>45658</v>
      </c>
      <c r="AU151" s="342">
        <v>45689</v>
      </c>
      <c r="AV151" s="343">
        <v>45717</v>
      </c>
    </row>
    <row r="152" spans="34:48">
      <c r="AH152" s="372">
        <f>(AV152-AJ152)/12</f>
        <v>0</v>
      </c>
      <c r="AI152" s="355"/>
      <c r="AJ152" s="392">
        <f>$AV$152</f>
        <v>1.8E-3</v>
      </c>
      <c r="AK152" s="392">
        <f>++AJ152+$AH$152</f>
        <v>1.8E-3</v>
      </c>
      <c r="AL152" s="392">
        <f t="shared" ref="AL152:AU152" si="67">++AK152+$AH$152</f>
        <v>1.8E-3</v>
      </c>
      <c r="AM152" s="392">
        <f t="shared" si="67"/>
        <v>1.8E-3</v>
      </c>
      <c r="AN152" s="392">
        <f t="shared" si="67"/>
        <v>1.8E-3</v>
      </c>
      <c r="AO152" s="392">
        <f t="shared" si="67"/>
        <v>1.8E-3</v>
      </c>
      <c r="AP152" s="392">
        <f t="shared" si="67"/>
        <v>1.8E-3</v>
      </c>
      <c r="AQ152" s="392">
        <f t="shared" si="67"/>
        <v>1.8E-3</v>
      </c>
      <c r="AR152" s="392">
        <f t="shared" si="67"/>
        <v>1.8E-3</v>
      </c>
      <c r="AS152" s="392">
        <f t="shared" si="67"/>
        <v>1.8E-3</v>
      </c>
      <c r="AT152" s="392">
        <f t="shared" si="67"/>
        <v>1.8E-3</v>
      </c>
      <c r="AU152" s="392">
        <f t="shared" si="67"/>
        <v>1.8E-3</v>
      </c>
      <c r="AV152" s="622">
        <v>1.8E-3</v>
      </c>
    </row>
    <row r="153" spans="34:48">
      <c r="AH153" s="372">
        <f>(AV153-AJ153)/12</f>
        <v>-8.3333333333333185E-6</v>
      </c>
      <c r="AI153" s="378" t="s">
        <v>2</v>
      </c>
      <c r="AJ153" s="392">
        <f>$AV$152</f>
        <v>1.8E-3</v>
      </c>
      <c r="AK153" s="392">
        <f>++AJ153+$AH$153</f>
        <v>1.7916666666666667E-3</v>
      </c>
      <c r="AL153" s="392">
        <f t="shared" ref="AL153:AU153" si="68">++AK153+$AH$153</f>
        <v>1.7833333333333334E-3</v>
      </c>
      <c r="AM153" s="392">
        <f t="shared" si="68"/>
        <v>1.7750000000000001E-3</v>
      </c>
      <c r="AN153" s="392">
        <f t="shared" si="68"/>
        <v>1.7666666666666668E-3</v>
      </c>
      <c r="AO153" s="392">
        <f t="shared" si="68"/>
        <v>1.7583333333333335E-3</v>
      </c>
      <c r="AP153" s="392">
        <f t="shared" si="68"/>
        <v>1.7500000000000003E-3</v>
      </c>
      <c r="AQ153" s="392">
        <f t="shared" si="68"/>
        <v>1.741666666666667E-3</v>
      </c>
      <c r="AR153" s="392">
        <f t="shared" si="68"/>
        <v>1.7333333333333337E-3</v>
      </c>
      <c r="AS153" s="392">
        <f t="shared" si="68"/>
        <v>1.7250000000000004E-3</v>
      </c>
      <c r="AT153" s="392">
        <f t="shared" si="68"/>
        <v>1.7166666666666671E-3</v>
      </c>
      <c r="AU153" s="392">
        <f t="shared" si="68"/>
        <v>1.7083333333333338E-3</v>
      </c>
      <c r="AV153" s="563">
        <f>AV152-(AV152-AV155)*0.5</f>
        <v>1.7000000000000001E-3</v>
      </c>
    </row>
    <row r="154" spans="34:48">
      <c r="AH154" s="372">
        <f>(AV154-AJ154)/12</f>
        <v>-1.3333333333333332E-5</v>
      </c>
      <c r="AI154" s="376" t="s">
        <v>2</v>
      </c>
      <c r="AJ154" s="392">
        <f>$AV$152</f>
        <v>1.8E-3</v>
      </c>
      <c r="AK154" s="392">
        <f>++AJ154+$AH$154</f>
        <v>1.7866666666666667E-3</v>
      </c>
      <c r="AL154" s="392">
        <f t="shared" ref="AL154:AU154" si="69">++AK154+$AH$154</f>
        <v>1.7733333333333334E-3</v>
      </c>
      <c r="AM154" s="392">
        <f t="shared" si="69"/>
        <v>1.7600000000000001E-3</v>
      </c>
      <c r="AN154" s="392">
        <f t="shared" si="69"/>
        <v>1.7466666666666668E-3</v>
      </c>
      <c r="AO154" s="392">
        <f t="shared" si="69"/>
        <v>1.7333333333333335E-3</v>
      </c>
      <c r="AP154" s="392">
        <f t="shared" si="69"/>
        <v>1.7200000000000002E-3</v>
      </c>
      <c r="AQ154" s="392">
        <f t="shared" si="69"/>
        <v>1.7066666666666669E-3</v>
      </c>
      <c r="AR154" s="392">
        <f t="shared" si="69"/>
        <v>1.6933333333333336E-3</v>
      </c>
      <c r="AS154" s="392">
        <f t="shared" si="69"/>
        <v>1.6800000000000003E-3</v>
      </c>
      <c r="AT154" s="392">
        <f t="shared" si="69"/>
        <v>1.666666666666667E-3</v>
      </c>
      <c r="AU154" s="392">
        <f t="shared" si="69"/>
        <v>1.6533333333333337E-3</v>
      </c>
      <c r="AV154" s="562">
        <f>AV152-(AV152-AV155)*0.8</f>
        <v>1.64E-3</v>
      </c>
    </row>
    <row r="155" spans="34:48">
      <c r="AH155" s="372">
        <f>(AV155-AJ155)/12</f>
        <v>-1.6666666666666657E-5</v>
      </c>
      <c r="AI155" s="373" t="s">
        <v>2</v>
      </c>
      <c r="AJ155" s="392">
        <f>$AV$152</f>
        <v>1.8E-3</v>
      </c>
      <c r="AK155" s="392">
        <f>++AJ155+$AH$155</f>
        <v>1.7833333333333334E-3</v>
      </c>
      <c r="AL155" s="392">
        <f t="shared" ref="AL155:AU155" si="70">++AK155+$AH$155</f>
        <v>1.7666666666666668E-3</v>
      </c>
      <c r="AM155" s="392">
        <f t="shared" si="70"/>
        <v>1.7500000000000003E-3</v>
      </c>
      <c r="AN155" s="392">
        <f t="shared" si="70"/>
        <v>1.7333333333333337E-3</v>
      </c>
      <c r="AO155" s="392">
        <f t="shared" si="70"/>
        <v>1.7166666666666671E-3</v>
      </c>
      <c r="AP155" s="392">
        <f t="shared" si="70"/>
        <v>1.7000000000000006E-3</v>
      </c>
      <c r="AQ155" s="392">
        <f t="shared" si="70"/>
        <v>1.683333333333334E-3</v>
      </c>
      <c r="AR155" s="392">
        <f t="shared" si="70"/>
        <v>1.6666666666666674E-3</v>
      </c>
      <c r="AS155" s="392">
        <f t="shared" si="70"/>
        <v>1.6500000000000009E-3</v>
      </c>
      <c r="AT155" s="392">
        <f t="shared" si="70"/>
        <v>1.6333333333333343E-3</v>
      </c>
      <c r="AU155" s="392">
        <f t="shared" si="70"/>
        <v>1.6166666666666677E-3</v>
      </c>
      <c r="AV155" s="561">
        <v>1.6000000000000001E-3</v>
      </c>
    </row>
    <row r="156" spans="34:48">
      <c r="AH156" s="353" t="s">
        <v>4</v>
      </c>
      <c r="AI156" s="354"/>
      <c r="AJ156" s="361"/>
      <c r="AK156" s="361">
        <f>AK148/(AK157/1000)</f>
        <v>1.5568171838779752E-3</v>
      </c>
      <c r="AL156" s="361">
        <f t="shared" ref="AL156:AV156" si="71">AL148/(AL157/1000)</f>
        <v>1.6367088528592593E-3</v>
      </c>
      <c r="AM156" s="361">
        <f t="shared" si="71"/>
        <v>1.2118872743770632E-3</v>
      </c>
      <c r="AN156" s="361">
        <f t="shared" si="71"/>
        <v>1.1148284120765881E-3</v>
      </c>
      <c r="AO156" s="361">
        <f t="shared" si="71"/>
        <v>1.381307900291144E-3</v>
      </c>
      <c r="AP156" s="361" t="e">
        <f t="shared" si="71"/>
        <v>#DIV/0!</v>
      </c>
      <c r="AQ156" s="361" t="e">
        <f t="shared" si="71"/>
        <v>#DIV/0!</v>
      </c>
      <c r="AR156" s="361" t="e">
        <f t="shared" si="71"/>
        <v>#DIV/0!</v>
      </c>
      <c r="AS156" s="361" t="e">
        <f t="shared" si="71"/>
        <v>#DIV/0!</v>
      </c>
      <c r="AT156" s="361" t="e">
        <f t="shared" si="71"/>
        <v>#DIV/0!</v>
      </c>
      <c r="AU156" s="361" t="e">
        <f t="shared" si="71"/>
        <v>#DIV/0!</v>
      </c>
      <c r="AV156" s="362" t="e">
        <f t="shared" si="71"/>
        <v>#DIV/0!</v>
      </c>
    </row>
    <row r="157" spans="34:48">
      <c r="AH157" s="721" t="s">
        <v>136</v>
      </c>
      <c r="AI157" s="722"/>
      <c r="AJ157" s="368"/>
      <c r="AK157" s="410">
        <f>TS!AG108+PPD!AI130+CN!AK162+YF!AK144</f>
        <v>4387104.71</v>
      </c>
      <c r="AL157" s="410">
        <f>TS!AH108+PPD!AJ130+CN!AL162+YF!AL144</f>
        <v>6085382.8600000003</v>
      </c>
      <c r="AM157" s="410">
        <f>TS!AI108+PPD!AK130+CN!AM162+YF!AM144</f>
        <v>4610965.1600000011</v>
      </c>
      <c r="AN157" s="410">
        <f>TS!AJ108+PPD!AL130+CN!AN162+YF!AN144</f>
        <v>6788668.0300000003</v>
      </c>
      <c r="AO157" s="410">
        <f>TS!AK108+PPD!AM130+CN!AO162+YF!AO144</f>
        <v>5763465.1900000004</v>
      </c>
      <c r="AP157" s="410">
        <f>TS!AL108+PPD!AN130+CN!AP162+YF!AP144</f>
        <v>0</v>
      </c>
      <c r="AQ157" s="410">
        <f>TS!AM108+PPD!AO130+CN!AQ162+YF!AQ144</f>
        <v>0</v>
      </c>
      <c r="AR157" s="410">
        <f>TS!AN108+PPD!AP130+CN!AR162+YF!AR144</f>
        <v>0</v>
      </c>
      <c r="AS157" s="410">
        <f>TS!AO108+PPD!AQ130+CN!AS162+YF!AS144</f>
        <v>0</v>
      </c>
      <c r="AT157" s="410">
        <f>TS!AP108+PPD!AR130+CN!AT162+YF!AT144</f>
        <v>0</v>
      </c>
      <c r="AU157" s="410">
        <f>TS!AQ108+PPD!AS130+CN!AU162+YF!AU144</f>
        <v>0</v>
      </c>
      <c r="AV157" s="411">
        <f>TS!AR108+PPD!AT130+CN!AV162+YF!AV144</f>
        <v>0</v>
      </c>
    </row>
    <row r="158" spans="34:48">
      <c r="AH158" s="353" t="s">
        <v>5</v>
      </c>
      <c r="AI158" s="354"/>
      <c r="AK158" s="361">
        <f>(AK152-AK156)/(AK152-AK155)</f>
        <v>14.590968967321574</v>
      </c>
      <c r="AL158" s="361">
        <f t="shared" ref="AL158:AV158" si="72">(AL152-AL156)/(AL152-AL155)</f>
        <v>4.8987344142222495</v>
      </c>
      <c r="AM158" s="361">
        <f t="shared" si="72"/>
        <v>11.762254512458806</v>
      </c>
      <c r="AN158" s="361">
        <f t="shared" si="72"/>
        <v>10.27757381885124</v>
      </c>
      <c r="AO158" s="361">
        <f t="shared" si="72"/>
        <v>5.0243051965063019</v>
      </c>
      <c r="AP158" s="361" t="e">
        <f t="shared" si="72"/>
        <v>#DIV/0!</v>
      </c>
      <c r="AQ158" s="361" t="e">
        <f t="shared" si="72"/>
        <v>#DIV/0!</v>
      </c>
      <c r="AR158" s="361" t="e">
        <f t="shared" si="72"/>
        <v>#DIV/0!</v>
      </c>
      <c r="AS158" s="361" t="e">
        <f t="shared" si="72"/>
        <v>#DIV/0!</v>
      </c>
      <c r="AT158" s="361" t="e">
        <f t="shared" si="72"/>
        <v>#DIV/0!</v>
      </c>
      <c r="AU158" s="361" t="e">
        <f t="shared" si="72"/>
        <v>#DIV/0!</v>
      </c>
      <c r="AV158" s="362" t="e">
        <f t="shared" si="72"/>
        <v>#DIV/0!</v>
      </c>
    </row>
    <row r="159" spans="34:48">
      <c r="AH159" s="390" t="s">
        <v>6</v>
      </c>
      <c r="AI159" s="354"/>
      <c r="AK159" s="363">
        <f>IF(OR(AK158&gt;=100%),100%,IF(OR(AK158&lt;=0%),0%,AVERAGE(AK158)))</f>
        <v>1</v>
      </c>
      <c r="AL159" s="363">
        <f>IF(OR(AL158&gt;=100%),100%,IF(OR(AL158&lt;=0%),0%,AVERAGE(AL158)))</f>
        <v>1</v>
      </c>
      <c r="AM159" s="363">
        <f t="shared" ref="AM159:AV159" si="73">IF(OR(AM158&gt;=100%),100%,IF(OR(AM158&lt;=0%),0%,AVERAGE(AM158)))</f>
        <v>1</v>
      </c>
      <c r="AN159" s="363">
        <f t="shared" si="73"/>
        <v>1</v>
      </c>
      <c r="AO159" s="363">
        <f t="shared" si="73"/>
        <v>1</v>
      </c>
      <c r="AP159" s="363" t="e">
        <f t="shared" si="73"/>
        <v>#DIV/0!</v>
      </c>
      <c r="AQ159" s="363" t="e">
        <f t="shared" si="73"/>
        <v>#DIV/0!</v>
      </c>
      <c r="AR159" s="363" t="e">
        <f t="shared" si="73"/>
        <v>#DIV/0!</v>
      </c>
      <c r="AS159" s="363" t="e">
        <f t="shared" si="73"/>
        <v>#DIV/0!</v>
      </c>
      <c r="AT159" s="363" t="e">
        <f t="shared" si="73"/>
        <v>#DIV/0!</v>
      </c>
      <c r="AU159" s="363" t="e">
        <f t="shared" si="73"/>
        <v>#DIV/0!</v>
      </c>
      <c r="AV159" s="364" t="e">
        <f t="shared" si="73"/>
        <v>#DIV/0!</v>
      </c>
    </row>
    <row r="160" spans="34:48">
      <c r="AH160" s="717" t="s">
        <v>7</v>
      </c>
      <c r="AI160" s="718"/>
      <c r="AK160" s="365">
        <f>AK159*0.2</f>
        <v>0.2</v>
      </c>
      <c r="AL160" s="365">
        <f t="shared" ref="AL160:AV160" si="74">AL159*0.2</f>
        <v>0.2</v>
      </c>
      <c r="AM160" s="365">
        <f t="shared" si="74"/>
        <v>0.2</v>
      </c>
      <c r="AN160" s="365">
        <f t="shared" si="74"/>
        <v>0.2</v>
      </c>
      <c r="AO160" s="365">
        <f t="shared" si="74"/>
        <v>0.2</v>
      </c>
      <c r="AP160" s="365" t="e">
        <f t="shared" si="74"/>
        <v>#DIV/0!</v>
      </c>
      <c r="AQ160" s="365" t="e">
        <f t="shared" si="74"/>
        <v>#DIV/0!</v>
      </c>
      <c r="AR160" s="365" t="e">
        <f t="shared" si="74"/>
        <v>#DIV/0!</v>
      </c>
      <c r="AS160" s="365" t="e">
        <f t="shared" si="74"/>
        <v>#DIV/0!</v>
      </c>
      <c r="AT160" s="365" t="e">
        <f t="shared" si="74"/>
        <v>#DIV/0!</v>
      </c>
      <c r="AU160" s="365" t="e">
        <f t="shared" si="74"/>
        <v>#DIV/0!</v>
      </c>
      <c r="AV160" s="366" t="e">
        <f t="shared" si="74"/>
        <v>#DIV/0!</v>
      </c>
    </row>
    <row r="161" spans="34:48">
      <c r="AH161" s="405"/>
      <c r="AL161" s="368"/>
      <c r="AV161" s="406"/>
    </row>
    <row r="162" spans="34:48">
      <c r="AH162" s="412"/>
      <c r="AI162" s="413"/>
      <c r="AK162" s="363"/>
      <c r="AL162" s="363"/>
      <c r="AM162" s="363"/>
      <c r="AN162" s="363"/>
      <c r="AO162" s="363"/>
      <c r="AP162" s="363"/>
      <c r="AQ162" s="363"/>
      <c r="AR162" s="363"/>
      <c r="AS162" s="363"/>
      <c r="AT162" s="363"/>
      <c r="AU162" s="363"/>
      <c r="AV162" s="364"/>
    </row>
    <row r="163" spans="34:48">
      <c r="AH163" s="341" t="s">
        <v>132</v>
      </c>
      <c r="AJ163" s="342">
        <v>45352</v>
      </c>
      <c r="AK163" s="342">
        <v>45383</v>
      </c>
      <c r="AL163" s="342">
        <v>45413</v>
      </c>
      <c r="AM163" s="342">
        <v>45444</v>
      </c>
      <c r="AN163" s="342">
        <v>45474</v>
      </c>
      <c r="AO163" s="342">
        <v>45505</v>
      </c>
      <c r="AP163" s="342">
        <v>45536</v>
      </c>
      <c r="AQ163" s="342">
        <v>45566</v>
      </c>
      <c r="AR163" s="342">
        <v>45597</v>
      </c>
      <c r="AS163" s="342">
        <v>45627</v>
      </c>
      <c r="AT163" s="342">
        <v>45658</v>
      </c>
      <c r="AU163" s="342">
        <v>45689</v>
      </c>
      <c r="AV163" s="343">
        <v>45717</v>
      </c>
    </row>
    <row r="164" spans="34:48">
      <c r="AH164" s="344">
        <f>(AV164-AJ164)/12</f>
        <v>8.3333333333324155E-6</v>
      </c>
      <c r="AI164" s="373" t="s">
        <v>2</v>
      </c>
      <c r="AJ164" s="392">
        <f>$AV$167</f>
        <v>0.99950000000000006</v>
      </c>
      <c r="AK164" s="394">
        <f>++AJ164+$AH$164</f>
        <v>0.99950833333333344</v>
      </c>
      <c r="AL164" s="394">
        <f t="shared" ref="AL164:AU164" si="75">++AK164+$AH$164</f>
        <v>0.99951666666666683</v>
      </c>
      <c r="AM164" s="394">
        <f t="shared" si="75"/>
        <v>0.99952500000000022</v>
      </c>
      <c r="AN164" s="394">
        <f t="shared" si="75"/>
        <v>0.99953333333333361</v>
      </c>
      <c r="AO164" s="394">
        <f t="shared" si="75"/>
        <v>0.99954166666666699</v>
      </c>
      <c r="AP164" s="394">
        <f t="shared" si="75"/>
        <v>0.99955000000000038</v>
      </c>
      <c r="AQ164" s="394">
        <f t="shared" si="75"/>
        <v>0.99955833333333377</v>
      </c>
      <c r="AR164" s="394">
        <f t="shared" si="75"/>
        <v>0.99956666666666716</v>
      </c>
      <c r="AS164" s="394">
        <f t="shared" si="75"/>
        <v>0.99957500000000055</v>
      </c>
      <c r="AT164" s="394">
        <f t="shared" si="75"/>
        <v>0.99958333333333393</v>
      </c>
      <c r="AU164" s="394">
        <f t="shared" si="75"/>
        <v>0.99959166666666732</v>
      </c>
      <c r="AV164" s="393">
        <v>0.99960000000000004</v>
      </c>
    </row>
    <row r="165" spans="34:48">
      <c r="AH165" s="344">
        <f>(AV165-AJ165)/12</f>
        <v>6.6666666666640823E-6</v>
      </c>
      <c r="AI165" s="376" t="s">
        <v>2</v>
      </c>
      <c r="AJ165" s="392">
        <f>$AV$167</f>
        <v>0.99950000000000006</v>
      </c>
      <c r="AK165" s="394">
        <f>++AJ165+$AH$165</f>
        <v>0.99950666666666677</v>
      </c>
      <c r="AL165" s="394">
        <f t="shared" ref="AL165:AU165" si="76">++AK165+$AH$165</f>
        <v>0.99951333333333348</v>
      </c>
      <c r="AM165" s="394">
        <f t="shared" si="76"/>
        <v>0.99952000000000019</v>
      </c>
      <c r="AN165" s="394">
        <f t="shared" si="76"/>
        <v>0.9995266666666669</v>
      </c>
      <c r="AO165" s="394">
        <f t="shared" si="76"/>
        <v>0.99953333333333361</v>
      </c>
      <c r="AP165" s="394">
        <f t="shared" si="76"/>
        <v>0.99954000000000032</v>
      </c>
      <c r="AQ165" s="394">
        <f t="shared" si="76"/>
        <v>0.99954666666666703</v>
      </c>
      <c r="AR165" s="394">
        <f t="shared" si="76"/>
        <v>0.99955333333333374</v>
      </c>
      <c r="AS165" s="394">
        <f t="shared" si="76"/>
        <v>0.99956000000000045</v>
      </c>
      <c r="AT165" s="394">
        <f t="shared" si="76"/>
        <v>0.99956666666666716</v>
      </c>
      <c r="AU165" s="394">
        <f t="shared" si="76"/>
        <v>0.99957333333333387</v>
      </c>
      <c r="AV165" s="395">
        <f>AV164-(AV164-AV167)*0.2</f>
        <v>0.99958000000000002</v>
      </c>
    </row>
    <row r="166" spans="34:48">
      <c r="AH166" s="344">
        <f>(AV166-AJ166)/12</f>
        <v>4.1666666666662078E-6</v>
      </c>
      <c r="AI166" s="378" t="s">
        <v>2</v>
      </c>
      <c r="AJ166" s="392">
        <f>$AV$167</f>
        <v>0.99950000000000006</v>
      </c>
      <c r="AK166" s="394">
        <f>++AJ166+$AH$166</f>
        <v>0.99950416666666675</v>
      </c>
      <c r="AL166" s="394">
        <f t="shared" ref="AL166:AU166" si="77">++AK166+$AH$166</f>
        <v>0.99950833333333344</v>
      </c>
      <c r="AM166" s="394">
        <f t="shared" si="77"/>
        <v>0.99951250000000014</v>
      </c>
      <c r="AN166" s="394">
        <f t="shared" si="77"/>
        <v>0.99951666666666683</v>
      </c>
      <c r="AO166" s="394">
        <f t="shared" si="77"/>
        <v>0.99952083333333352</v>
      </c>
      <c r="AP166" s="394">
        <f t="shared" si="77"/>
        <v>0.99952500000000022</v>
      </c>
      <c r="AQ166" s="394">
        <f t="shared" si="77"/>
        <v>0.99952916666666691</v>
      </c>
      <c r="AR166" s="394">
        <f t="shared" si="77"/>
        <v>0.99953333333333361</v>
      </c>
      <c r="AS166" s="394">
        <f t="shared" si="77"/>
        <v>0.9995375000000003</v>
      </c>
      <c r="AT166" s="394">
        <f t="shared" si="77"/>
        <v>0.99954166666666699</v>
      </c>
      <c r="AU166" s="394">
        <f t="shared" si="77"/>
        <v>0.99954583333333369</v>
      </c>
      <c r="AV166" s="396">
        <f>AV164-(AV164-AV167)*0.5</f>
        <v>0.99955000000000005</v>
      </c>
    </row>
    <row r="167" spans="34:48">
      <c r="AH167" s="344">
        <f>(AV167-AJ167)/12</f>
        <v>0</v>
      </c>
      <c r="AI167" s="355"/>
      <c r="AJ167" s="392">
        <f>$AV$167</f>
        <v>0.99950000000000006</v>
      </c>
      <c r="AK167" s="392">
        <f t="shared" ref="AK167:AU167" si="78">$AV$167</f>
        <v>0.99950000000000006</v>
      </c>
      <c r="AL167" s="392">
        <f t="shared" si="78"/>
        <v>0.99950000000000006</v>
      </c>
      <c r="AM167" s="392">
        <f t="shared" si="78"/>
        <v>0.99950000000000006</v>
      </c>
      <c r="AN167" s="392">
        <f t="shared" si="78"/>
        <v>0.99950000000000006</v>
      </c>
      <c r="AO167" s="392">
        <f t="shared" si="78"/>
        <v>0.99950000000000006</v>
      </c>
      <c r="AP167" s="392">
        <f t="shared" si="78"/>
        <v>0.99950000000000006</v>
      </c>
      <c r="AQ167" s="392">
        <f t="shared" si="78"/>
        <v>0.99950000000000006</v>
      </c>
      <c r="AR167" s="392">
        <f t="shared" si="78"/>
        <v>0.99950000000000006</v>
      </c>
      <c r="AS167" s="392">
        <f t="shared" si="78"/>
        <v>0.99950000000000006</v>
      </c>
      <c r="AT167" s="392">
        <f t="shared" si="78"/>
        <v>0.99950000000000006</v>
      </c>
      <c r="AU167" s="392">
        <f t="shared" si="78"/>
        <v>0.99950000000000006</v>
      </c>
      <c r="AV167" s="397">
        <v>0.99950000000000006</v>
      </c>
    </row>
    <row r="168" spans="34:48">
      <c r="AH168" s="353" t="s">
        <v>4</v>
      </c>
      <c r="AI168" s="354"/>
      <c r="AJ168" s="398"/>
      <c r="AK168" s="361">
        <f t="shared" ref="AK168:AV168" si="79">AK170/AK169</f>
        <v>0.99799952930101199</v>
      </c>
      <c r="AL168" s="361">
        <f t="shared" si="79"/>
        <v>0.9994162288382954</v>
      </c>
      <c r="AM168" s="361">
        <f t="shared" si="79"/>
        <v>0.99895773016792122</v>
      </c>
      <c r="AN168" s="361">
        <f t="shared" si="79"/>
        <v>0.99910536779324055</v>
      </c>
      <c r="AO168" s="361">
        <f t="shared" si="79"/>
        <v>0.99869024230517356</v>
      </c>
      <c r="AP168" s="361" t="e">
        <f t="shared" si="79"/>
        <v>#DIV/0!</v>
      </c>
      <c r="AQ168" s="361" t="e">
        <f t="shared" si="79"/>
        <v>#DIV/0!</v>
      </c>
      <c r="AR168" s="361" t="e">
        <f t="shared" si="79"/>
        <v>#DIV/0!</v>
      </c>
      <c r="AS168" s="361" t="e">
        <f t="shared" si="79"/>
        <v>#DIV/0!</v>
      </c>
      <c r="AT168" s="361" t="e">
        <f t="shared" si="79"/>
        <v>#DIV/0!</v>
      </c>
      <c r="AU168" s="361" t="e">
        <f t="shared" si="79"/>
        <v>#DIV/0!</v>
      </c>
      <c r="AV168" s="362" t="e">
        <f t="shared" si="79"/>
        <v>#DIV/0!</v>
      </c>
    </row>
    <row r="169" spans="34:48">
      <c r="AH169" s="715" t="s">
        <v>21</v>
      </c>
      <c r="AI169" s="716"/>
      <c r="AJ169" s="399"/>
      <c r="AK169" s="414">
        <f>TS!AG120+PPD!AI142+CN!AK174+YF!AK156</f>
        <v>8498</v>
      </c>
      <c r="AL169" s="414">
        <f>TS!AH120+PPD!AJ142+CN!AL174+YF!AL156</f>
        <v>10278</v>
      </c>
      <c r="AM169" s="414">
        <f>TS!AI120+PPD!AK142+CN!AM174+YF!AM156</f>
        <v>8635</v>
      </c>
      <c r="AN169" s="414">
        <f>TS!AJ120+PPD!AL142+CN!AN174+YF!AN156</f>
        <v>10060</v>
      </c>
      <c r="AO169" s="414">
        <f>TS!AK120+PPD!AM142+CN!AO174+YF!AO156</f>
        <v>7635</v>
      </c>
      <c r="AP169" s="414">
        <f>TS!AL120+PPD!AN142+CN!AP174+YF!AP156</f>
        <v>0</v>
      </c>
      <c r="AQ169" s="414">
        <f>TS!AM120+PPD!AO142+CN!AQ174+YF!AQ156</f>
        <v>0</v>
      </c>
      <c r="AR169" s="414">
        <f>TS!AN120+PPD!AP142+CN!AR174+YF!AR156</f>
        <v>0</v>
      </c>
      <c r="AS169" s="414">
        <f>TS!AO120+PPD!AQ142+CN!AS174+YF!AS156</f>
        <v>0</v>
      </c>
      <c r="AT169" s="414">
        <f>TS!AP120+PPD!AR142+CN!AT174+YF!AT156</f>
        <v>0</v>
      </c>
      <c r="AU169" s="414">
        <f>TS!AQ120+PPD!AS142+CN!AU174+YF!AU156</f>
        <v>0</v>
      </c>
      <c r="AV169" s="415">
        <f>TS!AR120+PPD!AT142+CN!AV174+YF!AV156</f>
        <v>0</v>
      </c>
    </row>
    <row r="170" spans="34:48">
      <c r="AH170" s="715" t="s">
        <v>22</v>
      </c>
      <c r="AI170" s="716"/>
      <c r="AJ170" s="399"/>
      <c r="AK170" s="414">
        <f>TS!AG121+PPD!AI143+CN!AK175+YF!AK157</f>
        <v>8481</v>
      </c>
      <c r="AL170" s="414">
        <f>TS!AH121+PPD!AJ143+CN!AL175+YF!AL157</f>
        <v>10272</v>
      </c>
      <c r="AM170" s="414">
        <f>TS!AI121+PPD!AK143+CN!AM175+YF!AM157</f>
        <v>8626</v>
      </c>
      <c r="AN170" s="414">
        <f>TS!AJ121+PPD!AL143+CN!AN175+YF!AN157</f>
        <v>10051</v>
      </c>
      <c r="AO170" s="414">
        <f>TS!AK121+PPD!AM143+CN!AO175+YF!AO157</f>
        <v>7625</v>
      </c>
      <c r="AP170" s="414">
        <f>TS!AL121+PPD!AN143+CN!AP175+YF!AP157</f>
        <v>0</v>
      </c>
      <c r="AQ170" s="414">
        <f>TS!AM121+PPD!AO143+CN!AQ175+YF!AQ157</f>
        <v>0</v>
      </c>
      <c r="AR170" s="414">
        <f>TS!AN121+PPD!AP143+CN!AR175+YF!AR157</f>
        <v>0</v>
      </c>
      <c r="AS170" s="414">
        <f>TS!AO121+PPD!AQ143+CN!AS175+YF!AS157</f>
        <v>0</v>
      </c>
      <c r="AT170" s="414">
        <f>TS!AP121+PPD!AR143+CN!AT175+YF!AT157</f>
        <v>0</v>
      </c>
      <c r="AU170" s="414">
        <f>TS!AQ121+PPD!AS143+CN!AU175+YF!AU157</f>
        <v>0</v>
      </c>
      <c r="AV170" s="415">
        <f>TS!AR121+PPD!AT143+CN!AV175+YF!AV157</f>
        <v>0</v>
      </c>
    </row>
    <row r="171" spans="34:48">
      <c r="AH171" s="390" t="s">
        <v>5</v>
      </c>
      <c r="AI171" s="354"/>
      <c r="AK171" s="361">
        <f>(AK168-AK167)/(AK164-AK167)</f>
        <v>-180.05648387738827</v>
      </c>
      <c r="AL171" s="361">
        <f>(AL168-AL167)/(AL164-AL167)</f>
        <v>-5.0262697022466671</v>
      </c>
      <c r="AM171" s="361">
        <f>(AM168-AM167)/(AM164-AM167)</f>
        <v>-21.690793283011274</v>
      </c>
      <c r="AN171" s="361">
        <f>(AN168-AN167)/(AN164-AN167)</f>
        <v>-11.838966202707569</v>
      </c>
      <c r="AO171" s="361">
        <f t="shared" ref="AO171:AV171" si="80">(AO168-AO167)/(AO164-AO167)</f>
        <v>-19.43418467570859</v>
      </c>
      <c r="AP171" s="361" t="e">
        <f t="shared" si="80"/>
        <v>#DIV/0!</v>
      </c>
      <c r="AQ171" s="361" t="e">
        <f t="shared" si="80"/>
        <v>#DIV/0!</v>
      </c>
      <c r="AR171" s="361" t="e">
        <f t="shared" si="80"/>
        <v>#DIV/0!</v>
      </c>
      <c r="AS171" s="361" t="e">
        <f t="shared" si="80"/>
        <v>#DIV/0!</v>
      </c>
      <c r="AT171" s="361" t="e">
        <f t="shared" si="80"/>
        <v>#DIV/0!</v>
      </c>
      <c r="AU171" s="361" t="e">
        <f t="shared" si="80"/>
        <v>#DIV/0!</v>
      </c>
      <c r="AV171" s="362" t="e">
        <f t="shared" si="80"/>
        <v>#DIV/0!</v>
      </c>
    </row>
    <row r="172" spans="34:48">
      <c r="AH172" s="390" t="s">
        <v>6</v>
      </c>
      <c r="AI172" s="354"/>
      <c r="AK172" s="363">
        <f>IF(OR(AK171&gt;=100%),100%,IF(OR(AK171&lt;=0%),0%,AVERAGE(AK171)))</f>
        <v>0</v>
      </c>
      <c r="AL172" s="363">
        <f t="shared" ref="AL172:AV172" si="81">IF(OR(AL171&gt;=100%),100%,IF(OR(AL171&lt;=0%),0%,AVERAGE(AL171)))</f>
        <v>0</v>
      </c>
      <c r="AM172" s="363">
        <f t="shared" si="81"/>
        <v>0</v>
      </c>
      <c r="AN172" s="363">
        <f t="shared" si="81"/>
        <v>0</v>
      </c>
      <c r="AO172" s="363">
        <f t="shared" si="81"/>
        <v>0</v>
      </c>
      <c r="AP172" s="363" t="e">
        <f t="shared" si="81"/>
        <v>#DIV/0!</v>
      </c>
      <c r="AQ172" s="363" t="e">
        <f t="shared" si="81"/>
        <v>#DIV/0!</v>
      </c>
      <c r="AR172" s="363" t="e">
        <f t="shared" si="81"/>
        <v>#DIV/0!</v>
      </c>
      <c r="AS172" s="363" t="e">
        <f t="shared" si="81"/>
        <v>#DIV/0!</v>
      </c>
      <c r="AT172" s="363" t="e">
        <f t="shared" si="81"/>
        <v>#DIV/0!</v>
      </c>
      <c r="AU172" s="363" t="e">
        <f t="shared" si="81"/>
        <v>#DIV/0!</v>
      </c>
      <c r="AV172" s="364" t="e">
        <f t="shared" si="81"/>
        <v>#DIV/0!</v>
      </c>
    </row>
    <row r="173" spans="34:48">
      <c r="AH173" s="717" t="s">
        <v>7</v>
      </c>
      <c r="AI173" s="718"/>
      <c r="AK173" s="365">
        <f>AK172*0.05</f>
        <v>0</v>
      </c>
      <c r="AL173" s="365">
        <f t="shared" ref="AL173:AV173" si="82">AL172*0.05</f>
        <v>0</v>
      </c>
      <c r="AM173" s="365">
        <f t="shared" si="82"/>
        <v>0</v>
      </c>
      <c r="AN173" s="365">
        <f t="shared" si="82"/>
        <v>0</v>
      </c>
      <c r="AO173" s="365">
        <f t="shared" si="82"/>
        <v>0</v>
      </c>
      <c r="AP173" s="365" t="e">
        <f t="shared" si="82"/>
        <v>#DIV/0!</v>
      </c>
      <c r="AQ173" s="365" t="e">
        <f t="shared" si="82"/>
        <v>#DIV/0!</v>
      </c>
      <c r="AR173" s="365" t="e">
        <f t="shared" si="82"/>
        <v>#DIV/0!</v>
      </c>
      <c r="AS173" s="365" t="e">
        <f t="shared" si="82"/>
        <v>#DIV/0!</v>
      </c>
      <c r="AT173" s="365" t="e">
        <f t="shared" si="82"/>
        <v>#DIV/0!</v>
      </c>
      <c r="AU173" s="365" t="e">
        <f t="shared" si="82"/>
        <v>#DIV/0!</v>
      </c>
      <c r="AV173" s="366" t="e">
        <f t="shared" si="82"/>
        <v>#DIV/0!</v>
      </c>
    </row>
    <row r="174" spans="34:48">
      <c r="AH174" s="412"/>
      <c r="AI174" s="413"/>
      <c r="AK174" s="363"/>
      <c r="AL174" s="363"/>
      <c r="AM174" s="363"/>
      <c r="AN174" s="363"/>
      <c r="AO174" s="363"/>
      <c r="AP174" s="363"/>
      <c r="AQ174" s="363"/>
      <c r="AR174" s="363"/>
      <c r="AS174" s="363"/>
      <c r="AT174" s="363"/>
      <c r="AU174" s="363"/>
      <c r="AV174" s="364"/>
    </row>
    <row r="175" spans="34:48">
      <c r="AH175" s="412"/>
      <c r="AI175" s="413"/>
      <c r="AK175" s="363"/>
      <c r="AL175" s="363"/>
      <c r="AM175" s="363"/>
      <c r="AN175" s="363"/>
      <c r="AO175" s="363"/>
      <c r="AP175" s="363"/>
      <c r="AQ175" s="363"/>
      <c r="AR175" s="363"/>
      <c r="AS175" s="363"/>
      <c r="AT175" s="363"/>
      <c r="AU175" s="363"/>
      <c r="AV175" s="364"/>
    </row>
    <row r="176" spans="34:48">
      <c r="AH176" s="341" t="s">
        <v>133</v>
      </c>
      <c r="AJ176" s="342">
        <v>45352</v>
      </c>
      <c r="AK176" s="342">
        <v>45383</v>
      </c>
      <c r="AL176" s="342">
        <v>45413</v>
      </c>
      <c r="AM176" s="342">
        <v>45444</v>
      </c>
      <c r="AN176" s="342">
        <v>45474</v>
      </c>
      <c r="AO176" s="342">
        <v>45505</v>
      </c>
      <c r="AP176" s="342">
        <v>45536</v>
      </c>
      <c r="AQ176" s="342">
        <v>45566</v>
      </c>
      <c r="AR176" s="342">
        <v>45597</v>
      </c>
      <c r="AS176" s="342">
        <v>45627</v>
      </c>
      <c r="AT176" s="342">
        <v>45658</v>
      </c>
      <c r="AU176" s="342">
        <v>45689</v>
      </c>
      <c r="AV176" s="343">
        <v>45717</v>
      </c>
    </row>
    <row r="177" spans="34:48">
      <c r="AH177" s="372">
        <f>(AV177-AJ177)/12</f>
        <v>0</v>
      </c>
      <c r="AI177" s="355"/>
      <c r="AJ177" s="374">
        <f>$AV$177</f>
        <v>11</v>
      </c>
      <c r="AK177" s="374">
        <f t="shared" ref="AK177:AU177" si="83">$AV$177</f>
        <v>11</v>
      </c>
      <c r="AL177" s="374">
        <f t="shared" si="83"/>
        <v>11</v>
      </c>
      <c r="AM177" s="374">
        <f t="shared" si="83"/>
        <v>11</v>
      </c>
      <c r="AN177" s="374">
        <f t="shared" si="83"/>
        <v>11</v>
      </c>
      <c r="AO177" s="374">
        <f t="shared" si="83"/>
        <v>11</v>
      </c>
      <c r="AP177" s="374">
        <f t="shared" si="83"/>
        <v>11</v>
      </c>
      <c r="AQ177" s="374">
        <f t="shared" si="83"/>
        <v>11</v>
      </c>
      <c r="AR177" s="374">
        <f t="shared" si="83"/>
        <v>11</v>
      </c>
      <c r="AS177" s="374">
        <f t="shared" si="83"/>
        <v>11</v>
      </c>
      <c r="AT177" s="374">
        <f t="shared" si="83"/>
        <v>11</v>
      </c>
      <c r="AU177" s="374">
        <f t="shared" si="83"/>
        <v>11</v>
      </c>
      <c r="AV177" s="384">
        <v>11</v>
      </c>
    </row>
    <row r="178" spans="34:48">
      <c r="AH178" s="372">
        <f>(AV178-AJ178)/12</f>
        <v>-0.36166666666666664</v>
      </c>
      <c r="AI178" s="378" t="s">
        <v>2</v>
      </c>
      <c r="AJ178" s="374">
        <f>$AV$177</f>
        <v>11</v>
      </c>
      <c r="AK178" s="374">
        <f>++AJ178+$AH$178</f>
        <v>10.638333333333334</v>
      </c>
      <c r="AL178" s="374">
        <f t="shared" ref="AL178:AU178" si="84">++AK178+$AH$178</f>
        <v>10.276666666666667</v>
      </c>
      <c r="AM178" s="374">
        <f t="shared" si="84"/>
        <v>9.9150000000000009</v>
      </c>
      <c r="AN178" s="374">
        <f t="shared" si="84"/>
        <v>9.5533333333333346</v>
      </c>
      <c r="AO178" s="374">
        <f t="shared" si="84"/>
        <v>9.1916666666666682</v>
      </c>
      <c r="AP178" s="374">
        <f t="shared" si="84"/>
        <v>8.8300000000000018</v>
      </c>
      <c r="AQ178" s="374">
        <f t="shared" si="84"/>
        <v>8.4683333333333355</v>
      </c>
      <c r="AR178" s="374">
        <f t="shared" si="84"/>
        <v>8.1066666666666691</v>
      </c>
      <c r="AS178" s="374">
        <f t="shared" si="84"/>
        <v>7.7450000000000028</v>
      </c>
      <c r="AT178" s="374">
        <f t="shared" si="84"/>
        <v>7.3833333333333364</v>
      </c>
      <c r="AU178" s="374">
        <f t="shared" si="84"/>
        <v>7.0216666666666701</v>
      </c>
      <c r="AV178" s="379">
        <f>AV177-(AV177-AV180)*0.5</f>
        <v>6.66</v>
      </c>
    </row>
    <row r="179" spans="34:48">
      <c r="AH179" s="372">
        <f>(AV179-AJ179)/12</f>
        <v>-0.57866666666666666</v>
      </c>
      <c r="AI179" s="376" t="s">
        <v>2</v>
      </c>
      <c r="AJ179" s="374">
        <f>$AV$177</f>
        <v>11</v>
      </c>
      <c r="AK179" s="374">
        <f>++AJ179+$AH$179</f>
        <v>10.421333333333333</v>
      </c>
      <c r="AL179" s="374">
        <f t="shared" ref="AL179:AU179" si="85">++AK179+$AH$179</f>
        <v>9.8426666666666662</v>
      </c>
      <c r="AM179" s="374">
        <f t="shared" si="85"/>
        <v>9.2639999999999993</v>
      </c>
      <c r="AN179" s="374">
        <f t="shared" si="85"/>
        <v>8.6853333333333325</v>
      </c>
      <c r="AO179" s="374">
        <f t="shared" si="85"/>
        <v>8.1066666666666656</v>
      </c>
      <c r="AP179" s="374">
        <f t="shared" si="85"/>
        <v>7.5279999999999987</v>
      </c>
      <c r="AQ179" s="374">
        <f t="shared" si="85"/>
        <v>6.9493333333333318</v>
      </c>
      <c r="AR179" s="374">
        <f t="shared" si="85"/>
        <v>6.3706666666666649</v>
      </c>
      <c r="AS179" s="374">
        <f t="shared" si="85"/>
        <v>5.791999999999998</v>
      </c>
      <c r="AT179" s="374">
        <f t="shared" si="85"/>
        <v>5.2133333333333312</v>
      </c>
      <c r="AU179" s="374">
        <f t="shared" si="85"/>
        <v>4.6346666666666643</v>
      </c>
      <c r="AV179" s="377">
        <f>AV177-(AV177-AV180)*0.8</f>
        <v>4.056</v>
      </c>
    </row>
    <row r="180" spans="34:48">
      <c r="AH180" s="372">
        <f>(AV180-AJ180)/12</f>
        <v>-0.72333333333333327</v>
      </c>
      <c r="AI180" s="373" t="s">
        <v>2</v>
      </c>
      <c r="AJ180" s="374">
        <f>$AV$177</f>
        <v>11</v>
      </c>
      <c r="AK180" s="374">
        <f>++AJ180+$AH$180</f>
        <v>10.276666666666667</v>
      </c>
      <c r="AL180" s="374">
        <f t="shared" ref="AL180:AU180" si="86">++AK180+$AH$180</f>
        <v>9.5533333333333346</v>
      </c>
      <c r="AM180" s="374">
        <f t="shared" si="86"/>
        <v>8.8300000000000018</v>
      </c>
      <c r="AN180" s="374">
        <f t="shared" si="86"/>
        <v>8.1066666666666691</v>
      </c>
      <c r="AO180" s="374">
        <f t="shared" si="86"/>
        <v>7.3833333333333355</v>
      </c>
      <c r="AP180" s="374">
        <f t="shared" si="86"/>
        <v>6.6600000000000019</v>
      </c>
      <c r="AQ180" s="374">
        <f t="shared" si="86"/>
        <v>5.9366666666666683</v>
      </c>
      <c r="AR180" s="374">
        <f t="shared" si="86"/>
        <v>5.2133333333333347</v>
      </c>
      <c r="AS180" s="374">
        <f t="shared" si="86"/>
        <v>4.4900000000000011</v>
      </c>
      <c r="AT180" s="374">
        <f t="shared" si="86"/>
        <v>3.7666666666666679</v>
      </c>
      <c r="AU180" s="374">
        <f t="shared" si="86"/>
        <v>3.0433333333333348</v>
      </c>
      <c r="AV180" s="375">
        <v>2.3199999999999998</v>
      </c>
    </row>
    <row r="181" spans="34:48">
      <c r="AH181" s="353" t="s">
        <v>4</v>
      </c>
      <c r="AI181" s="354"/>
      <c r="AJ181" s="383"/>
      <c r="AK181" s="383">
        <f>AK183/AK182*1000000</f>
        <v>12.158150359130305</v>
      </c>
      <c r="AL181" s="383">
        <f t="shared" ref="AL181:AU181" si="87">AL183/AL182*1000000</f>
        <v>3.5453638163714265</v>
      </c>
      <c r="AM181" s="383">
        <f t="shared" si="87"/>
        <v>5.5074031737328681</v>
      </c>
      <c r="AN181" s="383">
        <f t="shared" si="87"/>
        <v>4.0546604266944426</v>
      </c>
      <c r="AO181" s="383">
        <f t="shared" si="87"/>
        <v>7.1033422646023405</v>
      </c>
      <c r="AP181" s="383" t="e">
        <f t="shared" si="87"/>
        <v>#DIV/0!</v>
      </c>
      <c r="AQ181" s="383" t="e">
        <f t="shared" si="87"/>
        <v>#DIV/0!</v>
      </c>
      <c r="AR181" s="383" t="e">
        <f t="shared" si="87"/>
        <v>#DIV/0!</v>
      </c>
      <c r="AS181" s="383" t="e">
        <f t="shared" si="87"/>
        <v>#DIV/0!</v>
      </c>
      <c r="AT181" s="383" t="e">
        <f t="shared" si="87"/>
        <v>#DIV/0!</v>
      </c>
      <c r="AU181" s="383" t="e">
        <f t="shared" si="87"/>
        <v>#DIV/0!</v>
      </c>
      <c r="AV181" s="384" t="e">
        <f>AV183/AV182*1000000</f>
        <v>#DIV/0!</v>
      </c>
    </row>
    <row r="182" spans="34:48">
      <c r="AH182" s="719" t="s">
        <v>24</v>
      </c>
      <c r="AI182" s="720"/>
      <c r="AJ182" s="383"/>
      <c r="AK182" s="416">
        <f>TS!AG133+PPD!AI155+CN!AK187+YF!AK169</f>
        <v>1398239</v>
      </c>
      <c r="AL182" s="416">
        <f>TS!AH133+PPD!AJ155+CN!AL187+YF!AL169</f>
        <v>1692351</v>
      </c>
      <c r="AM182" s="416">
        <f>TS!AI133+PPD!AK155+CN!AM187+YF!AM169</f>
        <v>1634164</v>
      </c>
      <c r="AN182" s="416">
        <f>TS!AJ133+PPD!AL155+CN!AN187+YF!AN169</f>
        <v>2219668</v>
      </c>
      <c r="AO182" s="416">
        <f>TS!AK133+PPD!AM155+CN!AO187+YF!AO169</f>
        <v>1407788</v>
      </c>
      <c r="AP182" s="416">
        <f>TS!AL133+PPD!AN155+CN!AP187+YF!AP169</f>
        <v>0</v>
      </c>
      <c r="AQ182" s="416">
        <f>TS!AM133+PPD!AO155+CN!AQ187+YF!AQ169</f>
        <v>0</v>
      </c>
      <c r="AR182" s="416">
        <f>TS!AN133+PPD!AP155+CN!AR187+YF!AR169</f>
        <v>0</v>
      </c>
      <c r="AS182" s="416">
        <f>TS!AO133+PPD!AQ155+CN!AS187+YF!AS169</f>
        <v>0</v>
      </c>
      <c r="AT182" s="416">
        <f>TS!AP133+PPD!AR155+CN!AT187+YF!AT169</f>
        <v>0</v>
      </c>
      <c r="AU182" s="416">
        <f>TS!AQ133+PPD!AS155+CN!AU187+YF!AU169</f>
        <v>0</v>
      </c>
      <c r="AV182" s="417">
        <f>TS!AR133+PPD!AT155+CN!AV187+YF!AV169</f>
        <v>0</v>
      </c>
    </row>
    <row r="183" spans="34:48">
      <c r="AH183" s="160"/>
      <c r="AI183" s="161" t="s">
        <v>14</v>
      </c>
      <c r="AJ183" s="383"/>
      <c r="AK183" s="416">
        <f>TS!AG134+PPD!AI156+CN!AK188+YF!AK170</f>
        <v>17</v>
      </c>
      <c r="AL183" s="416">
        <f>TS!AH134+PPD!AJ156+CN!AL188+YF!AL170</f>
        <v>6</v>
      </c>
      <c r="AM183" s="416">
        <f>TS!AI134+PPD!AK156+CN!AM188+YF!AM170</f>
        <v>9</v>
      </c>
      <c r="AN183" s="416">
        <f>TS!AJ134+PPD!AL156+CN!AN188+YF!AN170</f>
        <v>9</v>
      </c>
      <c r="AO183" s="416">
        <f>TS!AK134+PPD!AM156+CN!AO188+YF!AO170</f>
        <v>10</v>
      </c>
      <c r="AP183" s="416">
        <f>TS!AL134+PPD!AN156+CN!AP188+YF!AP170</f>
        <v>0</v>
      </c>
      <c r="AQ183" s="416">
        <f>TS!AM134+PPD!AO156+CN!AQ188+YF!AQ170</f>
        <v>0</v>
      </c>
      <c r="AR183" s="416">
        <f>TS!AN134+PPD!AP156+CN!AR188+YF!AR170</f>
        <v>0</v>
      </c>
      <c r="AS183" s="416">
        <f>TS!AO134+PPD!AQ156+CN!AS188+YF!AS170</f>
        <v>0</v>
      </c>
      <c r="AT183" s="416">
        <f>TS!AP134+PPD!AR156+CN!AT188+YF!AT170</f>
        <v>0</v>
      </c>
      <c r="AU183" s="416">
        <f>TS!AQ134+PPD!AS156+CN!AU188+YF!AU170</f>
        <v>0</v>
      </c>
      <c r="AV183" s="417">
        <f>TS!AR134+PPD!AT156+CN!AV188+YF!AV170</f>
        <v>0</v>
      </c>
    </row>
    <row r="184" spans="34:48">
      <c r="AH184" s="353"/>
      <c r="AI184" s="354"/>
      <c r="AJ184" s="418"/>
      <c r="AK184" s="419"/>
      <c r="AL184" s="331"/>
      <c r="AM184" s="331"/>
      <c r="AN184" s="331"/>
      <c r="AO184" s="331"/>
      <c r="AP184" s="418"/>
      <c r="AQ184" s="331"/>
      <c r="AR184" s="331"/>
      <c r="AS184" s="331"/>
      <c r="AT184" s="331"/>
      <c r="AU184" s="331"/>
      <c r="AV184" s="360"/>
    </row>
    <row r="185" spans="34:48">
      <c r="AH185" s="353" t="s">
        <v>5</v>
      </c>
      <c r="AI185" s="354"/>
      <c r="AK185" s="361">
        <f>(AK177-AK181)/(AK177-AK180)</f>
        <v>-1.6011295287515752</v>
      </c>
      <c r="AL185" s="361">
        <f>(AL177-AL181)/(AL177-AL180)</f>
        <v>5.1529743204805856</v>
      </c>
      <c r="AM185" s="361">
        <f>(AM177-AM181)/(AM177-AM180)</f>
        <v>2.5311506111830124</v>
      </c>
      <c r="AN185" s="361">
        <f>(AN177-AN181)/(AN177-AN180)</f>
        <v>2.4004629861655173</v>
      </c>
      <c r="AO185" s="361">
        <f t="shared" ref="AO185:AV185" si="88">(AO177-AO181)/(AO177-AO180)</f>
        <v>1.0774168853634087</v>
      </c>
      <c r="AP185" s="361" t="e">
        <f t="shared" si="88"/>
        <v>#DIV/0!</v>
      </c>
      <c r="AQ185" s="361" t="e">
        <f t="shared" si="88"/>
        <v>#DIV/0!</v>
      </c>
      <c r="AR185" s="361" t="e">
        <f t="shared" si="88"/>
        <v>#DIV/0!</v>
      </c>
      <c r="AS185" s="361" t="e">
        <f t="shared" si="88"/>
        <v>#DIV/0!</v>
      </c>
      <c r="AT185" s="361" t="e">
        <f t="shared" si="88"/>
        <v>#DIV/0!</v>
      </c>
      <c r="AU185" s="361" t="e">
        <f t="shared" si="88"/>
        <v>#DIV/0!</v>
      </c>
      <c r="AV185" s="362" t="e">
        <f t="shared" si="88"/>
        <v>#DIV/0!</v>
      </c>
    </row>
    <row r="186" spans="34:48">
      <c r="AH186" s="390" t="s">
        <v>6</v>
      </c>
      <c r="AI186" s="354"/>
      <c r="AK186" s="363">
        <f>IF(OR(AK185&gt;=100%),100%,IF(OR(AK185&lt;=0%),0%,AVERAGE(AK185)))</f>
        <v>0</v>
      </c>
      <c r="AL186" s="363">
        <f>IF(OR(AL185&gt;=100%),100%,IF(OR(AL185&lt;=0%),0%,AVERAGE(AL185)))</f>
        <v>1</v>
      </c>
      <c r="AM186" s="363">
        <f t="shared" ref="AM186:AV186" si="89">IF(OR(AM185&gt;=100%),100%,IF(OR(AM185&lt;=0%),0%,AVERAGE(AM185)))</f>
        <v>1</v>
      </c>
      <c r="AN186" s="363">
        <f t="shared" si="89"/>
        <v>1</v>
      </c>
      <c r="AO186" s="363">
        <f t="shared" si="89"/>
        <v>1</v>
      </c>
      <c r="AP186" s="363" t="e">
        <f t="shared" si="89"/>
        <v>#DIV/0!</v>
      </c>
      <c r="AQ186" s="363" t="e">
        <f t="shared" si="89"/>
        <v>#DIV/0!</v>
      </c>
      <c r="AR186" s="363" t="e">
        <f t="shared" si="89"/>
        <v>#DIV/0!</v>
      </c>
      <c r="AS186" s="363" t="e">
        <f t="shared" si="89"/>
        <v>#DIV/0!</v>
      </c>
      <c r="AT186" s="363" t="e">
        <f t="shared" si="89"/>
        <v>#DIV/0!</v>
      </c>
      <c r="AU186" s="363" t="e">
        <f t="shared" si="89"/>
        <v>#DIV/0!</v>
      </c>
      <c r="AV186" s="364" t="e">
        <f t="shared" si="89"/>
        <v>#DIV/0!</v>
      </c>
    </row>
    <row r="187" spans="34:48">
      <c r="AH187" s="717" t="s">
        <v>7</v>
      </c>
      <c r="AI187" s="718"/>
      <c r="AK187" s="365">
        <f>AK186*0.05</f>
        <v>0</v>
      </c>
      <c r="AL187" s="365">
        <f t="shared" ref="AL187:AV187" si="90">AL186*0.05</f>
        <v>0.05</v>
      </c>
      <c r="AM187" s="365">
        <f t="shared" si="90"/>
        <v>0.05</v>
      </c>
      <c r="AN187" s="365">
        <f t="shared" si="90"/>
        <v>0.05</v>
      </c>
      <c r="AO187" s="365">
        <f t="shared" si="90"/>
        <v>0.05</v>
      </c>
      <c r="AP187" s="365" t="e">
        <f t="shared" si="90"/>
        <v>#DIV/0!</v>
      </c>
      <c r="AQ187" s="365" t="e">
        <f t="shared" si="90"/>
        <v>#DIV/0!</v>
      </c>
      <c r="AR187" s="365" t="e">
        <f t="shared" si="90"/>
        <v>#DIV/0!</v>
      </c>
      <c r="AS187" s="365" t="e">
        <f t="shared" si="90"/>
        <v>#DIV/0!</v>
      </c>
      <c r="AT187" s="365" t="e">
        <f t="shared" si="90"/>
        <v>#DIV/0!</v>
      </c>
      <c r="AU187" s="365" t="e">
        <f t="shared" si="90"/>
        <v>#DIV/0!</v>
      </c>
      <c r="AV187" s="366" t="e">
        <f t="shared" si="90"/>
        <v>#DIV/0!</v>
      </c>
    </row>
    <row r="188" spans="34:48">
      <c r="AH188" s="412"/>
      <c r="AI188" s="413"/>
      <c r="AK188" s="363"/>
      <c r="AL188" s="363"/>
      <c r="AM188" s="363"/>
      <c r="AN188" s="363"/>
      <c r="AO188" s="363"/>
      <c r="AP188" s="363"/>
      <c r="AQ188" s="363"/>
      <c r="AR188" s="363"/>
      <c r="AS188" s="363"/>
      <c r="AT188" s="363"/>
      <c r="AU188" s="363"/>
      <c r="AV188" s="364"/>
    </row>
    <row r="189" spans="34:48">
      <c r="AH189" s="341" t="s">
        <v>134</v>
      </c>
      <c r="AJ189" s="342">
        <v>45352</v>
      </c>
      <c r="AK189" s="342">
        <v>45383</v>
      </c>
      <c r="AL189" s="342">
        <v>45413</v>
      </c>
      <c r="AM189" s="342">
        <v>45444</v>
      </c>
      <c r="AN189" s="342">
        <v>45474</v>
      </c>
      <c r="AO189" s="342">
        <v>45505</v>
      </c>
      <c r="AP189" s="342">
        <v>45536</v>
      </c>
      <c r="AQ189" s="342">
        <v>45566</v>
      </c>
      <c r="AR189" s="342">
        <v>45597</v>
      </c>
      <c r="AS189" s="342">
        <v>45627</v>
      </c>
      <c r="AT189" s="342">
        <v>45658</v>
      </c>
      <c r="AU189" s="342">
        <v>45689</v>
      </c>
      <c r="AV189" s="343">
        <v>45717</v>
      </c>
    </row>
    <row r="190" spans="34:48">
      <c r="AH190" s="344">
        <f>(AV190-AJ190)/12</f>
        <v>-1.0000000000000749E-4</v>
      </c>
      <c r="AI190" s="373" t="s">
        <v>2</v>
      </c>
      <c r="AJ190" s="392">
        <f>$AV$193</f>
        <v>0.99960000000000004</v>
      </c>
      <c r="AK190" s="394">
        <f>++AJ190+$AH$190</f>
        <v>0.99950000000000006</v>
      </c>
      <c r="AL190" s="394">
        <f t="shared" ref="AL190:AU190" si="91">++AK190+$AH$190</f>
        <v>0.99940000000000007</v>
      </c>
      <c r="AM190" s="394">
        <f t="shared" si="91"/>
        <v>0.99930000000000008</v>
      </c>
      <c r="AN190" s="394">
        <f t="shared" si="91"/>
        <v>0.99920000000000009</v>
      </c>
      <c r="AO190" s="394">
        <f t="shared" si="91"/>
        <v>0.9991000000000001</v>
      </c>
      <c r="AP190" s="394">
        <f t="shared" si="91"/>
        <v>0.99900000000000011</v>
      </c>
      <c r="AQ190" s="394">
        <f t="shared" si="91"/>
        <v>0.99890000000000012</v>
      </c>
      <c r="AR190" s="394">
        <f t="shared" si="91"/>
        <v>0.99880000000000013</v>
      </c>
      <c r="AS190" s="394">
        <f t="shared" si="91"/>
        <v>0.99870000000000014</v>
      </c>
      <c r="AT190" s="394">
        <f t="shared" si="91"/>
        <v>0.99860000000000015</v>
      </c>
      <c r="AU190" s="394">
        <f t="shared" si="91"/>
        <v>0.99850000000000017</v>
      </c>
      <c r="AV190" s="393">
        <v>0.99839999999999995</v>
      </c>
    </row>
    <row r="191" spans="34:48">
      <c r="AH191" s="344">
        <f>(AV191-AJ191)/12</f>
        <v>-8.0000000000005997E-5</v>
      </c>
      <c r="AI191" s="376" t="s">
        <v>2</v>
      </c>
      <c r="AJ191" s="392">
        <f>$AV$193</f>
        <v>0.99960000000000004</v>
      </c>
      <c r="AK191" s="394">
        <f>++AJ191+$AH$191</f>
        <v>0.99952000000000008</v>
      </c>
      <c r="AL191" s="394">
        <f t="shared" ref="AL191:AU191" si="92">++AK191+$AH$191</f>
        <v>0.99944000000000011</v>
      </c>
      <c r="AM191" s="394">
        <f t="shared" si="92"/>
        <v>0.99936000000000014</v>
      </c>
      <c r="AN191" s="394">
        <f t="shared" si="92"/>
        <v>0.99928000000000017</v>
      </c>
      <c r="AO191" s="394">
        <f t="shared" si="92"/>
        <v>0.9992000000000002</v>
      </c>
      <c r="AP191" s="394">
        <f t="shared" si="92"/>
        <v>0.99912000000000023</v>
      </c>
      <c r="AQ191" s="394">
        <f t="shared" si="92"/>
        <v>0.99904000000000026</v>
      </c>
      <c r="AR191" s="394">
        <f t="shared" si="92"/>
        <v>0.99896000000000029</v>
      </c>
      <c r="AS191" s="394">
        <f t="shared" si="92"/>
        <v>0.99888000000000032</v>
      </c>
      <c r="AT191" s="394">
        <f t="shared" si="92"/>
        <v>0.99880000000000035</v>
      </c>
      <c r="AU191" s="394">
        <f t="shared" si="92"/>
        <v>0.99872000000000039</v>
      </c>
      <c r="AV191" s="395">
        <f>AV190-(AV190-AV193)*0.2</f>
        <v>0.99863999999999997</v>
      </c>
    </row>
    <row r="192" spans="34:48">
      <c r="AH192" s="344">
        <f>(AV192-AJ192)/12</f>
        <v>-5.0000000000003743E-5</v>
      </c>
      <c r="AI192" s="378" t="s">
        <v>2</v>
      </c>
      <c r="AJ192" s="392">
        <f>$AV$193</f>
        <v>0.99960000000000004</v>
      </c>
      <c r="AK192" s="394">
        <f>++AJ192+$AH$192</f>
        <v>0.99955000000000005</v>
      </c>
      <c r="AL192" s="394">
        <f t="shared" ref="AL192:AU192" si="93">++AK192+$AH$192</f>
        <v>0.99950000000000006</v>
      </c>
      <c r="AM192" s="394">
        <f t="shared" si="93"/>
        <v>0.99945000000000006</v>
      </c>
      <c r="AN192" s="394">
        <f t="shared" si="93"/>
        <v>0.99940000000000007</v>
      </c>
      <c r="AO192" s="394">
        <f t="shared" si="93"/>
        <v>0.99935000000000007</v>
      </c>
      <c r="AP192" s="394">
        <f t="shared" si="93"/>
        <v>0.99930000000000008</v>
      </c>
      <c r="AQ192" s="394">
        <f t="shared" si="93"/>
        <v>0.99925000000000008</v>
      </c>
      <c r="AR192" s="394">
        <f t="shared" si="93"/>
        <v>0.99920000000000009</v>
      </c>
      <c r="AS192" s="394">
        <f t="shared" si="93"/>
        <v>0.99915000000000009</v>
      </c>
      <c r="AT192" s="394">
        <f t="shared" si="93"/>
        <v>0.9991000000000001</v>
      </c>
      <c r="AU192" s="394">
        <f t="shared" si="93"/>
        <v>0.9990500000000001</v>
      </c>
      <c r="AV192" s="396">
        <f>AV190-(AV190-AV193)*0.5</f>
        <v>0.999</v>
      </c>
    </row>
    <row r="193" spans="34:48">
      <c r="AH193" s="344">
        <f>(AV193-AJ193)/12</f>
        <v>0</v>
      </c>
      <c r="AI193" s="355"/>
      <c r="AJ193" s="392">
        <f>$AV$193</f>
        <v>0.99960000000000004</v>
      </c>
      <c r="AK193" s="392">
        <f t="shared" ref="AK193:AU193" si="94">$AV$193</f>
        <v>0.99960000000000004</v>
      </c>
      <c r="AL193" s="392">
        <f t="shared" si="94"/>
        <v>0.99960000000000004</v>
      </c>
      <c r="AM193" s="392">
        <f t="shared" si="94"/>
        <v>0.99960000000000004</v>
      </c>
      <c r="AN193" s="392">
        <f t="shared" si="94"/>
        <v>0.99960000000000004</v>
      </c>
      <c r="AO193" s="392">
        <f t="shared" si="94"/>
        <v>0.99960000000000004</v>
      </c>
      <c r="AP193" s="392">
        <f t="shared" si="94"/>
        <v>0.99960000000000004</v>
      </c>
      <c r="AQ193" s="392">
        <f t="shared" si="94"/>
        <v>0.99960000000000004</v>
      </c>
      <c r="AR193" s="392">
        <f t="shared" si="94"/>
        <v>0.99960000000000004</v>
      </c>
      <c r="AS193" s="392">
        <f t="shared" si="94"/>
        <v>0.99960000000000004</v>
      </c>
      <c r="AT193" s="392">
        <f t="shared" si="94"/>
        <v>0.99960000000000004</v>
      </c>
      <c r="AU193" s="392">
        <f t="shared" si="94"/>
        <v>0.99960000000000004</v>
      </c>
      <c r="AV193" s="397">
        <v>0.99960000000000004</v>
      </c>
    </row>
    <row r="194" spans="34:48">
      <c r="AH194" s="353" t="s">
        <v>4</v>
      </c>
      <c r="AI194" s="354"/>
      <c r="AJ194" s="398"/>
      <c r="AK194" s="361">
        <f>AK196/AK195</f>
        <v>1</v>
      </c>
      <c r="AL194" s="361">
        <f t="shared" ref="AL194:AV194" si="95">AL196/AL195</f>
        <v>0.99904122722914668</v>
      </c>
      <c r="AM194" s="361">
        <f t="shared" si="95"/>
        <v>1</v>
      </c>
      <c r="AN194" s="361">
        <f>AN196/AN195</f>
        <v>1</v>
      </c>
      <c r="AO194" s="361">
        <f>AO196/AO195</f>
        <v>0.99527559055118109</v>
      </c>
      <c r="AP194" s="361" t="e">
        <f t="shared" si="95"/>
        <v>#DIV/0!</v>
      </c>
      <c r="AQ194" s="361" t="e">
        <f t="shared" si="95"/>
        <v>#DIV/0!</v>
      </c>
      <c r="AR194" s="361" t="e">
        <f t="shared" si="95"/>
        <v>#DIV/0!</v>
      </c>
      <c r="AS194" s="361" t="e">
        <f t="shared" si="95"/>
        <v>#DIV/0!</v>
      </c>
      <c r="AT194" s="361" t="e">
        <f t="shared" si="95"/>
        <v>#DIV/0!</v>
      </c>
      <c r="AU194" s="361" t="e">
        <f t="shared" si="95"/>
        <v>#DIV/0!</v>
      </c>
      <c r="AV194" s="362" t="e">
        <f t="shared" si="95"/>
        <v>#DIV/0!</v>
      </c>
    </row>
    <row r="195" spans="34:48">
      <c r="AH195" s="715" t="s">
        <v>21</v>
      </c>
      <c r="AI195" s="716"/>
      <c r="AJ195" s="399"/>
      <c r="AK195" s="414">
        <f>CN!AK200</f>
        <v>1058</v>
      </c>
      <c r="AL195" s="414">
        <f>CN!AL200+YF!AL182</f>
        <v>1043</v>
      </c>
      <c r="AM195" s="414">
        <f>CN!AM200</f>
        <v>1029</v>
      </c>
      <c r="AN195" s="414">
        <f>CN!AN200</f>
        <v>682</v>
      </c>
      <c r="AO195" s="414">
        <f>CN!AO200</f>
        <v>635</v>
      </c>
      <c r="AP195" s="414">
        <f>CN!AP200</f>
        <v>0</v>
      </c>
      <c r="AQ195" s="414">
        <f>CN!AQ200+YF!AQ182</f>
        <v>0</v>
      </c>
      <c r="AR195" s="414">
        <f>CN!AR200+YF!AR182</f>
        <v>0</v>
      </c>
      <c r="AS195" s="414">
        <f>CN!AS200+YF!AS182</f>
        <v>0</v>
      </c>
      <c r="AT195" s="414">
        <f>CN!AT200+YF!AT182</f>
        <v>0</v>
      </c>
      <c r="AU195" s="414">
        <f>CN!AU200+YF!AU182</f>
        <v>0</v>
      </c>
      <c r="AV195" s="415">
        <f>CN!AV200+YF!AV182</f>
        <v>0</v>
      </c>
    </row>
    <row r="196" spans="34:48">
      <c r="AH196" s="715" t="s">
        <v>22</v>
      </c>
      <c r="AI196" s="716"/>
      <c r="AJ196" s="399"/>
      <c r="AK196" s="414">
        <f>CN!AK201+YF!AK183</f>
        <v>1058</v>
      </c>
      <c r="AL196" s="414">
        <f>CN!AL201+YF!AL183</f>
        <v>1042</v>
      </c>
      <c r="AM196" s="414">
        <f>CN!AM201+YF!AM183</f>
        <v>1029</v>
      </c>
      <c r="AN196" s="414">
        <f>CN!AN201+YF!AN183</f>
        <v>682</v>
      </c>
      <c r="AO196" s="414">
        <f>CN!AO201+YF!AO183</f>
        <v>632</v>
      </c>
      <c r="AP196" s="414">
        <f>CN!AP201+YF!AP183</f>
        <v>0</v>
      </c>
      <c r="AQ196" s="414">
        <f>CN!AQ201+YF!AQ183</f>
        <v>0</v>
      </c>
      <c r="AR196" s="414">
        <f>CN!AR201+YF!AR183</f>
        <v>0</v>
      </c>
      <c r="AS196" s="414">
        <f>CN!AS201+YF!AS183</f>
        <v>0</v>
      </c>
      <c r="AT196" s="414">
        <f>CN!AT201+YF!AT183</f>
        <v>0</v>
      </c>
      <c r="AU196" s="414">
        <f>CN!AU201+YF!AU183</f>
        <v>0</v>
      </c>
      <c r="AV196" s="415">
        <f>CN!AV201+YF!AV183</f>
        <v>0</v>
      </c>
    </row>
    <row r="197" spans="34:48">
      <c r="AH197" s="390" t="s">
        <v>5</v>
      </c>
      <c r="AI197" s="354"/>
      <c r="AK197" s="361">
        <f>(AK194-AK193)/(AK190-AK193)</f>
        <v>-4</v>
      </c>
      <c r="AL197" s="361">
        <f>(AL194-AL193)/(AL190-AL193)</f>
        <v>2.7938638542671392</v>
      </c>
      <c r="AM197" s="361">
        <f>(AM194-AM193)/(AM190-AM193)</f>
        <v>-1.3333333333333333</v>
      </c>
      <c r="AN197" s="361">
        <f>(AN194-AN193)/(AN190-AN193)</f>
        <v>-1</v>
      </c>
      <c r="AO197" s="361">
        <v>0</v>
      </c>
      <c r="AP197" s="361" t="e">
        <f t="shared" ref="AP197:AV197" si="96">(AP194-AP193)/(AP190-AP193)</f>
        <v>#DIV/0!</v>
      </c>
      <c r="AQ197" s="361" t="e">
        <f t="shared" si="96"/>
        <v>#DIV/0!</v>
      </c>
      <c r="AR197" s="361" t="e">
        <f t="shared" si="96"/>
        <v>#DIV/0!</v>
      </c>
      <c r="AS197" s="361" t="e">
        <f t="shared" si="96"/>
        <v>#DIV/0!</v>
      </c>
      <c r="AT197" s="361" t="e">
        <f t="shared" si="96"/>
        <v>#DIV/0!</v>
      </c>
      <c r="AU197" s="361" t="e">
        <f t="shared" si="96"/>
        <v>#DIV/0!</v>
      </c>
      <c r="AV197" s="362" t="e">
        <f t="shared" si="96"/>
        <v>#DIV/0!</v>
      </c>
    </row>
    <row r="198" spans="34:48">
      <c r="AH198" s="390" t="s">
        <v>6</v>
      </c>
      <c r="AI198" s="354"/>
      <c r="AK198" s="363">
        <v>1</v>
      </c>
      <c r="AL198" s="363">
        <f t="shared" ref="AL198:AV198" si="97">IF(OR(AL197&gt;=100%),100%,IF(OR(AL197&lt;=0%),0%,AVERAGE(AL197)))</f>
        <v>1</v>
      </c>
      <c r="AM198" s="363">
        <v>1</v>
      </c>
      <c r="AN198" s="363">
        <v>1</v>
      </c>
      <c r="AO198" s="363">
        <f>IF(OR(AO197&gt;=100%),100%,IF(OR(AO197&lt;=0%),0%,AVERAGE(AO197)))</f>
        <v>0</v>
      </c>
      <c r="AP198" s="363" t="e">
        <f t="shared" si="97"/>
        <v>#DIV/0!</v>
      </c>
      <c r="AQ198" s="363" t="e">
        <f t="shared" si="97"/>
        <v>#DIV/0!</v>
      </c>
      <c r="AR198" s="363" t="e">
        <f t="shared" si="97"/>
        <v>#DIV/0!</v>
      </c>
      <c r="AS198" s="363" t="e">
        <f t="shared" si="97"/>
        <v>#DIV/0!</v>
      </c>
      <c r="AT198" s="363" t="e">
        <f t="shared" si="97"/>
        <v>#DIV/0!</v>
      </c>
      <c r="AU198" s="363" t="e">
        <f t="shared" si="97"/>
        <v>#DIV/0!</v>
      </c>
      <c r="AV198" s="364" t="e">
        <f t="shared" si="97"/>
        <v>#DIV/0!</v>
      </c>
    </row>
    <row r="199" spans="34:48">
      <c r="AH199" s="717" t="s">
        <v>7</v>
      </c>
      <c r="AI199" s="718"/>
      <c r="AK199" s="365">
        <f>AK198*0.05</f>
        <v>0.05</v>
      </c>
      <c r="AL199" s="365">
        <f t="shared" ref="AL199:AV199" si="98">AL198*0.05</f>
        <v>0.05</v>
      </c>
      <c r="AM199" s="365">
        <f t="shared" si="98"/>
        <v>0.05</v>
      </c>
      <c r="AN199" s="365">
        <f t="shared" si="98"/>
        <v>0.05</v>
      </c>
      <c r="AO199" s="365">
        <f t="shared" si="98"/>
        <v>0</v>
      </c>
      <c r="AP199" s="365" t="e">
        <f t="shared" si="98"/>
        <v>#DIV/0!</v>
      </c>
      <c r="AQ199" s="365" t="e">
        <f t="shared" si="98"/>
        <v>#DIV/0!</v>
      </c>
      <c r="AR199" s="365" t="e">
        <f t="shared" si="98"/>
        <v>#DIV/0!</v>
      </c>
      <c r="AS199" s="365" t="e">
        <f t="shared" si="98"/>
        <v>#DIV/0!</v>
      </c>
      <c r="AT199" s="365" t="e">
        <f t="shared" si="98"/>
        <v>#DIV/0!</v>
      </c>
      <c r="AU199" s="365" t="e">
        <f t="shared" si="98"/>
        <v>#DIV/0!</v>
      </c>
      <c r="AV199" s="366" t="e">
        <f t="shared" si="98"/>
        <v>#DIV/0!</v>
      </c>
    </row>
    <row r="200" spans="34:48">
      <c r="AH200" s="412"/>
      <c r="AI200" s="413"/>
      <c r="AK200" s="363"/>
      <c r="AL200" s="363"/>
      <c r="AM200" s="363"/>
      <c r="AN200" s="363"/>
      <c r="AO200" s="363"/>
      <c r="AP200" s="363"/>
      <c r="AQ200" s="363"/>
      <c r="AR200" s="363"/>
      <c r="AS200" s="363"/>
      <c r="AT200" s="363"/>
      <c r="AU200" s="363"/>
      <c r="AV200" s="364"/>
    </row>
    <row r="201" spans="34:48">
      <c r="AH201" s="412"/>
      <c r="AI201" s="413"/>
      <c r="AK201" s="363"/>
      <c r="AL201" s="363"/>
      <c r="AM201" s="363"/>
      <c r="AN201" s="363"/>
      <c r="AO201" s="363"/>
      <c r="AP201" s="363"/>
      <c r="AQ201" s="363"/>
      <c r="AR201" s="363"/>
      <c r="AS201" s="363"/>
      <c r="AT201" s="363"/>
      <c r="AU201" s="363"/>
      <c r="AV201" s="364"/>
    </row>
    <row r="202" spans="34:48">
      <c r="AH202" s="341" t="s">
        <v>135</v>
      </c>
      <c r="AJ202" s="342">
        <v>45352</v>
      </c>
      <c r="AK202" s="342">
        <v>45383</v>
      </c>
      <c r="AL202" s="342">
        <v>45413</v>
      </c>
      <c r="AM202" s="342">
        <v>45444</v>
      </c>
      <c r="AN202" s="342">
        <v>45474</v>
      </c>
      <c r="AO202" s="342">
        <v>45505</v>
      </c>
      <c r="AP202" s="342">
        <v>45536</v>
      </c>
      <c r="AQ202" s="342">
        <v>45566</v>
      </c>
      <c r="AR202" s="342">
        <v>45597</v>
      </c>
      <c r="AS202" s="342">
        <v>45627</v>
      </c>
      <c r="AT202" s="342">
        <v>45658</v>
      </c>
      <c r="AU202" s="342">
        <v>45689</v>
      </c>
      <c r="AV202" s="343">
        <v>45717</v>
      </c>
    </row>
    <row r="203" spans="34:48">
      <c r="AH203" s="372">
        <f>(AV203-AJ203)/12</f>
        <v>0</v>
      </c>
      <c r="AI203" s="355"/>
      <c r="AJ203" s="374">
        <f>$AV$203</f>
        <v>2</v>
      </c>
      <c r="AK203" s="374">
        <f t="shared" ref="AK203:AU203" si="99">$AV$203</f>
        <v>2</v>
      </c>
      <c r="AL203" s="374">
        <f t="shared" si="99"/>
        <v>2</v>
      </c>
      <c r="AM203" s="374">
        <f t="shared" si="99"/>
        <v>2</v>
      </c>
      <c r="AN203" s="374">
        <f t="shared" si="99"/>
        <v>2</v>
      </c>
      <c r="AO203" s="374">
        <f t="shared" si="99"/>
        <v>2</v>
      </c>
      <c r="AP203" s="374">
        <f t="shared" si="99"/>
        <v>2</v>
      </c>
      <c r="AQ203" s="374">
        <f t="shared" si="99"/>
        <v>2</v>
      </c>
      <c r="AR203" s="374">
        <f t="shared" si="99"/>
        <v>2</v>
      </c>
      <c r="AS203" s="374">
        <f t="shared" si="99"/>
        <v>2</v>
      </c>
      <c r="AT203" s="374">
        <f t="shared" si="99"/>
        <v>2</v>
      </c>
      <c r="AU203" s="374">
        <f t="shared" si="99"/>
        <v>2</v>
      </c>
      <c r="AV203" s="384">
        <v>2</v>
      </c>
    </row>
    <row r="204" spans="34:48">
      <c r="AH204" s="372">
        <f>(AV204-AJ204)/12</f>
        <v>3.6041666666666673E-2</v>
      </c>
      <c r="AI204" s="378" t="s">
        <v>2</v>
      </c>
      <c r="AJ204" s="374">
        <f>$AV$203</f>
        <v>2</v>
      </c>
      <c r="AK204" s="374">
        <f>++AJ204+$AH$204</f>
        <v>2.0360416666666667</v>
      </c>
      <c r="AL204" s="374">
        <f t="shared" ref="AL204:AU204" si="100">++AK204+$AH$204</f>
        <v>2.0720833333333335</v>
      </c>
      <c r="AM204" s="374">
        <f t="shared" si="100"/>
        <v>2.1081250000000002</v>
      </c>
      <c r="AN204" s="374">
        <f t="shared" si="100"/>
        <v>2.144166666666667</v>
      </c>
      <c r="AO204" s="374">
        <f t="shared" si="100"/>
        <v>2.1802083333333337</v>
      </c>
      <c r="AP204" s="374">
        <f t="shared" si="100"/>
        <v>2.2162500000000005</v>
      </c>
      <c r="AQ204" s="374">
        <f t="shared" si="100"/>
        <v>2.2522916666666672</v>
      </c>
      <c r="AR204" s="374">
        <f t="shared" si="100"/>
        <v>2.288333333333334</v>
      </c>
      <c r="AS204" s="374">
        <f t="shared" si="100"/>
        <v>2.3243750000000007</v>
      </c>
      <c r="AT204" s="374">
        <f t="shared" si="100"/>
        <v>2.3604166666666675</v>
      </c>
      <c r="AU204" s="374">
        <f t="shared" si="100"/>
        <v>2.3964583333333342</v>
      </c>
      <c r="AV204" s="379">
        <f>AV203-(AV203-AV206)*0.5</f>
        <v>2.4325000000000001</v>
      </c>
    </row>
    <row r="205" spans="34:48">
      <c r="AH205" s="372">
        <f>(AV205-AJ205)/12</f>
        <v>5.7666666666666679E-2</v>
      </c>
      <c r="AI205" s="376" t="s">
        <v>2</v>
      </c>
      <c r="AJ205" s="374">
        <f>$AV$203</f>
        <v>2</v>
      </c>
      <c r="AK205" s="374">
        <f>++AJ205+$AH$205</f>
        <v>2.0576666666666665</v>
      </c>
      <c r="AL205" s="374">
        <f t="shared" ref="AL205:AU205" si="101">++AK205+$AH$205</f>
        <v>2.1153333333333331</v>
      </c>
      <c r="AM205" s="374">
        <f t="shared" si="101"/>
        <v>2.1729999999999996</v>
      </c>
      <c r="AN205" s="374">
        <f t="shared" si="101"/>
        <v>2.2306666666666661</v>
      </c>
      <c r="AO205" s="374">
        <f t="shared" si="101"/>
        <v>2.2883333333333327</v>
      </c>
      <c r="AP205" s="374">
        <f t="shared" si="101"/>
        <v>2.3459999999999992</v>
      </c>
      <c r="AQ205" s="374">
        <f t="shared" si="101"/>
        <v>2.4036666666666657</v>
      </c>
      <c r="AR205" s="374">
        <f t="shared" si="101"/>
        <v>2.4613333333333323</v>
      </c>
      <c r="AS205" s="374">
        <f t="shared" si="101"/>
        <v>2.5189999999999988</v>
      </c>
      <c r="AT205" s="374">
        <f t="shared" si="101"/>
        <v>2.5766666666666653</v>
      </c>
      <c r="AU205" s="374">
        <f t="shared" si="101"/>
        <v>2.6343333333333319</v>
      </c>
      <c r="AV205" s="377">
        <f>AV203-(AV203-AV206)*0.8</f>
        <v>2.6920000000000002</v>
      </c>
    </row>
    <row r="206" spans="34:48">
      <c r="AH206" s="372">
        <f>(AV206-AJ206)/12</f>
        <v>7.2083333333333346E-2</v>
      </c>
      <c r="AI206" s="373" t="s">
        <v>2</v>
      </c>
      <c r="AJ206" s="374">
        <f>$AV$203</f>
        <v>2</v>
      </c>
      <c r="AK206" s="374">
        <f>++AJ206+$AH$206</f>
        <v>2.0720833333333335</v>
      </c>
      <c r="AL206" s="374">
        <f t="shared" ref="AL206:AU206" si="102">++AK206+$AH$206</f>
        <v>2.144166666666667</v>
      </c>
      <c r="AM206" s="374">
        <f t="shared" si="102"/>
        <v>2.2162500000000005</v>
      </c>
      <c r="AN206" s="374">
        <f t="shared" si="102"/>
        <v>2.288333333333334</v>
      </c>
      <c r="AO206" s="374">
        <f t="shared" si="102"/>
        <v>2.3604166666666675</v>
      </c>
      <c r="AP206" s="374">
        <f t="shared" si="102"/>
        <v>2.432500000000001</v>
      </c>
      <c r="AQ206" s="374">
        <f t="shared" si="102"/>
        <v>2.5045833333333345</v>
      </c>
      <c r="AR206" s="374">
        <f t="shared" si="102"/>
        <v>2.576666666666668</v>
      </c>
      <c r="AS206" s="374">
        <f t="shared" si="102"/>
        <v>2.6487500000000015</v>
      </c>
      <c r="AT206" s="374">
        <f t="shared" si="102"/>
        <v>2.720833333333335</v>
      </c>
      <c r="AU206" s="374">
        <f t="shared" si="102"/>
        <v>2.7929166666666685</v>
      </c>
      <c r="AV206" s="630">
        <v>2.8650000000000002</v>
      </c>
    </row>
    <row r="207" spans="34:48">
      <c r="AH207" s="353" t="s">
        <v>4</v>
      </c>
      <c r="AI207" s="354"/>
      <c r="AJ207" s="383"/>
      <c r="AK207" s="383">
        <f t="shared" ref="AK207:AU207" si="103">AK209/AK208*1000000</f>
        <v>0</v>
      </c>
      <c r="AL207" s="383">
        <f t="shared" si="103"/>
        <v>0</v>
      </c>
      <c r="AM207" s="383">
        <f>AM209/AM208*1000000</f>
        <v>0</v>
      </c>
      <c r="AN207" s="383">
        <f t="shared" si="103"/>
        <v>0</v>
      </c>
      <c r="AO207" s="383">
        <f t="shared" si="103"/>
        <v>20.624368378718405</v>
      </c>
      <c r="AP207" s="383" t="e">
        <f t="shared" si="103"/>
        <v>#DIV/0!</v>
      </c>
      <c r="AQ207" s="383" t="e">
        <f t="shared" si="103"/>
        <v>#DIV/0!</v>
      </c>
      <c r="AR207" s="383" t="e">
        <f t="shared" si="103"/>
        <v>#DIV/0!</v>
      </c>
      <c r="AS207" s="383" t="e">
        <f t="shared" si="103"/>
        <v>#DIV/0!</v>
      </c>
      <c r="AT207" s="383" t="e">
        <f t="shared" si="103"/>
        <v>#DIV/0!</v>
      </c>
      <c r="AU207" s="383" t="e">
        <f t="shared" si="103"/>
        <v>#DIV/0!</v>
      </c>
      <c r="AV207" s="384" t="e">
        <f>AV209/AV208*1000000</f>
        <v>#DIV/0!</v>
      </c>
    </row>
    <row r="208" spans="34:48">
      <c r="AH208" s="719" t="s">
        <v>24</v>
      </c>
      <c r="AI208" s="720"/>
      <c r="AJ208" s="383"/>
      <c r="AK208" s="416">
        <f>CN!AK213</f>
        <v>193809</v>
      </c>
      <c r="AL208" s="416">
        <f>CN!AL213</f>
        <v>149199</v>
      </c>
      <c r="AM208" s="416">
        <f>CN!AM213</f>
        <v>158184</v>
      </c>
      <c r="AN208" s="416">
        <f>CN!AN213</f>
        <v>141270</v>
      </c>
      <c r="AO208" s="416">
        <f>CN!AO213</f>
        <v>145459</v>
      </c>
      <c r="AP208" s="416">
        <f>CN!AP213+YF!AP195</f>
        <v>0</v>
      </c>
      <c r="AQ208" s="416">
        <f>CN!AQ213+YF!AQ195</f>
        <v>0</v>
      </c>
      <c r="AR208" s="416">
        <f>CN!AR213+YF!AR195</f>
        <v>0</v>
      </c>
      <c r="AS208" s="416">
        <f>CN!AS213+YF!AS195</f>
        <v>0</v>
      </c>
      <c r="AT208" s="416">
        <f>CN!AT213+YF!AT195</f>
        <v>0</v>
      </c>
      <c r="AU208" s="416">
        <f>CN!AU213+YF!AU195</f>
        <v>0</v>
      </c>
      <c r="AV208" s="417">
        <f>CN!AV213+YF!AV195</f>
        <v>0</v>
      </c>
    </row>
    <row r="209" spans="34:48">
      <c r="AH209" s="160"/>
      <c r="AI209" s="161" t="s">
        <v>14</v>
      </c>
      <c r="AJ209" s="383"/>
      <c r="AK209" s="416">
        <f>CN!AK214+YF!AK196</f>
        <v>0</v>
      </c>
      <c r="AL209" s="416">
        <f>CN!AL214+YF!AL196</f>
        <v>0</v>
      </c>
      <c r="AM209" s="416">
        <f>CN!AM214+YF!AM196</f>
        <v>0</v>
      </c>
      <c r="AN209" s="416">
        <f>CN!AN214+YF!AN196</f>
        <v>0</v>
      </c>
      <c r="AO209" s="416">
        <f>CN!AO214+YF!AO196</f>
        <v>3</v>
      </c>
      <c r="AP209" s="416">
        <f>CN!AP214+YF!AP196</f>
        <v>0</v>
      </c>
      <c r="AQ209" s="416">
        <f>CN!AQ214+YF!AQ196</f>
        <v>0</v>
      </c>
      <c r="AR209" s="416">
        <f>CN!AR214+YF!AR196</f>
        <v>0</v>
      </c>
      <c r="AS209" s="416">
        <f>CN!AS214+YF!AS196</f>
        <v>0</v>
      </c>
      <c r="AT209" s="416">
        <f>CN!AT214+YF!AT196</f>
        <v>0</v>
      </c>
      <c r="AU209" s="416">
        <f>CN!AU214+YF!AU196</f>
        <v>0</v>
      </c>
      <c r="AV209" s="417">
        <f>CN!AV214+YF!AV196</f>
        <v>0</v>
      </c>
    </row>
    <row r="210" spans="34:48">
      <c r="AH210" s="353"/>
      <c r="AI210" s="354"/>
      <c r="AJ210" s="418"/>
      <c r="AK210" s="419"/>
      <c r="AL210" s="331"/>
      <c r="AM210" s="331"/>
      <c r="AN210" s="331"/>
      <c r="AO210" s="331"/>
      <c r="AP210" s="418"/>
      <c r="AQ210" s="331"/>
      <c r="AR210" s="331"/>
      <c r="AS210" s="331"/>
      <c r="AT210" s="331"/>
      <c r="AU210" s="331"/>
      <c r="AV210" s="360"/>
    </row>
    <row r="211" spans="34:48">
      <c r="AH211" s="353" t="s">
        <v>5</v>
      </c>
      <c r="AI211" s="354"/>
      <c r="AK211" s="361">
        <f>(AK203-AK207)/(AK203-AK206)</f>
        <v>-27.745664739884329</v>
      </c>
      <c r="AL211" s="361">
        <f>(AL203-AL207)/(AL203-AL206)</f>
        <v>-13.872832369942165</v>
      </c>
      <c r="AM211" s="361">
        <f>(AM203-AM207)/(AM203-AM206)</f>
        <v>-9.2485549132947771</v>
      </c>
      <c r="AN211" s="361">
        <f>(AN203-AN207)/(AN203-AN206)</f>
        <v>-6.9364161849710824</v>
      </c>
      <c r="AO211" s="361">
        <v>0</v>
      </c>
      <c r="AP211" s="361" t="e">
        <f t="shared" ref="AP211:AV211" si="104">(AP203-AP207)/(AP203-AP206)</f>
        <v>#DIV/0!</v>
      </c>
      <c r="AQ211" s="361" t="e">
        <f t="shared" si="104"/>
        <v>#DIV/0!</v>
      </c>
      <c r="AR211" s="361" t="e">
        <f t="shared" si="104"/>
        <v>#DIV/0!</v>
      </c>
      <c r="AS211" s="361" t="e">
        <f t="shared" si="104"/>
        <v>#DIV/0!</v>
      </c>
      <c r="AT211" s="361" t="e">
        <f t="shared" si="104"/>
        <v>#DIV/0!</v>
      </c>
      <c r="AU211" s="361" t="e">
        <f t="shared" si="104"/>
        <v>#DIV/0!</v>
      </c>
      <c r="AV211" s="362" t="e">
        <f t="shared" si="104"/>
        <v>#DIV/0!</v>
      </c>
    </row>
    <row r="212" spans="34:48">
      <c r="AH212" s="390" t="s">
        <v>6</v>
      </c>
      <c r="AI212" s="354"/>
      <c r="AK212" s="363">
        <v>1</v>
      </c>
      <c r="AL212" s="363">
        <v>1</v>
      </c>
      <c r="AM212" s="363">
        <v>1</v>
      </c>
      <c r="AN212" s="363">
        <v>1</v>
      </c>
      <c r="AO212" s="363">
        <f t="shared" ref="AO212:AV212" si="105">IF(OR(AO211&gt;=100%),100%,IF(OR(AO211&lt;=0%),0%,AVERAGE(AO211)))</f>
        <v>0</v>
      </c>
      <c r="AP212" s="363" t="e">
        <f t="shared" si="105"/>
        <v>#DIV/0!</v>
      </c>
      <c r="AQ212" s="363" t="e">
        <f t="shared" si="105"/>
        <v>#DIV/0!</v>
      </c>
      <c r="AR212" s="363" t="e">
        <f t="shared" si="105"/>
        <v>#DIV/0!</v>
      </c>
      <c r="AS212" s="363" t="e">
        <f t="shared" si="105"/>
        <v>#DIV/0!</v>
      </c>
      <c r="AT212" s="363" t="e">
        <f t="shared" si="105"/>
        <v>#DIV/0!</v>
      </c>
      <c r="AU212" s="363" t="e">
        <f t="shared" si="105"/>
        <v>#DIV/0!</v>
      </c>
      <c r="AV212" s="364" t="e">
        <f t="shared" si="105"/>
        <v>#DIV/0!</v>
      </c>
    </row>
    <row r="213" spans="34:48">
      <c r="AH213" s="717" t="s">
        <v>7</v>
      </c>
      <c r="AI213" s="718"/>
      <c r="AK213" s="365">
        <f>AK212*0.05</f>
        <v>0.05</v>
      </c>
      <c r="AL213" s="365">
        <f t="shared" ref="AL213:AV213" si="106">AL212*0.05</f>
        <v>0.05</v>
      </c>
      <c r="AM213" s="365">
        <f t="shared" si="106"/>
        <v>0.05</v>
      </c>
      <c r="AN213" s="365">
        <f t="shared" si="106"/>
        <v>0.05</v>
      </c>
      <c r="AO213" s="365">
        <f t="shared" si="106"/>
        <v>0</v>
      </c>
      <c r="AP213" s="365" t="e">
        <f t="shared" si="106"/>
        <v>#DIV/0!</v>
      </c>
      <c r="AQ213" s="365" t="e">
        <f t="shared" si="106"/>
        <v>#DIV/0!</v>
      </c>
      <c r="AR213" s="365" t="e">
        <f t="shared" si="106"/>
        <v>#DIV/0!</v>
      </c>
      <c r="AS213" s="365" t="e">
        <f t="shared" si="106"/>
        <v>#DIV/0!</v>
      </c>
      <c r="AT213" s="365" t="e">
        <f t="shared" si="106"/>
        <v>#DIV/0!</v>
      </c>
      <c r="AU213" s="365" t="e">
        <f t="shared" si="106"/>
        <v>#DIV/0!</v>
      </c>
      <c r="AV213" s="366" t="e">
        <f t="shared" si="106"/>
        <v>#DIV/0!</v>
      </c>
    </row>
    <row r="214" spans="34:48">
      <c r="AH214" s="412"/>
      <c r="AI214" s="413"/>
      <c r="AK214" s="363"/>
      <c r="AL214" s="363"/>
      <c r="AM214" s="363"/>
      <c r="AN214" s="363"/>
      <c r="AO214" s="363"/>
      <c r="AP214" s="363"/>
      <c r="AQ214" s="363"/>
      <c r="AR214" s="363"/>
      <c r="AS214" s="363"/>
      <c r="AT214" s="363"/>
      <c r="AU214" s="363"/>
      <c r="AV214" s="364"/>
    </row>
    <row r="215" spans="34:48">
      <c r="AH215" s="412"/>
      <c r="AI215" s="413"/>
      <c r="AK215" s="363"/>
      <c r="AL215" s="363"/>
      <c r="AM215" s="363"/>
      <c r="AN215" s="363"/>
      <c r="AO215" s="363"/>
      <c r="AP215" s="363"/>
      <c r="AQ215" s="363"/>
      <c r="AR215" s="363"/>
      <c r="AS215" s="363"/>
      <c r="AT215" s="363"/>
      <c r="AU215" s="363"/>
      <c r="AV215" s="364"/>
    </row>
    <row r="216" spans="34:48">
      <c r="AH216" s="341" t="s">
        <v>212</v>
      </c>
      <c r="AJ216" s="342">
        <v>45352</v>
      </c>
      <c r="AK216" s="342">
        <v>45383</v>
      </c>
      <c r="AL216" s="342">
        <v>45413</v>
      </c>
      <c r="AM216" s="342">
        <v>45444</v>
      </c>
      <c r="AN216" s="342">
        <v>45474</v>
      </c>
      <c r="AO216" s="342">
        <v>45505</v>
      </c>
      <c r="AP216" s="342">
        <v>45536</v>
      </c>
      <c r="AQ216" s="342">
        <v>45566</v>
      </c>
      <c r="AR216" s="342">
        <v>45597</v>
      </c>
      <c r="AS216" s="342">
        <v>45627</v>
      </c>
      <c r="AT216" s="342">
        <v>45658</v>
      </c>
      <c r="AU216" s="342">
        <v>45689</v>
      </c>
      <c r="AV216" s="343">
        <v>45717</v>
      </c>
    </row>
    <row r="217" spans="34:48">
      <c r="AH217" s="344">
        <f>(AV217-AJ217)/12</f>
        <v>0.394166666666667</v>
      </c>
      <c r="AI217" s="345"/>
      <c r="AJ217" s="345">
        <v>95</v>
      </c>
      <c r="AK217" s="345">
        <f>AJ217+$AH$217</f>
        <v>95.394166666666663</v>
      </c>
      <c r="AL217" s="345">
        <f t="shared" ref="AL217:AU217" si="107">AK217+$AH$217</f>
        <v>95.788333333333327</v>
      </c>
      <c r="AM217" s="345">
        <f t="shared" si="107"/>
        <v>96.18249999999999</v>
      </c>
      <c r="AN217" s="345">
        <f t="shared" si="107"/>
        <v>96.576666666666654</v>
      </c>
      <c r="AO217" s="345">
        <f t="shared" si="107"/>
        <v>96.970833333333317</v>
      </c>
      <c r="AP217" s="345">
        <f t="shared" si="107"/>
        <v>97.364999999999981</v>
      </c>
      <c r="AQ217" s="345">
        <f t="shared" si="107"/>
        <v>97.759166666666644</v>
      </c>
      <c r="AR217" s="345">
        <f t="shared" si="107"/>
        <v>98.153333333333308</v>
      </c>
      <c r="AS217" s="345">
        <f t="shared" si="107"/>
        <v>98.547499999999971</v>
      </c>
      <c r="AT217" s="345">
        <f t="shared" si="107"/>
        <v>98.941666666666634</v>
      </c>
      <c r="AU217" s="345">
        <f t="shared" si="107"/>
        <v>99.335833333333298</v>
      </c>
      <c r="AV217" s="346">
        <v>99.73</v>
      </c>
    </row>
    <row r="218" spans="34:48">
      <c r="AH218" s="344">
        <f>(AV218-AJ218)/12</f>
        <v>0.19708333333333408</v>
      </c>
      <c r="AI218" s="347" t="s">
        <v>2</v>
      </c>
      <c r="AJ218" s="345">
        <v>95</v>
      </c>
      <c r="AK218" s="345">
        <f>AJ218+$AH$218</f>
        <v>95.197083333333339</v>
      </c>
      <c r="AL218" s="345">
        <f>AK218+$AH$218</f>
        <v>95.394166666666678</v>
      </c>
      <c r="AM218" s="345">
        <f>AL218+$AH$218</f>
        <v>95.591250000000016</v>
      </c>
      <c r="AN218" s="345">
        <f t="shared" ref="AN218:AU218" si="108">AM218+$AH$218</f>
        <v>95.788333333333355</v>
      </c>
      <c r="AO218" s="345">
        <f t="shared" si="108"/>
        <v>95.985416666666694</v>
      </c>
      <c r="AP218" s="345">
        <f t="shared" si="108"/>
        <v>96.182500000000033</v>
      </c>
      <c r="AQ218" s="345">
        <f t="shared" si="108"/>
        <v>96.379583333333372</v>
      </c>
      <c r="AR218" s="345">
        <f t="shared" si="108"/>
        <v>96.576666666666711</v>
      </c>
      <c r="AS218" s="345">
        <f t="shared" si="108"/>
        <v>96.773750000000049</v>
      </c>
      <c r="AT218" s="345">
        <f t="shared" si="108"/>
        <v>96.970833333333388</v>
      </c>
      <c r="AU218" s="345">
        <f t="shared" si="108"/>
        <v>97.167916666666727</v>
      </c>
      <c r="AV218" s="348">
        <f>AV217-(AV217-AV220)*0.5</f>
        <v>97.365000000000009</v>
      </c>
    </row>
    <row r="219" spans="34:48">
      <c r="AH219" s="344">
        <f>(AV219-AJ219)/12</f>
        <v>7.8833333333333158E-2</v>
      </c>
      <c r="AI219" s="349" t="s">
        <v>2</v>
      </c>
      <c r="AJ219" s="345">
        <v>95</v>
      </c>
      <c r="AK219" s="345">
        <f>AJ219+$AH$219</f>
        <v>95.078833333333336</v>
      </c>
      <c r="AL219" s="345">
        <f>AK219+$AH$219</f>
        <v>95.157666666666671</v>
      </c>
      <c r="AM219" s="345">
        <f t="shared" ref="AM219:AU219" si="109">AL219+$AH$219</f>
        <v>95.236500000000007</v>
      </c>
      <c r="AN219" s="345">
        <f t="shared" si="109"/>
        <v>95.315333333333342</v>
      </c>
      <c r="AO219" s="345">
        <f t="shared" si="109"/>
        <v>95.394166666666678</v>
      </c>
      <c r="AP219" s="345">
        <f t="shared" si="109"/>
        <v>95.473000000000013</v>
      </c>
      <c r="AQ219" s="345">
        <f t="shared" si="109"/>
        <v>95.551833333333349</v>
      </c>
      <c r="AR219" s="345">
        <f t="shared" si="109"/>
        <v>95.630666666666684</v>
      </c>
      <c r="AS219" s="345">
        <f t="shared" si="109"/>
        <v>95.70950000000002</v>
      </c>
      <c r="AT219" s="345">
        <f t="shared" si="109"/>
        <v>95.788333333333355</v>
      </c>
      <c r="AU219" s="345">
        <f t="shared" si="109"/>
        <v>95.867166666666691</v>
      </c>
      <c r="AV219" s="350">
        <f>AV217-(AV217-AV220)*0.8</f>
        <v>95.945999999999998</v>
      </c>
    </row>
    <row r="220" spans="34:48">
      <c r="AH220" s="344">
        <f>(AV220-AJ220)/12</f>
        <v>0</v>
      </c>
      <c r="AI220" s="351" t="s">
        <v>2</v>
      </c>
      <c r="AJ220" s="345">
        <v>95</v>
      </c>
      <c r="AK220" s="345">
        <f>AJ220+$AH$220</f>
        <v>95</v>
      </c>
      <c r="AL220" s="345">
        <f t="shared" ref="AL220:AU220" si="110">AK220+$AH$220</f>
        <v>95</v>
      </c>
      <c r="AM220" s="345">
        <f t="shared" si="110"/>
        <v>95</v>
      </c>
      <c r="AN220" s="345">
        <f t="shared" si="110"/>
        <v>95</v>
      </c>
      <c r="AO220" s="345">
        <f t="shared" si="110"/>
        <v>95</v>
      </c>
      <c r="AP220" s="345">
        <f t="shared" si="110"/>
        <v>95</v>
      </c>
      <c r="AQ220" s="345">
        <f t="shared" si="110"/>
        <v>95</v>
      </c>
      <c r="AR220" s="345">
        <f t="shared" si="110"/>
        <v>95</v>
      </c>
      <c r="AS220" s="345">
        <f t="shared" si="110"/>
        <v>95</v>
      </c>
      <c r="AT220" s="345">
        <f t="shared" si="110"/>
        <v>95</v>
      </c>
      <c r="AU220" s="345">
        <f t="shared" si="110"/>
        <v>95</v>
      </c>
      <c r="AV220" s="352">
        <v>95</v>
      </c>
    </row>
    <row r="221" spans="34:48">
      <c r="AH221" s="721" t="s">
        <v>3</v>
      </c>
      <c r="AI221" s="722"/>
      <c r="AJ221" s="355"/>
      <c r="AK221" s="394">
        <f t="shared" ref="AK221:AP221" si="111">AK223</f>
        <v>0.97</v>
      </c>
      <c r="AL221" s="394">
        <f t="shared" si="111"/>
        <v>0.995</v>
      </c>
      <c r="AM221" s="394">
        <f t="shared" si="111"/>
        <v>0.98280000000000001</v>
      </c>
      <c r="AN221" s="394">
        <f t="shared" si="111"/>
        <v>0.96719999999999995</v>
      </c>
      <c r="AO221" s="394">
        <f t="shared" si="111"/>
        <v>0.99809999999999999</v>
      </c>
      <c r="AP221" s="394">
        <f t="shared" si="111"/>
        <v>0</v>
      </c>
      <c r="AQ221" s="394">
        <f t="shared" ref="AQ221:AV221" si="112">AQ223</f>
        <v>0</v>
      </c>
      <c r="AR221" s="394">
        <f t="shared" si="112"/>
        <v>0</v>
      </c>
      <c r="AS221" s="394">
        <f t="shared" si="112"/>
        <v>0</v>
      </c>
      <c r="AT221" s="394">
        <f t="shared" si="112"/>
        <v>0</v>
      </c>
      <c r="AU221" s="394">
        <f t="shared" si="112"/>
        <v>0</v>
      </c>
      <c r="AV221" s="420">
        <f t="shared" si="112"/>
        <v>0</v>
      </c>
    </row>
    <row r="222" spans="34:48">
      <c r="AH222" s="353"/>
      <c r="AI222" s="354"/>
      <c r="AJ222" s="355"/>
      <c r="AK222" s="355"/>
      <c r="AL222" s="356"/>
      <c r="AM222" s="356"/>
      <c r="AN222" s="355"/>
      <c r="AO222" s="355"/>
      <c r="AP222" s="356"/>
      <c r="AQ222" s="356"/>
      <c r="AR222" s="356"/>
      <c r="AS222" s="356"/>
      <c r="AT222" s="356"/>
      <c r="AU222" s="356"/>
      <c r="AV222" s="357"/>
    </row>
    <row r="223" spans="34:48">
      <c r="AH223" s="721" t="s">
        <v>4</v>
      </c>
      <c r="AI223" s="722"/>
      <c r="AJ223" s="331"/>
      <c r="AK223" s="629">
        <f>Support!AK59</f>
        <v>0.97</v>
      </c>
      <c r="AL223" s="629">
        <f>Support!AL59</f>
        <v>0.995</v>
      </c>
      <c r="AM223" s="629">
        <f>Support!AM59</f>
        <v>0.98280000000000001</v>
      </c>
      <c r="AN223" s="629">
        <f>Support!AN59</f>
        <v>0.96719999999999995</v>
      </c>
      <c r="AO223" s="629">
        <f>Support!AO59</f>
        <v>0.99809999999999999</v>
      </c>
      <c r="AP223" s="629">
        <f>Support!AP59</f>
        <v>0</v>
      </c>
      <c r="AQ223" s="629">
        <f>Support!AQ59</f>
        <v>0</v>
      </c>
      <c r="AR223" s="629">
        <f>Support!AR59</f>
        <v>0</v>
      </c>
      <c r="AS223" s="629">
        <f>Support!AS59</f>
        <v>0</v>
      </c>
      <c r="AT223" s="629">
        <f>Support!AT59</f>
        <v>0</v>
      </c>
      <c r="AU223" s="629">
        <f>Support!AU59</f>
        <v>0</v>
      </c>
      <c r="AV223" s="421">
        <f>Support!AV59</f>
        <v>0</v>
      </c>
    </row>
    <row r="224" spans="34:48">
      <c r="AH224" s="353"/>
      <c r="AI224" s="354"/>
      <c r="AJ224" s="331"/>
      <c r="AK224" s="331">
        <f>AK223</f>
        <v>0.97</v>
      </c>
      <c r="AL224" s="331">
        <f>AL223</f>
        <v>0.995</v>
      </c>
      <c r="AM224" s="331">
        <f>AM223</f>
        <v>0.98280000000000001</v>
      </c>
      <c r="AN224" s="331">
        <f>AN223</f>
        <v>0.96719999999999995</v>
      </c>
      <c r="AO224" s="331">
        <f>AO223</f>
        <v>0.99809999999999999</v>
      </c>
      <c r="AP224" s="331">
        <f t="shared" ref="AP224:AV224" si="113">AP223</f>
        <v>0</v>
      </c>
      <c r="AQ224" s="331">
        <f t="shared" si="113"/>
        <v>0</v>
      </c>
      <c r="AR224" s="331">
        <f t="shared" si="113"/>
        <v>0</v>
      </c>
      <c r="AS224" s="331">
        <f t="shared" si="113"/>
        <v>0</v>
      </c>
      <c r="AT224" s="331">
        <f t="shared" si="113"/>
        <v>0</v>
      </c>
      <c r="AU224" s="331">
        <f t="shared" si="113"/>
        <v>0</v>
      </c>
      <c r="AV224" s="360">
        <f t="shared" si="113"/>
        <v>0</v>
      </c>
    </row>
    <row r="225" spans="34:48">
      <c r="AH225" s="721" t="s">
        <v>5</v>
      </c>
      <c r="AI225" s="722"/>
      <c r="AK225" s="621">
        <f>(AK217-AK221)/(AK217-AK220)</f>
        <v>239.55391120507593</v>
      </c>
      <c r="AL225" s="361">
        <f>(AL217-AL221)/(AL217-AL220)</f>
        <v>120.24524312896503</v>
      </c>
      <c r="AM225" s="361">
        <f t="shared" ref="AM225:AV225" si="114">(AM217-AM221)/(AM217-AM220)</f>
        <v>80.507145877379088</v>
      </c>
      <c r="AN225" s="361">
        <f t="shared" si="114"/>
        <v>60.640253699789071</v>
      </c>
      <c r="AO225" s="361">
        <f t="shared" si="114"/>
        <v>48.696524312896798</v>
      </c>
      <c r="AP225" s="361">
        <f t="shared" si="114"/>
        <v>41.169133192389332</v>
      </c>
      <c r="AQ225" s="361">
        <f t="shared" si="114"/>
        <v>35.430685593476575</v>
      </c>
      <c r="AR225" s="361">
        <f t="shared" si="114"/>
        <v>31.126849894292</v>
      </c>
      <c r="AS225" s="361">
        <f t="shared" si="114"/>
        <v>27.779422128259558</v>
      </c>
      <c r="AT225" s="361">
        <f t="shared" si="114"/>
        <v>25.1014799154336</v>
      </c>
      <c r="AU225" s="361">
        <f t="shared" si="114"/>
        <v>22.910436286757818</v>
      </c>
      <c r="AV225" s="362">
        <f t="shared" si="114"/>
        <v>21.084566596194485</v>
      </c>
    </row>
    <row r="226" spans="34:48">
      <c r="AH226" s="721" t="s">
        <v>6</v>
      </c>
      <c r="AI226" s="722"/>
      <c r="AK226" s="363">
        <f>IF(OR(AK225&gt;=100%),100%,IF(OR(AK225&lt;=0%),0%,AVERAGE(AK225)))</f>
        <v>1</v>
      </c>
      <c r="AL226" s="363">
        <f>IF(OR(AL225&gt;=100%),100%,IF(OR(AL225&lt;=0%),0%,AVERAGE(AL225)))</f>
        <v>1</v>
      </c>
      <c r="AM226" s="363">
        <f t="shared" ref="AM226:AV226" si="115">IF(OR(AM225&gt;=100%),100%,IF(OR(AM225&lt;=0%),0%,AVERAGE(AM225)))</f>
        <v>1</v>
      </c>
      <c r="AN226" s="363">
        <f t="shared" si="115"/>
        <v>1</v>
      </c>
      <c r="AO226" s="363">
        <f t="shared" si="115"/>
        <v>1</v>
      </c>
      <c r="AP226" s="363">
        <f t="shared" si="115"/>
        <v>1</v>
      </c>
      <c r="AQ226" s="363">
        <f t="shared" si="115"/>
        <v>1</v>
      </c>
      <c r="AR226" s="363">
        <f t="shared" si="115"/>
        <v>1</v>
      </c>
      <c r="AS226" s="363">
        <f t="shared" si="115"/>
        <v>1</v>
      </c>
      <c r="AT226" s="363">
        <f t="shared" si="115"/>
        <v>1</v>
      </c>
      <c r="AU226" s="363">
        <f t="shared" si="115"/>
        <v>1</v>
      </c>
      <c r="AV226" s="364">
        <f t="shared" si="115"/>
        <v>1</v>
      </c>
    </row>
    <row r="227" spans="34:48">
      <c r="AH227" s="717" t="s">
        <v>7</v>
      </c>
      <c r="AI227" s="718"/>
      <c r="AK227" s="365">
        <f>AK226*0.05</f>
        <v>0.05</v>
      </c>
      <c r="AL227" s="365">
        <f t="shared" ref="AL227:AV227" si="116">AL226*0.05</f>
        <v>0.05</v>
      </c>
      <c r="AM227" s="365">
        <f t="shared" si="116"/>
        <v>0.05</v>
      </c>
      <c r="AN227" s="365">
        <f t="shared" si="116"/>
        <v>0.05</v>
      </c>
      <c r="AO227" s="365">
        <f t="shared" si="116"/>
        <v>0.05</v>
      </c>
      <c r="AP227" s="365">
        <f t="shared" si="116"/>
        <v>0.05</v>
      </c>
      <c r="AQ227" s="365">
        <f t="shared" si="116"/>
        <v>0.05</v>
      </c>
      <c r="AR227" s="365">
        <f t="shared" si="116"/>
        <v>0.05</v>
      </c>
      <c r="AS227" s="365">
        <f t="shared" si="116"/>
        <v>0.05</v>
      </c>
      <c r="AT227" s="365">
        <f t="shared" si="116"/>
        <v>0.05</v>
      </c>
      <c r="AU227" s="365">
        <f t="shared" si="116"/>
        <v>0.05</v>
      </c>
      <c r="AV227" s="366">
        <f t="shared" si="116"/>
        <v>0.05</v>
      </c>
    </row>
    <row r="228" spans="34:48">
      <c r="AH228" s="412"/>
      <c r="AI228" s="413"/>
      <c r="AK228" s="422"/>
      <c r="AL228" s="422"/>
      <c r="AM228" s="422"/>
      <c r="AN228" s="422"/>
      <c r="AO228" s="422"/>
      <c r="AP228" s="422"/>
      <c r="AQ228" s="422"/>
      <c r="AR228" s="422"/>
      <c r="AS228" s="422"/>
      <c r="AT228" s="422"/>
      <c r="AU228" s="422"/>
      <c r="AV228" s="423"/>
    </row>
    <row r="229" spans="34:48" ht="16" thickBot="1">
      <c r="AH229" s="424" t="s">
        <v>25</v>
      </c>
      <c r="AI229" s="190"/>
      <c r="AJ229" s="191"/>
      <c r="AK229" s="192">
        <f>SUM(AK227+AK213+AK199+AK187+AK173+AK160+AK146+AK133+AK119+AK106+AK91+AK78+AK64)</f>
        <v>0.90000000000000013</v>
      </c>
      <c r="AL229" s="192">
        <f t="shared" ref="AL229:AV229" si="117">SUM(AL227+AL213+AL199+AL187+AL173+AL160+AL146+AL133+AL119+AL106+AL91+AL78+AL64)</f>
        <v>0.95000000000000007</v>
      </c>
      <c r="AM229" s="192">
        <f>SUM(AM227+AM213+AM199+AM187+AM173+AM160+AM146+AM133+AM119+AM106+AM91+AM78+AM64)</f>
        <v>0.9274349875731932</v>
      </c>
      <c r="AN229" s="192">
        <f>SUM(AN227+AN213+AN199+AN187+AN173+AN160+AN146+AN133+AN119+AN106+AN91+AN78+AN64)</f>
        <v>0.65000000000000013</v>
      </c>
      <c r="AO229" s="192">
        <f>SUM(AO227+AO213+AO199+AO187+AO173+AO160+AO146+AO133+AO119+AO106+AO91+AO78+AO64)</f>
        <v>0.85000000000000009</v>
      </c>
      <c r="AP229" s="192" t="e">
        <f t="shared" si="117"/>
        <v>#DIV/0!</v>
      </c>
      <c r="AQ229" s="192" t="e">
        <f t="shared" si="117"/>
        <v>#DIV/0!</v>
      </c>
      <c r="AR229" s="192" t="e">
        <f t="shared" si="117"/>
        <v>#DIV/0!</v>
      </c>
      <c r="AS229" s="192" t="e">
        <f t="shared" si="117"/>
        <v>#DIV/0!</v>
      </c>
      <c r="AT229" s="192" t="e">
        <f t="shared" si="117"/>
        <v>#DIV/0!</v>
      </c>
      <c r="AU229" s="192" t="e">
        <f t="shared" si="117"/>
        <v>#DIV/0!</v>
      </c>
      <c r="AV229" s="193" t="e">
        <f t="shared" si="117"/>
        <v>#DIV/0!</v>
      </c>
    </row>
    <row r="234" spans="34:48">
      <c r="AK234" s="331"/>
      <c r="AL234" s="331"/>
      <c r="AM234" s="331"/>
      <c r="AN234" s="331"/>
      <c r="AO234" s="331"/>
      <c r="AP234" s="331"/>
    </row>
    <row r="237" spans="34:48">
      <c r="AK237" s="425"/>
      <c r="AL237" s="425"/>
      <c r="AM237" s="425"/>
      <c r="AN237" s="425"/>
      <c r="AO237" s="425"/>
      <c r="AP237" s="425"/>
    </row>
  </sheetData>
  <mergeCells count="261">
    <mergeCell ref="A5:A12"/>
    <mergeCell ref="B5:D5"/>
    <mergeCell ref="A2:A3"/>
    <mergeCell ref="B2:D2"/>
    <mergeCell ref="E2:H2"/>
    <mergeCell ref="I2:Q2"/>
    <mergeCell ref="E4:H4"/>
    <mergeCell ref="I4:Q4"/>
    <mergeCell ref="E5:H5"/>
    <mergeCell ref="I5:Q5"/>
    <mergeCell ref="B3:D3"/>
    <mergeCell ref="E3:H3"/>
    <mergeCell ref="I3:Q3"/>
    <mergeCell ref="T3:Y3"/>
    <mergeCell ref="Z3:AG4"/>
    <mergeCell ref="B4:D4"/>
    <mergeCell ref="R4:S4"/>
    <mergeCell ref="T4:Y4"/>
    <mergeCell ref="W7:W9"/>
    <mergeCell ref="Z5:AA5"/>
    <mergeCell ref="R5:S5"/>
    <mergeCell ref="T5:U5"/>
    <mergeCell ref="T7:T9"/>
    <mergeCell ref="U7:U9"/>
    <mergeCell ref="B6:D12"/>
    <mergeCell ref="E6:H12"/>
    <mergeCell ref="V7:V9"/>
    <mergeCell ref="AF5:AG5"/>
    <mergeCell ref="AF7:AF12"/>
    <mergeCell ref="AG7:AG12"/>
    <mergeCell ref="R2:S2"/>
    <mergeCell ref="T2:Y2"/>
    <mergeCell ref="Z2:AG2"/>
    <mergeCell ref="X10:X12"/>
    <mergeCell ref="I9:Q9"/>
    <mergeCell ref="AB5:AC5"/>
    <mergeCell ref="AB7:AB12"/>
    <mergeCell ref="AC7:AC12"/>
    <mergeCell ref="AD5:AE5"/>
    <mergeCell ref="I6:Q6"/>
    <mergeCell ref="R7:R9"/>
    <mergeCell ref="S7:S9"/>
    <mergeCell ref="AA10:AA12"/>
    <mergeCell ref="I10:Q10"/>
    <mergeCell ref="I12:Q12"/>
    <mergeCell ref="X7:X9"/>
    <mergeCell ref="Y7:Y9"/>
    <mergeCell ref="I7:Q7"/>
    <mergeCell ref="I8:Q8"/>
    <mergeCell ref="R10:R12"/>
    <mergeCell ref="S10:S12"/>
    <mergeCell ref="V5:W5"/>
    <mergeCell ref="X5:Y5"/>
    <mergeCell ref="R3:S3"/>
    <mergeCell ref="S15:Y15"/>
    <mergeCell ref="AA15:AG15"/>
    <mergeCell ref="Z10:Z12"/>
    <mergeCell ref="S16:Y16"/>
    <mergeCell ref="AA16:AG16"/>
    <mergeCell ref="B17:D17"/>
    <mergeCell ref="S17:Y17"/>
    <mergeCell ref="AA17:AG17"/>
    <mergeCell ref="S14:Y14"/>
    <mergeCell ref="AA14:AG14"/>
    <mergeCell ref="AD7:AD12"/>
    <mergeCell ref="AE7:AE12"/>
    <mergeCell ref="T10:T12"/>
    <mergeCell ref="Z7:Z9"/>
    <mergeCell ref="AA7:AA9"/>
    <mergeCell ref="B13:D13"/>
    <mergeCell ref="R13:Y13"/>
    <mergeCell ref="Z13:AG13"/>
    <mergeCell ref="U10:U12"/>
    <mergeCell ref="V10:V12"/>
    <mergeCell ref="Y10:Y12"/>
    <mergeCell ref="W10:W12"/>
    <mergeCell ref="B14:D14"/>
    <mergeCell ref="B21:D21"/>
    <mergeCell ref="S21:Y21"/>
    <mergeCell ref="AA21:AG21"/>
    <mergeCell ref="S18:Y18"/>
    <mergeCell ref="AA18:AG18"/>
    <mergeCell ref="S19:Y19"/>
    <mergeCell ref="AA19:AG19"/>
    <mergeCell ref="B22:D22"/>
    <mergeCell ref="S22:Y22"/>
    <mergeCell ref="AA22:AG22"/>
    <mergeCell ref="S20:Y20"/>
    <mergeCell ref="AA20:AG20"/>
    <mergeCell ref="B18:D18"/>
    <mergeCell ref="B19:D19"/>
    <mergeCell ref="B20:D20"/>
    <mergeCell ref="B23:D23"/>
    <mergeCell ref="S23:Y23"/>
    <mergeCell ref="AA23:AG23"/>
    <mergeCell ref="B24:D24"/>
    <mergeCell ref="S24:Y24"/>
    <mergeCell ref="AA24:AG24"/>
    <mergeCell ref="B25:D25"/>
    <mergeCell ref="S25:Y25"/>
    <mergeCell ref="AA25:AG25"/>
    <mergeCell ref="P26:P27"/>
    <mergeCell ref="Q26:Q27"/>
    <mergeCell ref="R26:R27"/>
    <mergeCell ref="S26:Y27"/>
    <mergeCell ref="Z26:Z27"/>
    <mergeCell ref="A26:A27"/>
    <mergeCell ref="B26:D27"/>
    <mergeCell ref="E26:E27"/>
    <mergeCell ref="F26:F27"/>
    <mergeCell ref="G26:G27"/>
    <mergeCell ref="H26:H27"/>
    <mergeCell ref="I26:I27"/>
    <mergeCell ref="J26:J27"/>
    <mergeCell ref="K26:K27"/>
    <mergeCell ref="AA26:AG27"/>
    <mergeCell ref="A28:A29"/>
    <mergeCell ref="B28:D29"/>
    <mergeCell ref="E28:E29"/>
    <mergeCell ref="F28:F29"/>
    <mergeCell ref="G28:G29"/>
    <mergeCell ref="H28:H29"/>
    <mergeCell ref="I28:I29"/>
    <mergeCell ref="J28:J29"/>
    <mergeCell ref="K28:K29"/>
    <mergeCell ref="L28:L29"/>
    <mergeCell ref="M28:M29"/>
    <mergeCell ref="N28:N29"/>
    <mergeCell ref="O28:O29"/>
    <mergeCell ref="P28:P29"/>
    <mergeCell ref="Q28:Q29"/>
    <mergeCell ref="R28:R29"/>
    <mergeCell ref="S28:Y29"/>
    <mergeCell ref="Z28:Z29"/>
    <mergeCell ref="AA28:AG29"/>
    <mergeCell ref="L26:L27"/>
    <mergeCell ref="M26:M27"/>
    <mergeCell ref="N26:N27"/>
    <mergeCell ref="O26:O27"/>
    <mergeCell ref="P30:P31"/>
    <mergeCell ref="Q30:Q31"/>
    <mergeCell ref="R30:R31"/>
    <mergeCell ref="S30:Y31"/>
    <mergeCell ref="Z30:Z31"/>
    <mergeCell ref="A30:A31"/>
    <mergeCell ref="B30:D31"/>
    <mergeCell ref="E30:E31"/>
    <mergeCell ref="F30:F31"/>
    <mergeCell ref="G30:G31"/>
    <mergeCell ref="H30:H31"/>
    <mergeCell ref="I30:I31"/>
    <mergeCell ref="J30:J31"/>
    <mergeCell ref="K30:K31"/>
    <mergeCell ref="AA30:AG31"/>
    <mergeCell ref="A32:A33"/>
    <mergeCell ref="B32:D33"/>
    <mergeCell ref="E32:E33"/>
    <mergeCell ref="F32:F33"/>
    <mergeCell ref="G32:G33"/>
    <mergeCell ref="H32:H33"/>
    <mergeCell ref="I32:I33"/>
    <mergeCell ref="J32:J33"/>
    <mergeCell ref="K32:K33"/>
    <mergeCell ref="L32:L33"/>
    <mergeCell ref="M32:M33"/>
    <mergeCell ref="N32:N33"/>
    <mergeCell ref="O32:O33"/>
    <mergeCell ref="P32:P33"/>
    <mergeCell ref="Q32:Q33"/>
    <mergeCell ref="R32:R33"/>
    <mergeCell ref="S32:Y33"/>
    <mergeCell ref="Z32:Z33"/>
    <mergeCell ref="AA32:AG33"/>
    <mergeCell ref="L30:L31"/>
    <mergeCell ref="M30:M31"/>
    <mergeCell ref="N30:N31"/>
    <mergeCell ref="O30:O31"/>
    <mergeCell ref="A34:A35"/>
    <mergeCell ref="B34:D35"/>
    <mergeCell ref="E34:E35"/>
    <mergeCell ref="F34:F35"/>
    <mergeCell ref="G34:G35"/>
    <mergeCell ref="H34:H35"/>
    <mergeCell ref="I34:I35"/>
    <mergeCell ref="J34:J35"/>
    <mergeCell ref="K34:K35"/>
    <mergeCell ref="A37:A38"/>
    <mergeCell ref="B37:D38"/>
    <mergeCell ref="E37:E38"/>
    <mergeCell ref="F37:F38"/>
    <mergeCell ref="G37:G38"/>
    <mergeCell ref="H37:H38"/>
    <mergeCell ref="I37:I38"/>
    <mergeCell ref="J37:J38"/>
    <mergeCell ref="K37:K38"/>
    <mergeCell ref="M37:M38"/>
    <mergeCell ref="N37:N38"/>
    <mergeCell ref="O37:O38"/>
    <mergeCell ref="P37:P38"/>
    <mergeCell ref="Q37:Q38"/>
    <mergeCell ref="R37:R38"/>
    <mergeCell ref="S37:X38"/>
    <mergeCell ref="Y37:Y38"/>
    <mergeCell ref="Z37:Z38"/>
    <mergeCell ref="L34:L35"/>
    <mergeCell ref="M34:M35"/>
    <mergeCell ref="N34:N35"/>
    <mergeCell ref="O34:O35"/>
    <mergeCell ref="P34:P35"/>
    <mergeCell ref="Q34:Q35"/>
    <mergeCell ref="R34:R35"/>
    <mergeCell ref="S34:Y35"/>
    <mergeCell ref="Z34:Z35"/>
    <mergeCell ref="AH74:AI74"/>
    <mergeCell ref="AH76:AI76"/>
    <mergeCell ref="AH77:AI77"/>
    <mergeCell ref="AH78:AI78"/>
    <mergeCell ref="AH106:AI106"/>
    <mergeCell ref="AH115:AI115"/>
    <mergeCell ref="AH89:AI89"/>
    <mergeCell ref="B15:D15"/>
    <mergeCell ref="B16:D16"/>
    <mergeCell ref="AH90:AI90"/>
    <mergeCell ref="AH91:AI91"/>
    <mergeCell ref="AH58:AI58"/>
    <mergeCell ref="AH60:AI60"/>
    <mergeCell ref="AH62:AI62"/>
    <mergeCell ref="AH63:AI63"/>
    <mergeCell ref="AH64:AI64"/>
    <mergeCell ref="AH72:AI72"/>
    <mergeCell ref="AH85:AI85"/>
    <mergeCell ref="AH87:AI87"/>
    <mergeCell ref="S49:X49"/>
    <mergeCell ref="B49:D49"/>
    <mergeCell ref="AA34:AG35"/>
    <mergeCell ref="L37:L38"/>
    <mergeCell ref="AA37:AG38"/>
    <mergeCell ref="AH221:AI221"/>
    <mergeCell ref="AH223:AI223"/>
    <mergeCell ref="AH225:AI225"/>
    <mergeCell ref="AH226:AI226"/>
    <mergeCell ref="AH227:AI227"/>
    <mergeCell ref="AH157:AI157"/>
    <mergeCell ref="AH187:AI187"/>
    <mergeCell ref="AH195:AI195"/>
    <mergeCell ref="AH196:AI196"/>
    <mergeCell ref="AH199:AI199"/>
    <mergeCell ref="AH143:AI143"/>
    <mergeCell ref="AH146:AI146"/>
    <mergeCell ref="AH116:AI116"/>
    <mergeCell ref="AH208:AI208"/>
    <mergeCell ref="AH213:AI213"/>
    <mergeCell ref="AH148:AI148"/>
    <mergeCell ref="AH160:AI160"/>
    <mergeCell ref="AH169:AI169"/>
    <mergeCell ref="AH170:AI170"/>
    <mergeCell ref="AH173:AI173"/>
    <mergeCell ref="AH182:AI182"/>
    <mergeCell ref="AH119:AI119"/>
    <mergeCell ref="AH133:AI133"/>
    <mergeCell ref="AH142:AI142"/>
  </mergeCells>
  <conditionalFormatting sqref="AK63:AV63 AK77:AV77 AK90:AV90 AK105:AV105 AK118:AV118 AK132:AV132 AK145:AV145 AK159:AV159 AK172:AV172 AK186:AV186 AK226:AV226 AK229:AV229 AK198:AV198 AK212:AV212">
    <cfRule type="cellIs" dxfId="62" priority="16" stopIfTrue="1" operator="between">
      <formula>-1000</formula>
      <formula>0.494</formula>
    </cfRule>
    <cfRule type="cellIs" dxfId="61" priority="17" stopIfTrue="1" operator="between">
      <formula>0.495</formula>
      <formula>0.794</formula>
    </cfRule>
    <cfRule type="cellIs" dxfId="60" priority="18" stopIfTrue="1" operator="between">
      <formula>0.795</formula>
      <formula>1000</formula>
    </cfRule>
  </conditionalFormatting>
  <printOptions horizontalCentered="1" verticalCentered="1"/>
  <pageMargins left="0" right="0" top="0.31" bottom="0" header="0.25" footer="0"/>
  <pageSetup paperSize="8" scale="52" orientation="landscape" horizontalDpi="4294967293" verticalDpi="4294967293" r:id="rId1"/>
  <rowBreaks count="1" manualBreakCount="1">
    <brk id="49" max="16383" man="1"/>
  </rowBreaks>
  <colBreaks count="1" manualBreakCount="1">
    <brk id="33" max="1048575" man="1"/>
  </colBreaks>
  <drawing r:id="rId2"/>
  <legacyDrawing r:id="rId3"/>
  <oleObjects>
    <mc:AlternateContent xmlns:mc="http://schemas.openxmlformats.org/markup-compatibility/2006">
      <mc:Choice Requires="x14">
        <oleObject progId="MSGraph.Chart.8" shapeId="11304" r:id="rId4">
          <objectPr defaultSize="0" autoPict="0" r:id="rId5">
            <anchor moveWithCells="1" sizeWithCells="1">
              <from>
                <xdr:col>0</xdr:col>
                <xdr:colOff>127000</xdr:colOff>
                <xdr:row>25</xdr:row>
                <xdr:rowOff>222250</xdr:rowOff>
              </from>
              <to>
                <xdr:col>5</xdr:col>
                <xdr:colOff>412750</xdr:colOff>
                <xdr:row>35</xdr:row>
                <xdr:rowOff>190500</xdr:rowOff>
              </to>
            </anchor>
          </objectPr>
        </oleObject>
      </mc:Choice>
      <mc:Fallback>
        <oleObject progId="MSGraph.Chart.8" shapeId="11304" r:id="rId4"/>
      </mc:Fallback>
    </mc:AlternateContent>
    <mc:AlternateContent xmlns:mc="http://schemas.openxmlformats.org/markup-compatibility/2006">
      <mc:Choice Requires="x14">
        <oleObject progId="MSGraph.Chart.8" shapeId="11305" r:id="rId6">
          <objectPr defaultSize="0" autoPict="0" r:id="rId7">
            <anchor moveWithCells="1" sizeWithCells="1">
              <from>
                <xdr:col>6</xdr:col>
                <xdr:colOff>222250</xdr:colOff>
                <xdr:row>25</xdr:row>
                <xdr:rowOff>228600</xdr:rowOff>
              </from>
              <to>
                <xdr:col>13</xdr:col>
                <xdr:colOff>755650</xdr:colOff>
                <xdr:row>35</xdr:row>
                <xdr:rowOff>279400</xdr:rowOff>
              </to>
            </anchor>
          </objectPr>
        </oleObject>
      </mc:Choice>
      <mc:Fallback>
        <oleObject progId="MSGraph.Chart.8" shapeId="11305" r:id="rId6"/>
      </mc:Fallback>
    </mc:AlternateContent>
    <mc:AlternateContent xmlns:mc="http://schemas.openxmlformats.org/markup-compatibility/2006">
      <mc:Choice Requires="x14">
        <oleObject progId="MSGraph.Chart.8" shapeId="11306" r:id="rId8">
          <objectPr defaultSize="0" autoPict="0" r:id="rId9">
            <anchor moveWithCells="1" sizeWithCells="1">
              <from>
                <xdr:col>14</xdr:col>
                <xdr:colOff>222250</xdr:colOff>
                <xdr:row>25</xdr:row>
                <xdr:rowOff>241300</xdr:rowOff>
              </from>
              <to>
                <xdr:col>22</xdr:col>
                <xdr:colOff>527050</xdr:colOff>
                <xdr:row>35</xdr:row>
                <xdr:rowOff>298450</xdr:rowOff>
              </to>
            </anchor>
          </objectPr>
        </oleObject>
      </mc:Choice>
      <mc:Fallback>
        <oleObject progId="MSGraph.Chart.8" shapeId="11306" r:id="rId8"/>
      </mc:Fallback>
    </mc:AlternateContent>
    <mc:AlternateContent xmlns:mc="http://schemas.openxmlformats.org/markup-compatibility/2006">
      <mc:Choice Requires="x14">
        <oleObject progId="MSGraph.Chart.8" shapeId="11307" r:id="rId10">
          <objectPr defaultSize="0" r:id="rId11">
            <anchor moveWithCells="1" sizeWithCells="1">
              <from>
                <xdr:col>0</xdr:col>
                <xdr:colOff>69850</xdr:colOff>
                <xdr:row>36</xdr:row>
                <xdr:rowOff>222250</xdr:rowOff>
              </from>
              <to>
                <xdr:col>5</xdr:col>
                <xdr:colOff>469900</xdr:colOff>
                <xdr:row>47</xdr:row>
                <xdr:rowOff>152400</xdr:rowOff>
              </to>
            </anchor>
          </objectPr>
        </oleObject>
      </mc:Choice>
      <mc:Fallback>
        <oleObject progId="MSGraph.Chart.8" shapeId="11307" r:id="rId10"/>
      </mc:Fallback>
    </mc:AlternateContent>
    <mc:AlternateContent xmlns:mc="http://schemas.openxmlformats.org/markup-compatibility/2006">
      <mc:Choice Requires="x14">
        <oleObject progId="MSGraph.Chart.8" shapeId="11308" r:id="rId12">
          <objectPr defaultSize="0" autoPict="0" r:id="rId13">
            <anchor moveWithCells="1" sizeWithCells="1">
              <from>
                <xdr:col>23</xdr:col>
                <xdr:colOff>279400</xdr:colOff>
                <xdr:row>25</xdr:row>
                <xdr:rowOff>260350</xdr:rowOff>
              </from>
              <to>
                <xdr:col>31</xdr:col>
                <xdr:colOff>527050</xdr:colOff>
                <xdr:row>36</xdr:row>
                <xdr:rowOff>165100</xdr:rowOff>
              </to>
            </anchor>
          </objectPr>
        </oleObject>
      </mc:Choice>
      <mc:Fallback>
        <oleObject progId="MSGraph.Chart.8" shapeId="11308" r:id="rId12"/>
      </mc:Fallback>
    </mc:AlternateContent>
    <mc:AlternateContent xmlns:mc="http://schemas.openxmlformats.org/markup-compatibility/2006">
      <mc:Choice Requires="x14">
        <oleObject progId="MSGraph.Chart.8" shapeId="11309" r:id="rId14">
          <objectPr defaultSize="0" autoPict="0" r:id="rId15">
            <anchor moveWithCells="1" sizeWithCells="1">
              <from>
                <xdr:col>23</xdr:col>
                <xdr:colOff>298450</xdr:colOff>
                <xdr:row>37</xdr:row>
                <xdr:rowOff>69850</xdr:rowOff>
              </from>
              <to>
                <xdr:col>31</xdr:col>
                <xdr:colOff>533400</xdr:colOff>
                <xdr:row>48</xdr:row>
                <xdr:rowOff>38100</xdr:rowOff>
              </to>
            </anchor>
          </objectPr>
        </oleObject>
      </mc:Choice>
      <mc:Fallback>
        <oleObject progId="MSGraph.Chart.8" shapeId="11309" r:id="rId14"/>
      </mc:Fallback>
    </mc:AlternateContent>
    <mc:AlternateContent xmlns:mc="http://schemas.openxmlformats.org/markup-compatibility/2006">
      <mc:Choice Requires="x14">
        <oleObject progId="MSGraph.Chart.8" shapeId="11310" r:id="rId16">
          <objectPr defaultSize="0" autoPict="0" r:id="rId17">
            <anchor moveWithCells="1" sizeWithCells="1">
              <from>
                <xdr:col>6</xdr:col>
                <xdr:colOff>222250</xdr:colOff>
                <xdr:row>36</xdr:row>
                <xdr:rowOff>222250</xdr:rowOff>
              </from>
              <to>
                <xdr:col>14</xdr:col>
                <xdr:colOff>12700</xdr:colOff>
                <xdr:row>47</xdr:row>
                <xdr:rowOff>127000</xdr:rowOff>
              </to>
            </anchor>
          </objectPr>
        </oleObject>
      </mc:Choice>
      <mc:Fallback>
        <oleObject progId="MSGraph.Chart.8" shapeId="11310" r:id="rId16"/>
      </mc:Fallback>
    </mc:AlternateContent>
    <mc:AlternateContent xmlns:mc="http://schemas.openxmlformats.org/markup-compatibility/2006">
      <mc:Choice Requires="x14">
        <oleObject progId="MSGraph.Chart.8" shapeId="11312" r:id="rId18">
          <objectPr defaultSize="0" autoPict="0" r:id="rId19">
            <anchor moveWithCells="1" sizeWithCells="1">
              <from>
                <xdr:col>14</xdr:col>
                <xdr:colOff>222250</xdr:colOff>
                <xdr:row>36</xdr:row>
                <xdr:rowOff>222250</xdr:rowOff>
              </from>
              <to>
                <xdr:col>22</xdr:col>
                <xdr:colOff>469900</xdr:colOff>
                <xdr:row>47</xdr:row>
                <xdr:rowOff>146050</xdr:rowOff>
              </to>
            </anchor>
          </objectPr>
        </oleObject>
      </mc:Choice>
      <mc:Fallback>
        <oleObject progId="MSGraph.Chart.8" shapeId="11312" r:id="rId18"/>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R141"/>
  <sheetViews>
    <sheetView zoomScale="60" zoomScaleNormal="60" workbookViewId="0">
      <selection activeCell="O13" sqref="O13"/>
    </sheetView>
  </sheetViews>
  <sheetFormatPr defaultColWidth="9.1796875" defaultRowHeight="14"/>
  <cols>
    <col min="1" max="1" width="9.453125" style="8" customWidth="1"/>
    <col min="2" max="2" width="2.81640625" style="8" customWidth="1"/>
    <col min="3" max="3" width="9.1796875" style="8"/>
    <col min="4" max="4" width="59.54296875" style="8" customWidth="1"/>
    <col min="5" max="17" width="7.81640625" style="8" customWidth="1"/>
    <col min="18" max="18" width="10.54296875" style="8" customWidth="1"/>
    <col min="19" max="23" width="11.81640625" style="8" customWidth="1"/>
    <col min="24" max="24" width="9.54296875" style="8" customWidth="1"/>
    <col min="25" max="29" width="13.453125" style="8" customWidth="1"/>
    <col min="30" max="30" width="41.54296875" style="8" bestFit="1" customWidth="1"/>
    <col min="31" max="31" width="16.54296875" style="8" bestFit="1" customWidth="1"/>
    <col min="32" max="32" width="13.1796875" style="8" customWidth="1"/>
    <col min="33" max="34" width="17.453125" style="8" customWidth="1"/>
    <col min="35" max="35" width="17.54296875" style="8" customWidth="1"/>
    <col min="36" max="36" width="15.81640625" style="8" customWidth="1"/>
    <col min="37" max="37" width="15.54296875" style="8" customWidth="1"/>
    <col min="38" max="38" width="16" style="8" customWidth="1"/>
    <col min="39" max="39" width="15.81640625" style="8" customWidth="1"/>
    <col min="40" max="40" width="13" style="8" customWidth="1"/>
    <col min="41" max="41" width="15.54296875" style="8" customWidth="1"/>
    <col min="42" max="44" width="13" style="8" customWidth="1"/>
    <col min="45" max="16384" width="9.1796875" style="8"/>
  </cols>
  <sheetData>
    <row r="1" spans="1:32" ht="14.5" thickBot="1"/>
    <row r="2" spans="1:32" ht="20.25" customHeight="1">
      <c r="A2" s="909">
        <f>AK141</f>
        <v>0.31788714721712519</v>
      </c>
      <c r="B2" s="911" t="s">
        <v>27</v>
      </c>
      <c r="C2" s="911"/>
      <c r="D2" s="912"/>
      <c r="E2" s="913" t="s">
        <v>28</v>
      </c>
      <c r="F2" s="914"/>
      <c r="G2" s="914"/>
      <c r="H2" s="915"/>
      <c r="I2" s="916" t="s">
        <v>29</v>
      </c>
      <c r="J2" s="917"/>
      <c r="K2" s="917"/>
      <c r="L2" s="917"/>
      <c r="M2" s="917"/>
      <c r="N2" s="917"/>
      <c r="O2" s="917"/>
      <c r="P2" s="917"/>
      <c r="Q2" s="917"/>
      <c r="R2" s="918" t="s">
        <v>30</v>
      </c>
      <c r="S2" s="919"/>
      <c r="T2" s="920"/>
      <c r="U2" s="921"/>
      <c r="V2" s="921"/>
      <c r="W2" s="922"/>
      <c r="X2" s="915" t="s">
        <v>31</v>
      </c>
      <c r="Y2" s="1005"/>
      <c r="Z2" s="1005"/>
      <c r="AA2" s="1005"/>
      <c r="AB2" s="1005"/>
      <c r="AC2" s="1006"/>
    </row>
    <row r="3" spans="1:32" ht="20.25" customHeight="1">
      <c r="A3" s="910"/>
      <c r="B3" s="923" t="s">
        <v>32</v>
      </c>
      <c r="C3" s="924"/>
      <c r="D3" s="1007"/>
      <c r="E3" s="923" t="s">
        <v>33</v>
      </c>
      <c r="F3" s="924"/>
      <c r="G3" s="924"/>
      <c r="H3" s="924"/>
      <c r="I3" s="924" t="s">
        <v>34</v>
      </c>
      <c r="J3" s="924"/>
      <c r="K3" s="924"/>
      <c r="L3" s="925"/>
      <c r="M3" s="925"/>
      <c r="N3" s="925"/>
      <c r="O3" s="925"/>
      <c r="P3" s="925"/>
      <c r="Q3" s="925"/>
      <c r="R3" s="1020" t="s">
        <v>35</v>
      </c>
      <c r="S3" s="1021"/>
      <c r="T3" s="977">
        <v>45545</v>
      </c>
      <c r="U3" s="978"/>
      <c r="V3" s="978"/>
      <c r="W3" s="979"/>
      <c r="X3" s="951" t="s">
        <v>148</v>
      </c>
      <c r="Y3" s="952"/>
      <c r="Z3" s="952"/>
      <c r="AA3" s="952"/>
      <c r="AB3" s="952"/>
      <c r="AC3" s="953"/>
    </row>
    <row r="4" spans="1:32" ht="33.75" customHeight="1" thickBot="1">
      <c r="A4" s="261" t="s">
        <v>162</v>
      </c>
      <c r="B4" s="1036" t="s">
        <v>36</v>
      </c>
      <c r="C4" s="1037"/>
      <c r="D4" s="1038"/>
      <c r="E4" s="969" t="s">
        <v>282</v>
      </c>
      <c r="F4" s="970"/>
      <c r="G4" s="970"/>
      <c r="H4" s="970"/>
      <c r="I4" s="1026" t="s">
        <v>281</v>
      </c>
      <c r="J4" s="1026"/>
      <c r="K4" s="1026"/>
      <c r="L4" s="1026"/>
      <c r="M4" s="1026"/>
      <c r="N4" s="1026"/>
      <c r="O4" s="1026"/>
      <c r="P4" s="1026"/>
      <c r="Q4" s="1026"/>
      <c r="R4" s="971" t="s">
        <v>37</v>
      </c>
      <c r="S4" s="972"/>
      <c r="T4" s="1008" t="s">
        <v>38</v>
      </c>
      <c r="U4" s="1009"/>
      <c r="V4" s="1009"/>
      <c r="W4" s="1010"/>
      <c r="X4" s="954"/>
      <c r="Y4" s="955"/>
      <c r="Z4" s="955"/>
      <c r="AA4" s="955"/>
      <c r="AB4" s="955"/>
      <c r="AC4" s="956"/>
    </row>
    <row r="5" spans="1:32" ht="35.25" customHeight="1" thickBot="1">
      <c r="A5" s="943" t="s">
        <v>39</v>
      </c>
      <c r="B5" s="1011" t="s">
        <v>40</v>
      </c>
      <c r="C5" s="1012"/>
      <c r="D5" s="1013"/>
      <c r="E5" s="1011" t="s">
        <v>41</v>
      </c>
      <c r="F5" s="1012"/>
      <c r="G5" s="1012"/>
      <c r="H5" s="1014"/>
      <c r="I5" s="1015" t="s">
        <v>42</v>
      </c>
      <c r="J5" s="1012"/>
      <c r="K5" s="1012"/>
      <c r="L5" s="1012"/>
      <c r="M5" s="1012"/>
      <c r="N5" s="1012"/>
      <c r="O5" s="1012"/>
      <c r="P5" s="1012"/>
      <c r="Q5" s="1012"/>
      <c r="R5" s="932" t="s">
        <v>163</v>
      </c>
      <c r="S5" s="1016"/>
      <c r="T5" s="932" t="s">
        <v>164</v>
      </c>
      <c r="U5" s="1017"/>
      <c r="V5" s="929" t="s">
        <v>165</v>
      </c>
      <c r="W5" s="973"/>
      <c r="X5" s="930" t="s">
        <v>166</v>
      </c>
      <c r="Y5" s="973"/>
      <c r="Z5" s="929"/>
      <c r="AA5" s="931"/>
      <c r="AB5" s="929"/>
      <c r="AC5" s="973"/>
    </row>
    <row r="6" spans="1:32" ht="13.5" customHeight="1" thickBot="1">
      <c r="A6" s="944"/>
      <c r="B6" s="929" t="s">
        <v>43</v>
      </c>
      <c r="C6" s="930"/>
      <c r="D6" s="931"/>
      <c r="E6" s="989" t="s">
        <v>44</v>
      </c>
      <c r="F6" s="990"/>
      <c r="G6" s="990"/>
      <c r="H6" s="991"/>
      <c r="I6" s="809" t="s">
        <v>266</v>
      </c>
      <c r="J6" s="810"/>
      <c r="K6" s="810"/>
      <c r="L6" s="810"/>
      <c r="M6" s="810"/>
      <c r="N6" s="810"/>
      <c r="O6" s="810"/>
      <c r="P6" s="810"/>
      <c r="Q6" s="810"/>
      <c r="R6" s="229" t="s">
        <v>246</v>
      </c>
      <c r="S6" s="230" t="s">
        <v>254</v>
      </c>
      <c r="T6" s="229" t="s">
        <v>246</v>
      </c>
      <c r="U6" s="233" t="s">
        <v>254</v>
      </c>
      <c r="V6" s="231" t="s">
        <v>246</v>
      </c>
      <c r="W6" s="230" t="s">
        <v>254</v>
      </c>
      <c r="X6" s="229" t="s">
        <v>246</v>
      </c>
      <c r="Y6" s="233" t="s">
        <v>254</v>
      </c>
      <c r="Z6" s="231"/>
      <c r="AA6" s="230"/>
      <c r="AB6" s="229"/>
      <c r="AC6" s="232"/>
    </row>
    <row r="7" spans="1:32" ht="12.75" customHeight="1">
      <c r="A7" s="944"/>
      <c r="B7" s="932"/>
      <c r="C7" s="933"/>
      <c r="D7" s="934"/>
      <c r="E7" s="992"/>
      <c r="F7" s="993"/>
      <c r="G7" s="993"/>
      <c r="H7" s="994"/>
      <c r="I7" s="821" t="s">
        <v>267</v>
      </c>
      <c r="J7" s="822"/>
      <c r="K7" s="822"/>
      <c r="L7" s="822"/>
      <c r="M7" s="822"/>
      <c r="N7" s="822"/>
      <c r="O7" s="822"/>
      <c r="P7" s="822"/>
      <c r="Q7" s="823"/>
      <c r="R7" s="1022" t="s">
        <v>207</v>
      </c>
      <c r="S7" s="974" t="s">
        <v>283</v>
      </c>
      <c r="T7" s="962">
        <v>0.99929999999999997</v>
      </c>
      <c r="U7" s="962">
        <v>0.99939999999999996</v>
      </c>
      <c r="V7" s="941">
        <v>0.99970000000000003</v>
      </c>
      <c r="W7" s="941">
        <v>0.99970000000000003</v>
      </c>
      <c r="X7" s="941">
        <v>1E-3</v>
      </c>
      <c r="Y7" s="941">
        <v>1E-3</v>
      </c>
      <c r="Z7" s="966"/>
      <c r="AA7" s="974"/>
      <c r="AB7" s="987"/>
      <c r="AC7" s="983"/>
    </row>
    <row r="8" spans="1:32" ht="13.5" customHeight="1">
      <c r="A8" s="944"/>
      <c r="B8" s="932"/>
      <c r="C8" s="933"/>
      <c r="D8" s="934"/>
      <c r="E8" s="992"/>
      <c r="F8" s="993"/>
      <c r="G8" s="993"/>
      <c r="H8" s="994"/>
      <c r="I8" s="800" t="s">
        <v>268</v>
      </c>
      <c r="J8" s="801"/>
      <c r="K8" s="801"/>
      <c r="L8" s="801"/>
      <c r="M8" s="801"/>
      <c r="N8" s="801"/>
      <c r="O8" s="801"/>
      <c r="P8" s="801"/>
      <c r="Q8" s="802"/>
      <c r="R8" s="1023"/>
      <c r="S8" s="975"/>
      <c r="T8" s="963"/>
      <c r="U8" s="963"/>
      <c r="V8" s="942"/>
      <c r="W8" s="942"/>
      <c r="X8" s="942"/>
      <c r="Y8" s="942"/>
      <c r="Z8" s="967"/>
      <c r="AA8" s="975"/>
      <c r="AB8" s="987"/>
      <c r="AC8" s="983"/>
    </row>
    <row r="9" spans="1:32" ht="13.5" customHeight="1">
      <c r="A9" s="944"/>
      <c r="B9" s="932"/>
      <c r="C9" s="933"/>
      <c r="D9" s="934"/>
      <c r="E9" s="992"/>
      <c r="F9" s="993"/>
      <c r="G9" s="993"/>
      <c r="H9" s="994"/>
      <c r="I9" s="800" t="s">
        <v>269</v>
      </c>
      <c r="J9" s="801"/>
      <c r="K9" s="801"/>
      <c r="L9" s="801"/>
      <c r="M9" s="801"/>
      <c r="N9" s="801"/>
      <c r="O9" s="801"/>
      <c r="P9" s="801"/>
      <c r="Q9" s="802"/>
      <c r="R9" s="1024"/>
      <c r="S9" s="1025"/>
      <c r="T9" s="964"/>
      <c r="U9" s="964"/>
      <c r="V9" s="942"/>
      <c r="W9" s="942"/>
      <c r="X9" s="942"/>
      <c r="Y9" s="942"/>
      <c r="Z9" s="967"/>
      <c r="AA9" s="975"/>
      <c r="AB9" s="987"/>
      <c r="AC9" s="983"/>
    </row>
    <row r="10" spans="1:32" ht="13.5" customHeight="1">
      <c r="A10" s="944"/>
      <c r="B10" s="932"/>
      <c r="C10" s="933"/>
      <c r="D10" s="934"/>
      <c r="E10" s="992"/>
      <c r="F10" s="993"/>
      <c r="G10" s="993"/>
      <c r="H10" s="994"/>
      <c r="I10" s="800"/>
      <c r="J10" s="801"/>
      <c r="K10" s="801"/>
      <c r="L10" s="801"/>
      <c r="M10" s="801"/>
      <c r="N10" s="801"/>
      <c r="O10" s="801"/>
      <c r="P10" s="801"/>
      <c r="Q10" s="801"/>
      <c r="R10" s="1027" t="s">
        <v>169</v>
      </c>
      <c r="S10" s="946" t="s">
        <v>284</v>
      </c>
      <c r="T10" s="938">
        <v>668</v>
      </c>
      <c r="U10" s="938">
        <v>574</v>
      </c>
      <c r="V10" s="1018">
        <v>5</v>
      </c>
      <c r="W10" s="985">
        <v>3.5</v>
      </c>
      <c r="X10" s="942"/>
      <c r="Y10" s="942"/>
      <c r="Z10" s="967"/>
      <c r="AA10" s="975"/>
      <c r="AB10" s="987"/>
      <c r="AC10" s="983"/>
    </row>
    <row r="11" spans="1:32" ht="13.5" customHeight="1">
      <c r="A11" s="944"/>
      <c r="B11" s="932"/>
      <c r="C11" s="933"/>
      <c r="D11" s="934"/>
      <c r="E11" s="992"/>
      <c r="F11" s="993"/>
      <c r="G11" s="993"/>
      <c r="H11" s="994"/>
      <c r="I11" s="294"/>
      <c r="J11" s="294"/>
      <c r="K11" s="294"/>
      <c r="L11" s="294"/>
      <c r="M11" s="294"/>
      <c r="N11" s="294"/>
      <c r="O11" s="294"/>
      <c r="P11" s="294"/>
      <c r="Q11" s="294"/>
      <c r="R11" s="1028"/>
      <c r="S11" s="947"/>
      <c r="T11" s="939"/>
      <c r="U11" s="939"/>
      <c r="V11" s="1018"/>
      <c r="W11" s="985"/>
      <c r="X11" s="942"/>
      <c r="Y11" s="942"/>
      <c r="Z11" s="967"/>
      <c r="AA11" s="975"/>
      <c r="AB11" s="987"/>
      <c r="AC11" s="983"/>
    </row>
    <row r="12" spans="1:32" ht="13.5" customHeight="1" thickBot="1">
      <c r="A12" s="945"/>
      <c r="B12" s="935"/>
      <c r="C12" s="936"/>
      <c r="D12" s="937"/>
      <c r="E12" s="995"/>
      <c r="F12" s="996"/>
      <c r="G12" s="996"/>
      <c r="H12" s="997"/>
      <c r="I12" s="819"/>
      <c r="J12" s="820"/>
      <c r="K12" s="820"/>
      <c r="L12" s="820"/>
      <c r="M12" s="820"/>
      <c r="N12" s="820"/>
      <c r="O12" s="820"/>
      <c r="P12" s="820"/>
      <c r="Q12" s="820"/>
      <c r="R12" s="1029"/>
      <c r="S12" s="948"/>
      <c r="T12" s="940"/>
      <c r="U12" s="940"/>
      <c r="V12" s="1019"/>
      <c r="W12" s="986"/>
      <c r="X12" s="965"/>
      <c r="Y12" s="965"/>
      <c r="Z12" s="968"/>
      <c r="AA12" s="976"/>
      <c r="AB12" s="988"/>
      <c r="AC12" s="984"/>
    </row>
    <row r="13" spans="1:32" ht="36" customHeight="1" thickBot="1">
      <c r="A13" s="82" t="s">
        <v>45</v>
      </c>
      <c r="B13" s="957" t="s">
        <v>150</v>
      </c>
      <c r="C13" s="957"/>
      <c r="D13" s="958"/>
      <c r="E13" s="289" t="s">
        <v>47</v>
      </c>
      <c r="F13" s="290" t="s">
        <v>48</v>
      </c>
      <c r="G13" s="290" t="s">
        <v>49</v>
      </c>
      <c r="H13" s="290" t="s">
        <v>50</v>
      </c>
      <c r="I13" s="290" t="s">
        <v>51</v>
      </c>
      <c r="J13" s="290" t="s">
        <v>52</v>
      </c>
      <c r="K13" s="290" t="s">
        <v>53</v>
      </c>
      <c r="L13" s="290" t="s">
        <v>54</v>
      </c>
      <c r="M13" s="290" t="s">
        <v>55</v>
      </c>
      <c r="N13" s="290" t="s">
        <v>56</v>
      </c>
      <c r="O13" s="290" t="s">
        <v>57</v>
      </c>
      <c r="P13" s="290" t="s">
        <v>58</v>
      </c>
      <c r="Q13" s="290" t="s">
        <v>59</v>
      </c>
      <c r="R13" s="959" t="s">
        <v>60</v>
      </c>
      <c r="S13" s="960"/>
      <c r="T13" s="960"/>
      <c r="U13" s="960"/>
      <c r="V13" s="960"/>
      <c r="W13" s="961"/>
      <c r="X13" s="959" t="s">
        <v>61</v>
      </c>
      <c r="Y13" s="960"/>
      <c r="Z13" s="960"/>
      <c r="AA13" s="960"/>
      <c r="AB13" s="960"/>
      <c r="AC13" s="961"/>
      <c r="AE13" s="194"/>
      <c r="AF13" s="194"/>
    </row>
    <row r="14" spans="1:32" ht="81.75" customHeight="1">
      <c r="A14" s="227">
        <v>1</v>
      </c>
      <c r="B14" s="1059" t="s">
        <v>275</v>
      </c>
      <c r="C14" s="1060"/>
      <c r="D14" s="1061"/>
      <c r="E14" s="87" t="s">
        <v>276</v>
      </c>
      <c r="F14" s="85"/>
      <c r="G14" s="85"/>
      <c r="H14" s="85"/>
      <c r="I14" s="85"/>
      <c r="J14" s="85"/>
      <c r="K14" s="85"/>
      <c r="L14" s="85"/>
      <c r="M14" s="85"/>
      <c r="N14" s="85"/>
      <c r="O14" s="85"/>
      <c r="P14" s="85"/>
      <c r="Q14" s="85"/>
      <c r="R14" s="195" t="s">
        <v>301</v>
      </c>
      <c r="S14" s="980" t="s">
        <v>302</v>
      </c>
      <c r="T14" s="981"/>
      <c r="U14" s="981"/>
      <c r="V14" s="981"/>
      <c r="W14" s="982"/>
      <c r="X14" s="195" t="s">
        <v>303</v>
      </c>
      <c r="Y14" s="1030" t="s">
        <v>304</v>
      </c>
      <c r="Z14" s="1031"/>
      <c r="AA14" s="1031"/>
      <c r="AB14" s="1031"/>
      <c r="AC14" s="1032"/>
    </row>
    <row r="15" spans="1:32" ht="83.15" customHeight="1">
      <c r="A15" s="86">
        <v>2</v>
      </c>
      <c r="B15" s="998" t="s">
        <v>277</v>
      </c>
      <c r="C15" s="998"/>
      <c r="D15" s="998"/>
      <c r="E15" s="87" t="s">
        <v>278</v>
      </c>
      <c r="F15" s="83"/>
      <c r="G15" s="83"/>
      <c r="H15" s="83"/>
      <c r="I15" s="83"/>
      <c r="J15" s="83"/>
      <c r="K15" s="83"/>
      <c r="L15" s="83"/>
      <c r="M15" s="83"/>
      <c r="N15" s="83"/>
      <c r="O15" s="83"/>
      <c r="P15" s="83"/>
      <c r="Q15" s="84"/>
      <c r="R15" s="634" t="s">
        <v>333</v>
      </c>
      <c r="S15" s="1033" t="s">
        <v>334</v>
      </c>
      <c r="T15" s="1034"/>
      <c r="U15" s="1034"/>
      <c r="V15" s="1034"/>
      <c r="W15" s="1035"/>
      <c r="X15" s="635" t="s">
        <v>335</v>
      </c>
      <c r="Y15" s="895" t="s">
        <v>336</v>
      </c>
      <c r="Z15" s="896"/>
      <c r="AA15" s="896"/>
      <c r="AB15" s="896"/>
      <c r="AC15" s="897"/>
    </row>
    <row r="16" spans="1:32" ht="59.25" customHeight="1">
      <c r="A16" s="86">
        <v>3</v>
      </c>
      <c r="B16" s="999" t="s">
        <v>279</v>
      </c>
      <c r="C16" s="1000"/>
      <c r="D16" s="1001"/>
      <c r="E16" s="88" t="s">
        <v>280</v>
      </c>
      <c r="F16" s="85"/>
      <c r="G16" s="85"/>
      <c r="H16" s="85"/>
      <c r="I16" s="85"/>
      <c r="J16" s="85"/>
      <c r="K16" s="85"/>
      <c r="L16" s="83"/>
      <c r="M16" s="83"/>
      <c r="N16" s="83"/>
      <c r="O16" s="83"/>
      <c r="P16" s="83"/>
      <c r="Q16" s="84"/>
      <c r="R16" s="634" t="s">
        <v>342</v>
      </c>
      <c r="S16" s="1033" t="s">
        <v>343</v>
      </c>
      <c r="T16" s="1034"/>
      <c r="U16" s="1034"/>
      <c r="V16" s="1034"/>
      <c r="W16" s="1035"/>
      <c r="X16" s="634" t="s">
        <v>342</v>
      </c>
      <c r="Y16" s="1033" t="s">
        <v>343</v>
      </c>
      <c r="Z16" s="1034"/>
      <c r="AA16" s="1034"/>
      <c r="AB16" s="1034"/>
      <c r="AC16" s="1035"/>
    </row>
    <row r="17" spans="1:29" ht="90.75" customHeight="1">
      <c r="A17" s="86"/>
      <c r="B17" s="999"/>
      <c r="C17" s="1000"/>
      <c r="D17" s="1001"/>
      <c r="E17" s="88"/>
      <c r="F17" s="85"/>
      <c r="G17" s="85"/>
      <c r="H17" s="85"/>
      <c r="I17" s="85"/>
      <c r="J17" s="85"/>
      <c r="K17" s="85"/>
      <c r="L17" s="85"/>
      <c r="M17" s="85"/>
      <c r="N17" s="85"/>
      <c r="O17" s="85"/>
      <c r="P17" s="85"/>
      <c r="Q17" s="85"/>
      <c r="R17" s="634" t="s">
        <v>358</v>
      </c>
      <c r="S17" s="1033" t="s">
        <v>359</v>
      </c>
      <c r="T17" s="1034"/>
      <c r="U17" s="1034"/>
      <c r="V17" s="1034"/>
      <c r="W17" s="1035"/>
      <c r="X17" s="635" t="s">
        <v>370</v>
      </c>
      <c r="Y17" s="895" t="s">
        <v>336</v>
      </c>
      <c r="Z17" s="896"/>
      <c r="AA17" s="896"/>
      <c r="AB17" s="896"/>
      <c r="AC17" s="897"/>
    </row>
    <row r="18" spans="1:29" ht="95.25" customHeight="1">
      <c r="A18" s="86"/>
      <c r="B18" s="1043"/>
      <c r="C18" s="1043"/>
      <c r="D18" s="1044"/>
      <c r="E18" s="88"/>
      <c r="F18" s="83"/>
      <c r="G18" s="85"/>
      <c r="H18" s="85"/>
      <c r="I18" s="85"/>
      <c r="J18" s="85"/>
      <c r="K18" s="83"/>
      <c r="L18" s="83"/>
      <c r="M18" s="83"/>
      <c r="N18" s="83"/>
      <c r="O18" s="83"/>
      <c r="P18" s="83"/>
      <c r="Q18" s="84"/>
      <c r="R18" s="634" t="s">
        <v>366</v>
      </c>
      <c r="S18" s="1033" t="s">
        <v>367</v>
      </c>
      <c r="T18" s="1034"/>
      <c r="U18" s="1034"/>
      <c r="V18" s="1034"/>
      <c r="W18" s="1035"/>
      <c r="X18" s="635" t="s">
        <v>368</v>
      </c>
      <c r="Y18" s="895" t="s">
        <v>369</v>
      </c>
      <c r="Z18" s="896"/>
      <c r="AA18" s="896"/>
      <c r="AB18" s="896"/>
      <c r="AC18" s="897"/>
    </row>
    <row r="19" spans="1:29" ht="54" customHeight="1">
      <c r="A19" s="86"/>
      <c r="B19" s="1002"/>
      <c r="C19" s="1003"/>
      <c r="D19" s="1004"/>
      <c r="E19" s="88"/>
      <c r="F19" s="83"/>
      <c r="G19" s="83"/>
      <c r="H19" s="90"/>
      <c r="I19" s="90"/>
      <c r="J19" s="90"/>
      <c r="K19" s="90"/>
      <c r="L19" s="89"/>
      <c r="M19" s="89"/>
      <c r="N19" s="89"/>
      <c r="O19" s="89"/>
      <c r="P19" s="89"/>
      <c r="Q19" s="91"/>
      <c r="R19" s="195"/>
      <c r="S19" s="1002"/>
      <c r="T19" s="1003"/>
      <c r="U19" s="1003"/>
      <c r="V19" s="1003"/>
      <c r="W19" s="1004"/>
      <c r="X19" s="196"/>
      <c r="Y19" s="895"/>
      <c r="Z19" s="896"/>
      <c r="AA19" s="896"/>
      <c r="AB19" s="896"/>
      <c r="AC19" s="897"/>
    </row>
    <row r="20" spans="1:29" ht="59.25" customHeight="1">
      <c r="A20" s="86"/>
      <c r="B20" s="1002"/>
      <c r="C20" s="1003"/>
      <c r="D20" s="1004"/>
      <c r="E20" s="88"/>
      <c r="F20" s="83"/>
      <c r="G20" s="83"/>
      <c r="H20" s="83"/>
      <c r="I20" s="83"/>
      <c r="J20" s="83"/>
      <c r="K20" s="83"/>
      <c r="L20" s="83"/>
      <c r="M20" s="83"/>
      <c r="N20" s="83"/>
      <c r="O20" s="83"/>
      <c r="P20" s="83"/>
      <c r="Q20" s="84"/>
      <c r="R20" s="195"/>
      <c r="S20" s="1045"/>
      <c r="T20" s="1046"/>
      <c r="U20" s="1046"/>
      <c r="V20" s="1046"/>
      <c r="W20" s="1047"/>
      <c r="X20" s="196"/>
      <c r="Y20" s="895"/>
      <c r="Z20" s="896"/>
      <c r="AA20" s="896"/>
      <c r="AB20" s="896"/>
      <c r="AC20" s="897"/>
    </row>
    <row r="21" spans="1:29" ht="39" customHeight="1">
      <c r="A21" s="227"/>
      <c r="B21" s="1042"/>
      <c r="C21" s="1043"/>
      <c r="D21" s="1044"/>
      <c r="E21" s="87"/>
      <c r="F21" s="85"/>
      <c r="G21" s="85"/>
      <c r="H21" s="83"/>
      <c r="I21" s="83"/>
      <c r="J21" s="83"/>
      <c r="K21" s="83"/>
      <c r="L21" s="83"/>
      <c r="M21" s="83"/>
      <c r="N21" s="83"/>
      <c r="O21" s="83"/>
      <c r="P21" s="83"/>
      <c r="Q21" s="84"/>
      <c r="R21" s="195"/>
      <c r="S21" s="1045"/>
      <c r="T21" s="1046"/>
      <c r="U21" s="1046"/>
      <c r="V21" s="1046"/>
      <c r="W21" s="1047"/>
      <c r="X21" s="196"/>
      <c r="Y21" s="895"/>
      <c r="Z21" s="896"/>
      <c r="AA21" s="896"/>
      <c r="AB21" s="896"/>
      <c r="AC21" s="897"/>
    </row>
    <row r="22" spans="1:29" ht="39" customHeight="1">
      <c r="A22" s="86"/>
      <c r="B22" s="1002"/>
      <c r="C22" s="1003"/>
      <c r="D22" s="1004"/>
      <c r="E22" s="88"/>
      <c r="F22" s="83"/>
      <c r="G22" s="83"/>
      <c r="H22" s="83"/>
      <c r="I22" s="83"/>
      <c r="J22" s="83"/>
      <c r="K22" s="83"/>
      <c r="L22" s="83"/>
      <c r="M22" s="83"/>
      <c r="N22" s="83"/>
      <c r="O22" s="83"/>
      <c r="P22" s="83"/>
      <c r="Q22" s="84"/>
      <c r="R22" s="195"/>
      <c r="S22" s="1045"/>
      <c r="T22" s="1046"/>
      <c r="U22" s="1046"/>
      <c r="V22" s="1046"/>
      <c r="W22" s="1047"/>
      <c r="X22" s="196"/>
      <c r="Y22" s="895"/>
      <c r="Z22" s="896"/>
      <c r="AA22" s="896"/>
      <c r="AB22" s="896"/>
      <c r="AC22" s="897"/>
    </row>
    <row r="23" spans="1:29" ht="39" customHeight="1">
      <c r="A23" s="86"/>
      <c r="B23" s="1002"/>
      <c r="C23" s="1003"/>
      <c r="D23" s="1004"/>
      <c r="E23" s="88"/>
      <c r="F23" s="83"/>
      <c r="G23" s="83"/>
      <c r="H23" s="83"/>
      <c r="I23" s="83"/>
      <c r="J23" s="83"/>
      <c r="K23" s="83"/>
      <c r="L23" s="83"/>
      <c r="M23" s="83"/>
      <c r="N23" s="83"/>
      <c r="O23" s="83"/>
      <c r="P23" s="83"/>
      <c r="Q23" s="84"/>
      <c r="R23" s="195"/>
      <c r="S23" s="1045"/>
      <c r="T23" s="1046"/>
      <c r="U23" s="1046"/>
      <c r="V23" s="1046"/>
      <c r="W23" s="1047"/>
      <c r="X23" s="196"/>
      <c r="Y23" s="895"/>
      <c r="Z23" s="896"/>
      <c r="AA23" s="896"/>
      <c r="AB23" s="896"/>
      <c r="AC23" s="897"/>
    </row>
    <row r="24" spans="1:29" ht="39" customHeight="1">
      <c r="A24" s="86"/>
      <c r="B24" s="1002"/>
      <c r="C24" s="1003"/>
      <c r="D24" s="1004"/>
      <c r="E24" s="88"/>
      <c r="F24" s="83"/>
      <c r="G24" s="83"/>
      <c r="H24" s="83"/>
      <c r="I24" s="83"/>
      <c r="J24" s="83"/>
      <c r="K24" s="83"/>
      <c r="L24" s="83"/>
      <c r="M24" s="83"/>
      <c r="N24" s="83"/>
      <c r="O24" s="83"/>
      <c r="P24" s="83"/>
      <c r="Q24" s="84"/>
      <c r="R24" s="195"/>
      <c r="S24" s="1045"/>
      <c r="T24" s="1046"/>
      <c r="U24" s="1046"/>
      <c r="V24" s="1046"/>
      <c r="W24" s="1047"/>
      <c r="X24" s="195"/>
      <c r="Y24" s="895"/>
      <c r="Z24" s="896"/>
      <c r="AA24" s="896"/>
      <c r="AB24" s="896"/>
      <c r="AC24" s="897"/>
    </row>
    <row r="25" spans="1:29" ht="39" customHeight="1" thickBot="1">
      <c r="A25" s="262"/>
      <c r="B25" s="1039"/>
      <c r="C25" s="1040"/>
      <c r="D25" s="1041"/>
      <c r="E25" s="92"/>
      <c r="F25" s="93"/>
      <c r="G25" s="93"/>
      <c r="H25" s="93"/>
      <c r="I25" s="93"/>
      <c r="J25" s="93"/>
      <c r="K25" s="93"/>
      <c r="L25" s="93"/>
      <c r="M25" s="93"/>
      <c r="N25" s="93"/>
      <c r="O25" s="93"/>
      <c r="P25" s="93"/>
      <c r="Q25" s="94"/>
      <c r="R25" s="197"/>
      <c r="S25" s="926"/>
      <c r="T25" s="927"/>
      <c r="U25" s="927"/>
      <c r="V25" s="927"/>
      <c r="W25" s="928"/>
      <c r="X25" s="195"/>
      <c r="Y25" s="902"/>
      <c r="Z25" s="903"/>
      <c r="AA25" s="903"/>
      <c r="AB25" s="903"/>
      <c r="AC25" s="904"/>
    </row>
    <row r="26" spans="1:29" ht="24.65" customHeight="1">
      <c r="A26" s="1050"/>
      <c r="B26" s="1051"/>
      <c r="C26" s="1051"/>
      <c r="D26" s="1051"/>
      <c r="E26" s="1052"/>
      <c r="F26" s="1049"/>
      <c r="G26" s="1048"/>
      <c r="H26" s="1048"/>
      <c r="I26" s="1048"/>
      <c r="J26" s="1048"/>
      <c r="K26" s="1048"/>
      <c r="L26" s="1048"/>
      <c r="M26" s="1048"/>
      <c r="N26" s="1048"/>
      <c r="O26" s="1048"/>
      <c r="P26" s="1048"/>
      <c r="Q26" s="1048"/>
      <c r="R26" s="1053"/>
      <c r="S26" s="898"/>
      <c r="T26" s="898"/>
      <c r="U26" s="898"/>
      <c r="V26" s="898"/>
      <c r="W26" s="898"/>
      <c r="X26" s="1054"/>
      <c r="Y26" s="949"/>
      <c r="Z26" s="949"/>
      <c r="AA26" s="949"/>
      <c r="AB26" s="949"/>
      <c r="AC26" s="950"/>
    </row>
    <row r="27" spans="1:29" ht="24.65" customHeight="1">
      <c r="A27" s="1050"/>
      <c r="B27" s="1051"/>
      <c r="C27" s="1051"/>
      <c r="D27" s="1051"/>
      <c r="E27" s="1052"/>
      <c r="F27" s="1049"/>
      <c r="G27" s="1048"/>
      <c r="H27" s="1048"/>
      <c r="I27" s="1048"/>
      <c r="J27" s="1048"/>
      <c r="K27" s="1048"/>
      <c r="L27" s="1048"/>
      <c r="M27" s="1048"/>
      <c r="N27" s="1048"/>
      <c r="O27" s="1048"/>
      <c r="P27" s="1048"/>
      <c r="Q27" s="1048"/>
      <c r="R27" s="1053"/>
      <c r="S27" s="898"/>
      <c r="T27" s="898"/>
      <c r="U27" s="898"/>
      <c r="V27" s="898"/>
      <c r="W27" s="898"/>
      <c r="X27" s="1053"/>
      <c r="Y27" s="898"/>
      <c r="Z27" s="898"/>
      <c r="AA27" s="898"/>
      <c r="AB27" s="898"/>
      <c r="AC27" s="899"/>
    </row>
    <row r="28" spans="1:29" ht="24.65" customHeight="1">
      <c r="A28" s="1050"/>
      <c r="B28" s="1051"/>
      <c r="C28" s="1051"/>
      <c r="D28" s="1051"/>
      <c r="E28" s="1052"/>
      <c r="F28" s="1048"/>
      <c r="G28" s="1048"/>
      <c r="H28" s="1048"/>
      <c r="I28" s="1048"/>
      <c r="J28" s="1048"/>
      <c r="K28" s="1048"/>
      <c r="L28" s="1048"/>
      <c r="M28" s="1048"/>
      <c r="N28" s="1048"/>
      <c r="O28" s="1048"/>
      <c r="P28" s="1048"/>
      <c r="Q28" s="1048"/>
      <c r="R28" s="1053"/>
      <c r="S28" s="898"/>
      <c r="T28" s="898"/>
      <c r="U28" s="898"/>
      <c r="V28" s="898"/>
      <c r="W28" s="898"/>
      <c r="X28" s="1053"/>
      <c r="Y28" s="898"/>
      <c r="Z28" s="898"/>
      <c r="AA28" s="898"/>
      <c r="AB28" s="898"/>
      <c r="AC28" s="899"/>
    </row>
    <row r="29" spans="1:29" ht="24.65" customHeight="1">
      <c r="A29" s="1050"/>
      <c r="B29" s="1051"/>
      <c r="C29" s="1051"/>
      <c r="D29" s="1051"/>
      <c r="E29" s="1052"/>
      <c r="F29" s="1048"/>
      <c r="G29" s="1048"/>
      <c r="H29" s="1048"/>
      <c r="I29" s="1048"/>
      <c r="J29" s="1048"/>
      <c r="K29" s="1048"/>
      <c r="L29" s="1048"/>
      <c r="M29" s="1048"/>
      <c r="N29" s="1048"/>
      <c r="O29" s="1048"/>
      <c r="P29" s="1048"/>
      <c r="Q29" s="1048"/>
      <c r="R29" s="1053"/>
      <c r="S29" s="898"/>
      <c r="T29" s="898"/>
      <c r="U29" s="898"/>
      <c r="V29" s="898"/>
      <c r="W29" s="898"/>
      <c r="X29" s="1053"/>
      <c r="Y29" s="898"/>
      <c r="Z29" s="898"/>
      <c r="AA29" s="898"/>
      <c r="AB29" s="898"/>
      <c r="AC29" s="899"/>
    </row>
    <row r="30" spans="1:29" ht="24.65" customHeight="1">
      <c r="A30" s="1050"/>
      <c r="B30" s="1051"/>
      <c r="C30" s="1051"/>
      <c r="D30" s="1051"/>
      <c r="E30" s="1052"/>
      <c r="F30" s="1048"/>
      <c r="G30" s="1048"/>
      <c r="H30" s="1048"/>
      <c r="I30" s="1048"/>
      <c r="J30" s="1048"/>
      <c r="K30" s="1048"/>
      <c r="L30" s="1048"/>
      <c r="M30" s="1048"/>
      <c r="N30" s="1048"/>
      <c r="O30" s="1048"/>
      <c r="P30" s="1048"/>
      <c r="Q30" s="1048"/>
      <c r="R30" s="1055"/>
      <c r="S30" s="898"/>
      <c r="T30" s="898"/>
      <c r="U30" s="898"/>
      <c r="V30" s="898"/>
      <c r="W30" s="898"/>
      <c r="X30" s="1053"/>
      <c r="Y30" s="898"/>
      <c r="Z30" s="898"/>
      <c r="AA30" s="898"/>
      <c r="AB30" s="898"/>
      <c r="AC30" s="899"/>
    </row>
    <row r="31" spans="1:29" ht="24.65" customHeight="1">
      <c r="A31" s="1050"/>
      <c r="B31" s="1051"/>
      <c r="C31" s="1051"/>
      <c r="D31" s="1051"/>
      <c r="E31" s="1052"/>
      <c r="F31" s="1048"/>
      <c r="G31" s="1048"/>
      <c r="H31" s="1048"/>
      <c r="I31" s="1048"/>
      <c r="J31" s="1048"/>
      <c r="K31" s="1048"/>
      <c r="L31" s="1048"/>
      <c r="M31" s="1048"/>
      <c r="N31" s="1048"/>
      <c r="O31" s="1048"/>
      <c r="P31" s="1048"/>
      <c r="Q31" s="1048"/>
      <c r="R31" s="1055"/>
      <c r="S31" s="898"/>
      <c r="T31" s="898"/>
      <c r="U31" s="898"/>
      <c r="V31" s="898"/>
      <c r="W31" s="898"/>
      <c r="X31" s="1053"/>
      <c r="Y31" s="898"/>
      <c r="Z31" s="898"/>
      <c r="AA31" s="898"/>
      <c r="AB31" s="898"/>
      <c r="AC31" s="899"/>
    </row>
    <row r="32" spans="1:29" ht="24.65" customHeight="1">
      <c r="A32" s="1050"/>
      <c r="B32" s="1051"/>
      <c r="C32" s="1051"/>
      <c r="D32" s="1051"/>
      <c r="E32" s="1052"/>
      <c r="F32" s="1049"/>
      <c r="G32" s="1048"/>
      <c r="H32" s="1048"/>
      <c r="I32" s="1048"/>
      <c r="J32" s="1048"/>
      <c r="K32" s="1048"/>
      <c r="L32" s="1048"/>
      <c r="M32" s="1048"/>
      <c r="N32" s="1048"/>
      <c r="O32" s="1048"/>
      <c r="P32" s="1048"/>
      <c r="Q32" s="1048"/>
      <c r="R32" s="1053"/>
      <c r="S32" s="898"/>
      <c r="T32" s="898"/>
      <c r="U32" s="898"/>
      <c r="V32" s="898"/>
      <c r="W32" s="898"/>
      <c r="X32" s="1053"/>
      <c r="Y32" s="898"/>
      <c r="Z32" s="898"/>
      <c r="AA32" s="898"/>
      <c r="AB32" s="898"/>
      <c r="AC32" s="899"/>
    </row>
    <row r="33" spans="1:44" ht="24.65" customHeight="1">
      <c r="A33" s="1050"/>
      <c r="B33" s="1051"/>
      <c r="C33" s="1051"/>
      <c r="D33" s="1051"/>
      <c r="E33" s="1052"/>
      <c r="F33" s="1049"/>
      <c r="G33" s="1048"/>
      <c r="H33" s="1048"/>
      <c r="I33" s="1048"/>
      <c r="J33" s="1048"/>
      <c r="K33" s="1048"/>
      <c r="L33" s="1048"/>
      <c r="M33" s="1048"/>
      <c r="N33" s="1048"/>
      <c r="O33" s="1048"/>
      <c r="P33" s="1048"/>
      <c r="Q33" s="1048"/>
      <c r="R33" s="1053"/>
      <c r="S33" s="898"/>
      <c r="T33" s="898"/>
      <c r="U33" s="898"/>
      <c r="V33" s="898"/>
      <c r="W33" s="898"/>
      <c r="X33" s="1053"/>
      <c r="Y33" s="898"/>
      <c r="Z33" s="898"/>
      <c r="AA33" s="898"/>
      <c r="AB33" s="898"/>
      <c r="AC33" s="899"/>
    </row>
    <row r="34" spans="1:44" ht="24.65" customHeight="1">
      <c r="A34" s="1050"/>
      <c r="B34" s="1051"/>
      <c r="C34" s="1051"/>
      <c r="D34" s="1051"/>
      <c r="E34" s="1052"/>
      <c r="F34" s="1049"/>
      <c r="G34" s="1048"/>
      <c r="H34" s="1048"/>
      <c r="I34" s="1048"/>
      <c r="J34" s="1048"/>
      <c r="K34" s="1048"/>
      <c r="L34" s="1048"/>
      <c r="M34" s="1048"/>
      <c r="N34" s="1048"/>
      <c r="O34" s="1048"/>
      <c r="P34" s="1048"/>
      <c r="Q34" s="1048"/>
      <c r="R34" s="1055"/>
      <c r="S34" s="898"/>
      <c r="T34" s="898"/>
      <c r="U34" s="898"/>
      <c r="V34" s="898"/>
      <c r="W34" s="898"/>
      <c r="X34" s="1053"/>
      <c r="Y34" s="898"/>
      <c r="Z34" s="898"/>
      <c r="AA34" s="898"/>
      <c r="AB34" s="898"/>
      <c r="AC34" s="899"/>
    </row>
    <row r="35" spans="1:44" ht="24.65" customHeight="1">
      <c r="A35" s="1050"/>
      <c r="B35" s="1051"/>
      <c r="C35" s="1051"/>
      <c r="D35" s="1051"/>
      <c r="E35" s="1052"/>
      <c r="F35" s="1049"/>
      <c r="G35" s="1048"/>
      <c r="H35" s="1048"/>
      <c r="I35" s="1048"/>
      <c r="J35" s="1048"/>
      <c r="K35" s="1048"/>
      <c r="L35" s="1048"/>
      <c r="M35" s="1048"/>
      <c r="N35" s="1048"/>
      <c r="O35" s="1048"/>
      <c r="P35" s="1048"/>
      <c r="Q35" s="1048"/>
      <c r="R35" s="1055"/>
      <c r="S35" s="898"/>
      <c r="T35" s="898"/>
      <c r="U35" s="898"/>
      <c r="V35" s="898"/>
      <c r="W35" s="898"/>
      <c r="X35" s="1053"/>
      <c r="Y35" s="898"/>
      <c r="Z35" s="898"/>
      <c r="AA35" s="898"/>
      <c r="AB35" s="898"/>
      <c r="AC35" s="899"/>
    </row>
    <row r="36" spans="1:44" ht="24.65" customHeight="1">
      <c r="A36" s="95"/>
      <c r="B36" s="96"/>
      <c r="C36" s="96"/>
      <c r="D36" s="96"/>
      <c r="E36" s="97"/>
      <c r="F36" s="98"/>
      <c r="G36" s="99"/>
      <c r="H36" s="99"/>
      <c r="I36" s="99"/>
      <c r="J36" s="99"/>
      <c r="K36" s="99"/>
      <c r="L36" s="99"/>
      <c r="M36" s="99"/>
      <c r="N36" s="99"/>
      <c r="O36" s="99"/>
      <c r="P36" s="99"/>
      <c r="Q36" s="99"/>
      <c r="R36" s="100"/>
      <c r="S36" s="101"/>
      <c r="T36" s="101"/>
      <c r="U36" s="101"/>
      <c r="V36" s="101"/>
      <c r="W36" s="102"/>
      <c r="X36" s="100"/>
      <c r="Y36" s="101"/>
      <c r="Z36" s="101"/>
      <c r="AA36" s="101"/>
      <c r="AB36" s="101"/>
      <c r="AC36" s="103"/>
    </row>
    <row r="37" spans="1:44" ht="24.65" customHeight="1">
      <c r="A37" s="286"/>
      <c r="B37" s="1058"/>
      <c r="C37" s="1058"/>
      <c r="D37" s="1058"/>
      <c r="E37" s="97"/>
      <c r="F37" s="98"/>
      <c r="G37" s="99"/>
      <c r="H37" s="99"/>
      <c r="I37" s="99"/>
      <c r="J37" s="99"/>
      <c r="K37" s="99"/>
      <c r="L37" s="99"/>
      <c r="M37" s="99"/>
      <c r="N37" s="99"/>
      <c r="O37" s="99"/>
      <c r="P37" s="99"/>
      <c r="Q37" s="99"/>
      <c r="R37" s="100"/>
      <c r="S37" s="1057"/>
      <c r="T37" s="1057"/>
      <c r="U37" s="1057"/>
      <c r="V37" s="1057"/>
      <c r="W37" s="102"/>
      <c r="X37" s="100"/>
      <c r="Y37" s="1057"/>
      <c r="Z37" s="1057"/>
      <c r="AA37" s="1057"/>
      <c r="AB37" s="1057"/>
      <c r="AC37" s="103"/>
    </row>
    <row r="38" spans="1:44" ht="24.65" customHeight="1" thickBot="1">
      <c r="A38" s="105"/>
      <c r="B38" s="1062"/>
      <c r="C38" s="1062"/>
      <c r="D38" s="1062"/>
      <c r="E38" s="106"/>
      <c r="F38" s="107"/>
      <c r="G38" s="107"/>
      <c r="H38" s="107"/>
      <c r="I38" s="107"/>
      <c r="J38" s="107"/>
      <c r="K38" s="107"/>
      <c r="L38" s="107"/>
      <c r="M38" s="107"/>
      <c r="N38" s="107"/>
      <c r="O38" s="107"/>
      <c r="P38" s="107"/>
      <c r="Q38" s="107"/>
      <c r="R38" s="108"/>
      <c r="S38" s="1056"/>
      <c r="T38" s="1056"/>
      <c r="U38" s="1056"/>
      <c r="V38" s="1056"/>
      <c r="W38" s="109"/>
      <c r="X38" s="108"/>
      <c r="Y38" s="1056"/>
      <c r="Z38" s="1056"/>
      <c r="AA38" s="1056"/>
      <c r="AB38" s="1056"/>
      <c r="AC38" s="110"/>
    </row>
    <row r="41" spans="1:44" ht="14.5" thickBot="1">
      <c r="AE41" s="111"/>
      <c r="AF41" s="8" t="s">
        <v>95</v>
      </c>
    </row>
    <row r="42" spans="1:44" ht="18">
      <c r="AD42" s="112" t="s">
        <v>0</v>
      </c>
      <c r="AE42" s="113"/>
      <c r="AF42" s="113"/>
      <c r="AG42" s="113"/>
      <c r="AH42" s="113"/>
      <c r="AI42" s="113"/>
      <c r="AJ42" s="113"/>
      <c r="AK42" s="113"/>
      <c r="AL42" s="113"/>
      <c r="AM42" s="113"/>
      <c r="AN42" s="113"/>
      <c r="AO42" s="113"/>
      <c r="AP42" s="113"/>
      <c r="AQ42" s="113"/>
      <c r="AR42" s="114"/>
    </row>
    <row r="43" spans="1:44">
      <c r="AD43" s="115" t="s">
        <v>1</v>
      </c>
      <c r="AF43" s="116">
        <v>45352</v>
      </c>
      <c r="AG43" s="116">
        <v>45383</v>
      </c>
      <c r="AH43" s="116">
        <v>45413</v>
      </c>
      <c r="AI43" s="116">
        <v>45444</v>
      </c>
      <c r="AJ43" s="116">
        <v>45474</v>
      </c>
      <c r="AK43" s="116">
        <v>45505</v>
      </c>
      <c r="AL43" s="116">
        <v>45536</v>
      </c>
      <c r="AM43" s="116">
        <v>45566</v>
      </c>
      <c r="AN43" s="116">
        <v>45597</v>
      </c>
      <c r="AO43" s="116">
        <v>45627</v>
      </c>
      <c r="AP43" s="116">
        <v>45658</v>
      </c>
      <c r="AQ43" s="116">
        <v>45689</v>
      </c>
      <c r="AR43" s="117">
        <v>45717</v>
      </c>
    </row>
    <row r="44" spans="1:44">
      <c r="AD44" s="118">
        <f>(AR44-AF44)/12</f>
        <v>0</v>
      </c>
      <c r="AE44" s="119"/>
      <c r="AF44" s="119">
        <f>AR44</f>
        <v>2</v>
      </c>
      <c r="AG44" s="119">
        <v>2</v>
      </c>
      <c r="AH44" s="119">
        <f t="shared" ref="AH44:AQ44" si="0">AG44+$AD$44</f>
        <v>2</v>
      </c>
      <c r="AI44" s="119">
        <f t="shared" si="0"/>
        <v>2</v>
      </c>
      <c r="AJ44" s="119">
        <f t="shared" si="0"/>
        <v>2</v>
      </c>
      <c r="AK44" s="119">
        <f t="shared" si="0"/>
        <v>2</v>
      </c>
      <c r="AL44" s="119">
        <f t="shared" si="0"/>
        <v>2</v>
      </c>
      <c r="AM44" s="119">
        <f t="shared" si="0"/>
        <v>2</v>
      </c>
      <c r="AN44" s="119">
        <f t="shared" si="0"/>
        <v>2</v>
      </c>
      <c r="AO44" s="119">
        <f t="shared" si="0"/>
        <v>2</v>
      </c>
      <c r="AP44" s="119">
        <f t="shared" si="0"/>
        <v>2</v>
      </c>
      <c r="AQ44" s="119">
        <f t="shared" si="0"/>
        <v>2</v>
      </c>
      <c r="AR44" s="120">
        <v>2</v>
      </c>
    </row>
    <row r="45" spans="1:44">
      <c r="AD45" s="118">
        <f>(AR45-AF45)/12</f>
        <v>0</v>
      </c>
      <c r="AE45" s="121" t="s">
        <v>2</v>
      </c>
      <c r="AF45" s="119">
        <f>AR44</f>
        <v>2</v>
      </c>
      <c r="AG45" s="119">
        <v>2</v>
      </c>
      <c r="AH45" s="119">
        <f t="shared" ref="AH45:AQ45" si="1">AG45+$AD$45</f>
        <v>2</v>
      </c>
      <c r="AI45" s="119">
        <f t="shared" si="1"/>
        <v>2</v>
      </c>
      <c r="AJ45" s="119">
        <f t="shared" si="1"/>
        <v>2</v>
      </c>
      <c r="AK45" s="119">
        <f t="shared" si="1"/>
        <v>2</v>
      </c>
      <c r="AL45" s="119">
        <f t="shared" si="1"/>
        <v>2</v>
      </c>
      <c r="AM45" s="119">
        <f t="shared" si="1"/>
        <v>2</v>
      </c>
      <c r="AN45" s="119">
        <f t="shared" si="1"/>
        <v>2</v>
      </c>
      <c r="AO45" s="119">
        <f t="shared" si="1"/>
        <v>2</v>
      </c>
      <c r="AP45" s="119">
        <f t="shared" si="1"/>
        <v>2</v>
      </c>
      <c r="AQ45" s="119">
        <f t="shared" si="1"/>
        <v>2</v>
      </c>
      <c r="AR45" s="122">
        <f>AR44-(AR44-AR47)*0.5</f>
        <v>2</v>
      </c>
    </row>
    <row r="46" spans="1:44">
      <c r="AD46" s="118">
        <f>(AR46-AF46)/12</f>
        <v>0</v>
      </c>
      <c r="AE46" s="123" t="s">
        <v>2</v>
      </c>
      <c r="AF46" s="119">
        <f>AR44</f>
        <v>2</v>
      </c>
      <c r="AG46" s="119">
        <v>2</v>
      </c>
      <c r="AH46" s="119">
        <f t="shared" ref="AH46:AQ46" si="2">AG46+$AD$46</f>
        <v>2</v>
      </c>
      <c r="AI46" s="119">
        <f t="shared" si="2"/>
        <v>2</v>
      </c>
      <c r="AJ46" s="119">
        <f t="shared" si="2"/>
        <v>2</v>
      </c>
      <c r="AK46" s="119">
        <f t="shared" si="2"/>
        <v>2</v>
      </c>
      <c r="AL46" s="119">
        <f t="shared" si="2"/>
        <v>2</v>
      </c>
      <c r="AM46" s="119">
        <f t="shared" si="2"/>
        <v>2</v>
      </c>
      <c r="AN46" s="119">
        <f t="shared" si="2"/>
        <v>2</v>
      </c>
      <c r="AO46" s="119">
        <f t="shared" si="2"/>
        <v>2</v>
      </c>
      <c r="AP46" s="119">
        <f t="shared" si="2"/>
        <v>2</v>
      </c>
      <c r="AQ46" s="119">
        <f t="shared" si="2"/>
        <v>2</v>
      </c>
      <c r="AR46" s="124">
        <f>AR44-(AR44-AR47)*0.8</f>
        <v>2</v>
      </c>
    </row>
    <row r="47" spans="1:44">
      <c r="AD47" s="118">
        <f>(AR47-AF47)/12</f>
        <v>0</v>
      </c>
      <c r="AE47" s="125" t="s">
        <v>2</v>
      </c>
      <c r="AF47" s="119">
        <f>AR44</f>
        <v>2</v>
      </c>
      <c r="AG47" s="119">
        <v>2</v>
      </c>
      <c r="AH47" s="119">
        <f>AG47+$AD$47</f>
        <v>2</v>
      </c>
      <c r="AI47" s="119">
        <f t="shared" ref="AI47:AQ47" si="3">AH47+$AD$47</f>
        <v>2</v>
      </c>
      <c r="AJ47" s="119">
        <f t="shared" si="3"/>
        <v>2</v>
      </c>
      <c r="AK47" s="119">
        <f t="shared" si="3"/>
        <v>2</v>
      </c>
      <c r="AL47" s="119">
        <f t="shared" si="3"/>
        <v>2</v>
      </c>
      <c r="AM47" s="119">
        <f t="shared" si="3"/>
        <v>2</v>
      </c>
      <c r="AN47" s="119">
        <f t="shared" si="3"/>
        <v>2</v>
      </c>
      <c r="AO47" s="119">
        <f t="shared" si="3"/>
        <v>2</v>
      </c>
      <c r="AP47" s="119">
        <f t="shared" si="3"/>
        <v>2</v>
      </c>
      <c r="AQ47" s="119">
        <f t="shared" si="3"/>
        <v>2</v>
      </c>
      <c r="AR47" s="126">
        <v>2</v>
      </c>
    </row>
    <row r="48" spans="1:44">
      <c r="AD48" s="893" t="s">
        <v>3</v>
      </c>
      <c r="AE48" s="894"/>
      <c r="AF48" s="127"/>
      <c r="AG48" s="128">
        <v>0</v>
      </c>
      <c r="AH48" s="128">
        <f t="shared" ref="AH48:AR48" si="4">AG48+AH50</f>
        <v>0</v>
      </c>
      <c r="AI48" s="128">
        <f t="shared" si="4"/>
        <v>0</v>
      </c>
      <c r="AJ48" s="128">
        <f t="shared" si="4"/>
        <v>1</v>
      </c>
      <c r="AK48" s="128">
        <f t="shared" si="4"/>
        <v>1</v>
      </c>
      <c r="AL48" s="128">
        <f t="shared" si="4"/>
        <v>1</v>
      </c>
      <c r="AM48" s="128">
        <f t="shared" si="4"/>
        <v>1</v>
      </c>
      <c r="AN48" s="128">
        <f t="shared" si="4"/>
        <v>1</v>
      </c>
      <c r="AO48" s="128">
        <f t="shared" si="4"/>
        <v>1</v>
      </c>
      <c r="AP48" s="128">
        <f t="shared" si="4"/>
        <v>1</v>
      </c>
      <c r="AQ48" s="128">
        <f t="shared" si="4"/>
        <v>1</v>
      </c>
      <c r="AR48" s="129">
        <f t="shared" si="4"/>
        <v>1</v>
      </c>
    </row>
    <row r="49" spans="30:44">
      <c r="AD49" s="130"/>
      <c r="AE49" s="131"/>
      <c r="AF49" s="127"/>
      <c r="AG49" s="127"/>
      <c r="AH49" s="128"/>
      <c r="AI49" s="127"/>
      <c r="AJ49" s="127"/>
      <c r="AK49" s="127"/>
      <c r="AL49" s="128"/>
      <c r="AM49" s="128"/>
      <c r="AN49" s="128"/>
      <c r="AO49" s="128"/>
      <c r="AP49" s="128"/>
      <c r="AQ49" s="128"/>
      <c r="AR49" s="129"/>
    </row>
    <row r="50" spans="30:44">
      <c r="AD50" s="893" t="s">
        <v>4</v>
      </c>
      <c r="AE50" s="894"/>
      <c r="AF50" s="104"/>
      <c r="AG50" s="132">
        <v>0</v>
      </c>
      <c r="AH50" s="132">
        <v>0</v>
      </c>
      <c r="AI50" s="132">
        <v>0</v>
      </c>
      <c r="AJ50" s="132">
        <v>1</v>
      </c>
      <c r="AK50" s="132">
        <v>0</v>
      </c>
      <c r="AL50" s="132"/>
      <c r="AM50" s="132"/>
      <c r="AN50" s="132"/>
      <c r="AO50" s="132"/>
      <c r="AP50" s="132"/>
      <c r="AQ50" s="132"/>
      <c r="AR50" s="133"/>
    </row>
    <row r="51" spans="30:44">
      <c r="AD51" s="130"/>
      <c r="AE51" s="131"/>
      <c r="AF51" s="134"/>
      <c r="AG51" s="134">
        <v>0</v>
      </c>
      <c r="AH51" s="134">
        <f>AH50</f>
        <v>0</v>
      </c>
      <c r="AI51" s="134">
        <f>AI50</f>
        <v>0</v>
      </c>
      <c r="AJ51" s="134">
        <f>AJ50</f>
        <v>1</v>
      </c>
      <c r="AK51" s="134">
        <f t="shared" ref="AK51:AR51" si="5">AK50</f>
        <v>0</v>
      </c>
      <c r="AL51" s="134">
        <f t="shared" si="5"/>
        <v>0</v>
      </c>
      <c r="AM51" s="134">
        <f t="shared" si="5"/>
        <v>0</v>
      </c>
      <c r="AN51" s="134">
        <f t="shared" si="5"/>
        <v>0</v>
      </c>
      <c r="AO51" s="134">
        <f t="shared" si="5"/>
        <v>0</v>
      </c>
      <c r="AP51" s="134">
        <f t="shared" si="5"/>
        <v>0</v>
      </c>
      <c r="AQ51" s="134">
        <f t="shared" si="5"/>
        <v>0</v>
      </c>
      <c r="AR51" s="135">
        <f t="shared" si="5"/>
        <v>0</v>
      </c>
    </row>
    <row r="52" spans="30:44">
      <c r="AD52" s="893" t="s">
        <v>5</v>
      </c>
      <c r="AE52" s="894"/>
      <c r="AG52" s="136">
        <v>1</v>
      </c>
      <c r="AH52" s="136">
        <v>1</v>
      </c>
      <c r="AI52" s="136">
        <v>1</v>
      </c>
      <c r="AJ52" s="136" t="e">
        <f t="shared" ref="AJ52:AR52" si="6">(AJ44-AJ48)/(AJ44-AJ47)</f>
        <v>#DIV/0!</v>
      </c>
      <c r="AK52" s="198" t="e">
        <f t="shared" si="6"/>
        <v>#DIV/0!</v>
      </c>
      <c r="AL52" s="136" t="e">
        <f t="shared" si="6"/>
        <v>#DIV/0!</v>
      </c>
      <c r="AM52" s="136" t="e">
        <f t="shared" si="6"/>
        <v>#DIV/0!</v>
      </c>
      <c r="AN52" s="136" t="e">
        <f t="shared" si="6"/>
        <v>#DIV/0!</v>
      </c>
      <c r="AO52" s="136" t="e">
        <f t="shared" si="6"/>
        <v>#DIV/0!</v>
      </c>
      <c r="AP52" s="136" t="e">
        <f t="shared" si="6"/>
        <v>#DIV/0!</v>
      </c>
      <c r="AQ52" s="136" t="e">
        <f t="shared" si="6"/>
        <v>#DIV/0!</v>
      </c>
      <c r="AR52" s="137" t="e">
        <f t="shared" si="6"/>
        <v>#DIV/0!</v>
      </c>
    </row>
    <row r="53" spans="30:44">
      <c r="AD53" s="893" t="s">
        <v>6</v>
      </c>
      <c r="AE53" s="894"/>
      <c r="AG53" s="138">
        <v>1</v>
      </c>
      <c r="AH53" s="138">
        <v>1</v>
      </c>
      <c r="AI53" s="138">
        <f t="shared" ref="AI53:AQ53" si="7">IF(OR(AI52&gt;=100%),100%,IF(OR(AI52&lt;=0%),0%,AVERAGE(AI52)))</f>
        <v>1</v>
      </c>
      <c r="AJ53" s="138">
        <v>1</v>
      </c>
      <c r="AK53" s="138">
        <v>0</v>
      </c>
      <c r="AL53" s="138" t="e">
        <f t="shared" si="7"/>
        <v>#DIV/0!</v>
      </c>
      <c r="AM53" s="138" t="e">
        <f>IF(OR(AM52&gt;=100%),100%,IF(OR(AM52&lt;=0%),0%,AVERAGE(AM52)))</f>
        <v>#DIV/0!</v>
      </c>
      <c r="AN53" s="138" t="e">
        <f t="shared" si="7"/>
        <v>#DIV/0!</v>
      </c>
      <c r="AO53" s="138" t="e">
        <f t="shared" si="7"/>
        <v>#DIV/0!</v>
      </c>
      <c r="AP53" s="138" t="e">
        <f t="shared" si="7"/>
        <v>#DIV/0!</v>
      </c>
      <c r="AQ53" s="138" t="e">
        <f t="shared" si="7"/>
        <v>#DIV/0!</v>
      </c>
      <c r="AR53" s="139" t="e">
        <f>IF(OR(AR52&gt;=100%),100%,IF(OR(AR52&lt;=0%),0%,AVERAGE(AR52)))</f>
        <v>#DIV/0!</v>
      </c>
    </row>
    <row r="54" spans="30:44">
      <c r="AD54" s="905" t="s">
        <v>7</v>
      </c>
      <c r="AE54" s="906"/>
      <c r="AF54" s="140"/>
      <c r="AG54" s="625">
        <f>AG53*0.05</f>
        <v>0.05</v>
      </c>
      <c r="AH54" s="625">
        <f>AH53*0.05</f>
        <v>0.05</v>
      </c>
      <c r="AI54" s="625">
        <f t="shared" ref="AI54:AR54" si="8">AI53*0.05</f>
        <v>0.05</v>
      </c>
      <c r="AJ54" s="625">
        <f t="shared" si="8"/>
        <v>0.05</v>
      </c>
      <c r="AK54" s="626">
        <f t="shared" si="8"/>
        <v>0</v>
      </c>
      <c r="AL54" s="141" t="e">
        <f t="shared" si="8"/>
        <v>#DIV/0!</v>
      </c>
      <c r="AM54" s="141" t="e">
        <f t="shared" si="8"/>
        <v>#DIV/0!</v>
      </c>
      <c r="AN54" s="141" t="e">
        <f t="shared" si="8"/>
        <v>#DIV/0!</v>
      </c>
      <c r="AO54" s="141" t="e">
        <f t="shared" si="8"/>
        <v>#DIV/0!</v>
      </c>
      <c r="AP54" s="141" t="e">
        <f t="shared" si="8"/>
        <v>#DIV/0!</v>
      </c>
      <c r="AQ54" s="141" t="e">
        <f t="shared" si="8"/>
        <v>#DIV/0!</v>
      </c>
      <c r="AR54" s="142" t="e">
        <f t="shared" si="8"/>
        <v>#DIV/0!</v>
      </c>
    </row>
    <row r="55" spans="30:44">
      <c r="AD55" s="143"/>
      <c r="AE55" s="144"/>
      <c r="AF55" s="144"/>
      <c r="AG55" s="145"/>
      <c r="AH55" s="145"/>
      <c r="AI55" s="145"/>
      <c r="AJ55" s="145"/>
      <c r="AK55" s="145"/>
      <c r="AL55" s="145"/>
      <c r="AM55" s="145"/>
      <c r="AN55" s="145"/>
      <c r="AO55" s="145"/>
      <c r="AP55" s="145"/>
      <c r="AQ55" s="145"/>
      <c r="AR55" s="146"/>
    </row>
    <row r="56" spans="30:44">
      <c r="AD56" s="143"/>
      <c r="AE56" s="144"/>
      <c r="AF56" s="144"/>
      <c r="AG56" s="145"/>
      <c r="AH56" s="145"/>
      <c r="AI56" s="145"/>
      <c r="AJ56" s="145"/>
      <c r="AK56" s="145"/>
      <c r="AL56" s="145"/>
      <c r="AM56" s="145"/>
      <c r="AN56" s="145"/>
      <c r="AO56" s="145"/>
      <c r="AP56" s="145"/>
      <c r="AQ56" s="145"/>
      <c r="AR56" s="146"/>
    </row>
    <row r="57" spans="30:44">
      <c r="AD57" s="115" t="s">
        <v>8</v>
      </c>
      <c r="AF57" s="116">
        <v>45352</v>
      </c>
      <c r="AG57" s="116">
        <v>45383</v>
      </c>
      <c r="AH57" s="116">
        <v>45413</v>
      </c>
      <c r="AI57" s="116">
        <v>45444</v>
      </c>
      <c r="AJ57" s="116">
        <v>45474</v>
      </c>
      <c r="AK57" s="116">
        <v>45505</v>
      </c>
      <c r="AL57" s="116">
        <v>45536</v>
      </c>
      <c r="AM57" s="116">
        <v>45566</v>
      </c>
      <c r="AN57" s="116">
        <v>45597</v>
      </c>
      <c r="AO57" s="116">
        <v>45627</v>
      </c>
      <c r="AP57" s="116">
        <v>45658</v>
      </c>
      <c r="AQ57" s="116">
        <v>45689</v>
      </c>
      <c r="AR57" s="117">
        <v>45717</v>
      </c>
    </row>
    <row r="58" spans="30:44">
      <c r="AD58" s="118">
        <f>(AR58-AF58)/12</f>
        <v>0</v>
      </c>
      <c r="AE58" s="119"/>
      <c r="AF58" s="119">
        <f>AR58</f>
        <v>0</v>
      </c>
      <c r="AG58" s="119">
        <v>0</v>
      </c>
      <c r="AH58" s="119">
        <f t="shared" ref="AH58:AQ58" si="9">AG58+$AD$58</f>
        <v>0</v>
      </c>
      <c r="AI58" s="119">
        <f t="shared" si="9"/>
        <v>0</v>
      </c>
      <c r="AJ58" s="119">
        <f t="shared" si="9"/>
        <v>0</v>
      </c>
      <c r="AK58" s="119">
        <f t="shared" si="9"/>
        <v>0</v>
      </c>
      <c r="AL58" s="119">
        <f t="shared" si="9"/>
        <v>0</v>
      </c>
      <c r="AM58" s="119">
        <f t="shared" si="9"/>
        <v>0</v>
      </c>
      <c r="AN58" s="119">
        <f t="shared" si="9"/>
        <v>0</v>
      </c>
      <c r="AO58" s="119">
        <f t="shared" si="9"/>
        <v>0</v>
      </c>
      <c r="AP58" s="119">
        <f t="shared" si="9"/>
        <v>0</v>
      </c>
      <c r="AQ58" s="119">
        <f t="shared" si="9"/>
        <v>0</v>
      </c>
      <c r="AR58" s="120">
        <v>0</v>
      </c>
    </row>
    <row r="59" spans="30:44">
      <c r="AD59" s="118">
        <f>(AR59-AF59)/12</f>
        <v>4.1666666666666664E-2</v>
      </c>
      <c r="AE59" s="121" t="s">
        <v>2</v>
      </c>
      <c r="AF59" s="119">
        <f>AR58</f>
        <v>0</v>
      </c>
      <c r="AG59" s="119">
        <v>4.1666666666666664E-2</v>
      </c>
      <c r="AH59" s="119">
        <f t="shared" ref="AH59:AQ59" si="10">AG59+$AD$59</f>
        <v>8.3333333333333329E-2</v>
      </c>
      <c r="AI59" s="119">
        <f t="shared" si="10"/>
        <v>0.125</v>
      </c>
      <c r="AJ59" s="119">
        <f t="shared" si="10"/>
        <v>0.16666666666666666</v>
      </c>
      <c r="AK59" s="119">
        <f t="shared" si="10"/>
        <v>0.20833333333333331</v>
      </c>
      <c r="AL59" s="119">
        <f t="shared" si="10"/>
        <v>0.24999999999999997</v>
      </c>
      <c r="AM59" s="119">
        <f t="shared" si="10"/>
        <v>0.29166666666666663</v>
      </c>
      <c r="AN59" s="119">
        <f t="shared" si="10"/>
        <v>0.33333333333333331</v>
      </c>
      <c r="AO59" s="119">
        <f t="shared" si="10"/>
        <v>0.375</v>
      </c>
      <c r="AP59" s="119">
        <f t="shared" si="10"/>
        <v>0.41666666666666669</v>
      </c>
      <c r="AQ59" s="119">
        <f t="shared" si="10"/>
        <v>0.45833333333333337</v>
      </c>
      <c r="AR59" s="122">
        <f>AR58-(AR58-AR61)*0.5</f>
        <v>0.5</v>
      </c>
    </row>
    <row r="60" spans="30:44">
      <c r="AD60" s="118">
        <f>(AR60-AF60)/12</f>
        <v>6.6666666666666666E-2</v>
      </c>
      <c r="AE60" s="123" t="s">
        <v>2</v>
      </c>
      <c r="AF60" s="119">
        <f>AR58</f>
        <v>0</v>
      </c>
      <c r="AG60" s="119">
        <v>6.6666666666666666E-2</v>
      </c>
      <c r="AH60" s="119">
        <f t="shared" ref="AH60:AQ60" si="11">AG60+$AD$60</f>
        <v>0.13333333333333333</v>
      </c>
      <c r="AI60" s="119">
        <f t="shared" si="11"/>
        <v>0.2</v>
      </c>
      <c r="AJ60" s="119">
        <f t="shared" si="11"/>
        <v>0.26666666666666666</v>
      </c>
      <c r="AK60" s="119">
        <f t="shared" si="11"/>
        <v>0.33333333333333331</v>
      </c>
      <c r="AL60" s="119">
        <f t="shared" si="11"/>
        <v>0.39999999999999997</v>
      </c>
      <c r="AM60" s="119">
        <f t="shared" si="11"/>
        <v>0.46666666666666662</v>
      </c>
      <c r="AN60" s="119">
        <f t="shared" si="11"/>
        <v>0.53333333333333333</v>
      </c>
      <c r="AO60" s="119">
        <f t="shared" si="11"/>
        <v>0.6</v>
      </c>
      <c r="AP60" s="119">
        <f t="shared" si="11"/>
        <v>0.66666666666666663</v>
      </c>
      <c r="AQ60" s="119">
        <f t="shared" si="11"/>
        <v>0.73333333333333328</v>
      </c>
      <c r="AR60" s="124">
        <f>AR58-(AR58-AR61)*0.8</f>
        <v>0.8</v>
      </c>
    </row>
    <row r="61" spans="30:44">
      <c r="AD61" s="118">
        <f>(AR61-AF61)/12</f>
        <v>8.3333333333333329E-2</v>
      </c>
      <c r="AE61" s="125" t="s">
        <v>2</v>
      </c>
      <c r="AF61" s="119">
        <f>AR58</f>
        <v>0</v>
      </c>
      <c r="AG61" s="119">
        <v>8.3333333333333329E-2</v>
      </c>
      <c r="AH61" s="119">
        <f t="shared" ref="AH61:AQ61" si="12">AG61+$AD$61</f>
        <v>0.16666666666666666</v>
      </c>
      <c r="AI61" s="119">
        <f t="shared" si="12"/>
        <v>0.25</v>
      </c>
      <c r="AJ61" s="119">
        <f t="shared" si="12"/>
        <v>0.33333333333333331</v>
      </c>
      <c r="AK61" s="119">
        <f t="shared" si="12"/>
        <v>0.41666666666666663</v>
      </c>
      <c r="AL61" s="119">
        <f t="shared" si="12"/>
        <v>0.49999999999999994</v>
      </c>
      <c r="AM61" s="119">
        <f t="shared" si="12"/>
        <v>0.58333333333333326</v>
      </c>
      <c r="AN61" s="119">
        <f t="shared" si="12"/>
        <v>0.66666666666666663</v>
      </c>
      <c r="AO61" s="119">
        <f t="shared" si="12"/>
        <v>0.75</v>
      </c>
      <c r="AP61" s="119">
        <f t="shared" si="12"/>
        <v>0.83333333333333337</v>
      </c>
      <c r="AQ61" s="119">
        <f t="shared" si="12"/>
        <v>0.91666666666666674</v>
      </c>
      <c r="AR61" s="126">
        <v>1</v>
      </c>
    </row>
    <row r="62" spans="30:44">
      <c r="AD62" s="893" t="s">
        <v>3</v>
      </c>
      <c r="AE62" s="894"/>
      <c r="AF62" s="127"/>
      <c r="AG62" s="128">
        <v>0</v>
      </c>
      <c r="AH62" s="128">
        <f t="shared" ref="AH62:AP62" si="13">AG62+AH64</f>
        <v>0</v>
      </c>
      <c r="AI62" s="128">
        <f t="shared" si="13"/>
        <v>0</v>
      </c>
      <c r="AJ62" s="128">
        <f t="shared" si="13"/>
        <v>0</v>
      </c>
      <c r="AK62" s="128">
        <f t="shared" si="13"/>
        <v>0</v>
      </c>
      <c r="AL62" s="128">
        <f t="shared" si="13"/>
        <v>0</v>
      </c>
      <c r="AM62" s="128">
        <f>AL62+AM64</f>
        <v>0</v>
      </c>
      <c r="AN62" s="128">
        <f t="shared" si="13"/>
        <v>0</v>
      </c>
      <c r="AO62" s="128">
        <f t="shared" si="13"/>
        <v>0</v>
      </c>
      <c r="AP62" s="128">
        <f t="shared" si="13"/>
        <v>0</v>
      </c>
      <c r="AQ62" s="128">
        <f>AP62+AQ64</f>
        <v>0</v>
      </c>
      <c r="AR62" s="129">
        <f>AQ62+AR64</f>
        <v>0</v>
      </c>
    </row>
    <row r="63" spans="30:44">
      <c r="AD63" s="130"/>
      <c r="AE63" s="131"/>
      <c r="AF63" s="127"/>
      <c r="AG63" s="127"/>
      <c r="AH63" s="128"/>
      <c r="AI63" s="128"/>
      <c r="AJ63" s="127"/>
      <c r="AK63" s="127"/>
      <c r="AL63" s="128"/>
      <c r="AM63" s="128"/>
      <c r="AN63" s="128"/>
      <c r="AO63" s="128"/>
      <c r="AP63" s="128"/>
      <c r="AQ63" s="128"/>
      <c r="AR63" s="129"/>
    </row>
    <row r="64" spans="30:44" ht="15" customHeight="1">
      <c r="AD64" s="893" t="s">
        <v>4</v>
      </c>
      <c r="AE64" s="894"/>
      <c r="AF64" s="104"/>
      <c r="AG64" s="132">
        <v>0</v>
      </c>
      <c r="AH64" s="132">
        <v>0</v>
      </c>
      <c r="AI64" s="132">
        <v>0</v>
      </c>
      <c r="AJ64" s="132">
        <v>0</v>
      </c>
      <c r="AK64" s="132">
        <v>0</v>
      </c>
      <c r="AL64" s="132"/>
      <c r="AM64" s="132"/>
      <c r="AN64" s="132"/>
      <c r="AO64" s="132"/>
      <c r="AP64" s="132"/>
      <c r="AQ64" s="132"/>
      <c r="AR64" s="133"/>
    </row>
    <row r="65" spans="30:44">
      <c r="AD65" s="130"/>
      <c r="AE65" s="131"/>
      <c r="AF65" s="134"/>
      <c r="AG65" s="134">
        <v>0</v>
      </c>
      <c r="AH65" s="134">
        <f>AH64</f>
        <v>0</v>
      </c>
      <c r="AI65" s="134">
        <f>AI64</f>
        <v>0</v>
      </c>
      <c r="AJ65" s="134">
        <f>AJ64</f>
        <v>0</v>
      </c>
      <c r="AK65" s="134">
        <f>AK64</f>
        <v>0</v>
      </c>
      <c r="AL65" s="134">
        <f t="shared" ref="AL65:AR65" si="14">AL64</f>
        <v>0</v>
      </c>
      <c r="AM65" s="134">
        <f t="shared" si="14"/>
        <v>0</v>
      </c>
      <c r="AN65" s="134">
        <f t="shared" si="14"/>
        <v>0</v>
      </c>
      <c r="AO65" s="134">
        <f t="shared" si="14"/>
        <v>0</v>
      </c>
      <c r="AP65" s="134">
        <f t="shared" si="14"/>
        <v>0</v>
      </c>
      <c r="AQ65" s="134">
        <f t="shared" si="14"/>
        <v>0</v>
      </c>
      <c r="AR65" s="135">
        <f t="shared" si="14"/>
        <v>0</v>
      </c>
    </row>
    <row r="66" spans="30:44">
      <c r="AD66" s="893" t="s">
        <v>5</v>
      </c>
      <c r="AE66" s="894"/>
      <c r="AG66" s="136">
        <f t="shared" ref="AG66:AR66" si="15">(AG58-AG62)/(AG58-AG61)</f>
        <v>0</v>
      </c>
      <c r="AH66" s="136">
        <f t="shared" si="15"/>
        <v>0</v>
      </c>
      <c r="AI66" s="136">
        <f t="shared" si="15"/>
        <v>0</v>
      </c>
      <c r="AJ66" s="136">
        <f t="shared" si="15"/>
        <v>0</v>
      </c>
      <c r="AK66" s="136">
        <f t="shared" si="15"/>
        <v>0</v>
      </c>
      <c r="AL66" s="136">
        <f t="shared" si="15"/>
        <v>0</v>
      </c>
      <c r="AM66" s="136">
        <f t="shared" si="15"/>
        <v>0</v>
      </c>
      <c r="AN66" s="136">
        <f t="shared" si="15"/>
        <v>0</v>
      </c>
      <c r="AO66" s="198">
        <f t="shared" si="15"/>
        <v>0</v>
      </c>
      <c r="AP66" s="198">
        <f t="shared" si="15"/>
        <v>0</v>
      </c>
      <c r="AQ66" s="198">
        <f t="shared" si="15"/>
        <v>0</v>
      </c>
      <c r="AR66" s="137">
        <f t="shared" si="15"/>
        <v>0</v>
      </c>
    </row>
    <row r="67" spans="30:44">
      <c r="AD67" s="893" t="s">
        <v>6</v>
      </c>
      <c r="AE67" s="894"/>
      <c r="AG67" s="138">
        <v>1</v>
      </c>
      <c r="AH67" s="138">
        <v>1</v>
      </c>
      <c r="AI67" s="138">
        <v>1</v>
      </c>
      <c r="AJ67" s="138">
        <v>1</v>
      </c>
      <c r="AK67" s="138">
        <v>1</v>
      </c>
      <c r="AL67" s="138">
        <f t="shared" ref="AL67:AR67" si="16">IF(OR(AL66&gt;=100%),100%,IF(OR(AL66&lt;=0%),0%,AVERAGE(AL66)))</f>
        <v>0</v>
      </c>
      <c r="AM67" s="138">
        <f t="shared" si="16"/>
        <v>0</v>
      </c>
      <c r="AN67" s="138">
        <f t="shared" si="16"/>
        <v>0</v>
      </c>
      <c r="AO67" s="199">
        <f t="shared" si="16"/>
        <v>0</v>
      </c>
      <c r="AP67" s="199">
        <f t="shared" si="16"/>
        <v>0</v>
      </c>
      <c r="AQ67" s="199">
        <f t="shared" si="16"/>
        <v>0</v>
      </c>
      <c r="AR67" s="139">
        <f t="shared" si="16"/>
        <v>0</v>
      </c>
    </row>
    <row r="68" spans="30:44">
      <c r="AD68" s="905" t="s">
        <v>7</v>
      </c>
      <c r="AE68" s="906"/>
      <c r="AF68" s="140"/>
      <c r="AG68" s="625">
        <f t="shared" ref="AG68:AR68" si="17">AG67*0.05</f>
        <v>0.05</v>
      </c>
      <c r="AH68" s="625">
        <f t="shared" si="17"/>
        <v>0.05</v>
      </c>
      <c r="AI68" s="625">
        <f t="shared" si="17"/>
        <v>0.05</v>
      </c>
      <c r="AJ68" s="625">
        <f t="shared" si="17"/>
        <v>0.05</v>
      </c>
      <c r="AK68" s="625">
        <f t="shared" si="17"/>
        <v>0.05</v>
      </c>
      <c r="AL68" s="141">
        <f t="shared" si="17"/>
        <v>0</v>
      </c>
      <c r="AM68" s="141">
        <f t="shared" si="17"/>
        <v>0</v>
      </c>
      <c r="AN68" s="141">
        <f t="shared" si="17"/>
        <v>0</v>
      </c>
      <c r="AO68" s="141">
        <f t="shared" si="17"/>
        <v>0</v>
      </c>
      <c r="AP68" s="141">
        <f t="shared" si="17"/>
        <v>0</v>
      </c>
      <c r="AQ68" s="141">
        <f t="shared" si="17"/>
        <v>0</v>
      </c>
      <c r="AR68" s="142">
        <f t="shared" si="17"/>
        <v>0</v>
      </c>
    </row>
    <row r="69" spans="30:44">
      <c r="AD69" s="143"/>
      <c r="AE69" s="144"/>
      <c r="AF69" s="144"/>
      <c r="AG69" s="145"/>
      <c r="AH69" s="145"/>
      <c r="AI69" s="145"/>
      <c r="AJ69" s="145"/>
      <c r="AK69" s="145"/>
      <c r="AL69" s="145"/>
      <c r="AM69" s="145"/>
      <c r="AN69" s="145"/>
      <c r="AO69" s="145"/>
      <c r="AP69" s="145"/>
      <c r="AQ69" s="145"/>
      <c r="AR69" s="146"/>
    </row>
    <row r="70" spans="30:44">
      <c r="AD70" s="143"/>
      <c r="AE70" s="144"/>
      <c r="AF70" s="144"/>
      <c r="AG70" s="145"/>
      <c r="AH70" s="145"/>
      <c r="AI70" s="145"/>
      <c r="AJ70" s="145"/>
      <c r="AK70" s="145"/>
      <c r="AL70" s="145"/>
      <c r="AM70" s="145"/>
      <c r="AN70" s="145"/>
      <c r="AO70" s="145"/>
      <c r="AP70" s="145"/>
      <c r="AQ70" s="145"/>
      <c r="AR70" s="146"/>
    </row>
    <row r="71" spans="30:44">
      <c r="AD71" s="115" t="s">
        <v>9</v>
      </c>
      <c r="AF71" s="116">
        <v>45352</v>
      </c>
      <c r="AG71" s="116">
        <v>45383</v>
      </c>
      <c r="AH71" s="116">
        <v>45413</v>
      </c>
      <c r="AI71" s="116">
        <v>45444</v>
      </c>
      <c r="AJ71" s="116">
        <v>45474</v>
      </c>
      <c r="AK71" s="116">
        <v>45505</v>
      </c>
      <c r="AL71" s="116">
        <v>45536</v>
      </c>
      <c r="AM71" s="116">
        <v>45566</v>
      </c>
      <c r="AN71" s="116">
        <v>45597</v>
      </c>
      <c r="AO71" s="116">
        <v>45627</v>
      </c>
      <c r="AP71" s="116">
        <v>45658</v>
      </c>
      <c r="AQ71" s="116">
        <v>45689</v>
      </c>
      <c r="AR71" s="117">
        <v>45717</v>
      </c>
    </row>
    <row r="72" spans="30:44">
      <c r="AD72" s="147">
        <f>(AR72-AF72)/12</f>
        <v>-7.833333333333333</v>
      </c>
      <c r="AE72" s="148" t="s">
        <v>2</v>
      </c>
      <c r="AF72" s="149">
        <f>AR75</f>
        <v>668</v>
      </c>
      <c r="AG72" s="149">
        <v>660.16666666666663</v>
      </c>
      <c r="AH72" s="149">
        <f t="shared" ref="AH72:AQ72" si="18">++AG72+$AD$72</f>
        <v>652.33333333333326</v>
      </c>
      <c r="AI72" s="149">
        <f t="shared" si="18"/>
        <v>644.49999999999989</v>
      </c>
      <c r="AJ72" s="149">
        <f t="shared" si="18"/>
        <v>636.66666666666652</v>
      </c>
      <c r="AK72" s="149">
        <f t="shared" si="18"/>
        <v>628.83333333333314</v>
      </c>
      <c r="AL72" s="149">
        <f t="shared" si="18"/>
        <v>620.99999999999977</v>
      </c>
      <c r="AM72" s="149">
        <f t="shared" si="18"/>
        <v>613.1666666666664</v>
      </c>
      <c r="AN72" s="149">
        <f t="shared" si="18"/>
        <v>605.33333333333303</v>
      </c>
      <c r="AO72" s="149">
        <f t="shared" si="18"/>
        <v>597.49999999999966</v>
      </c>
      <c r="AP72" s="149">
        <f t="shared" si="18"/>
        <v>589.66666666666629</v>
      </c>
      <c r="AQ72" s="149">
        <f t="shared" si="18"/>
        <v>581.83333333333292</v>
      </c>
      <c r="AR72" s="150">
        <v>574</v>
      </c>
    </row>
    <row r="73" spans="30:44">
      <c r="AD73" s="147">
        <f>(AR73-AF73)/12</f>
        <v>-6.2666666666666702</v>
      </c>
      <c r="AE73" s="151" t="s">
        <v>2</v>
      </c>
      <c r="AF73" s="149">
        <f>AR75</f>
        <v>668</v>
      </c>
      <c r="AG73" s="149">
        <v>661.73333333333335</v>
      </c>
      <c r="AH73" s="149">
        <f t="shared" ref="AH73:AQ73" si="19">++AG73+$AD$73</f>
        <v>655.4666666666667</v>
      </c>
      <c r="AI73" s="149">
        <f t="shared" si="19"/>
        <v>649.20000000000005</v>
      </c>
      <c r="AJ73" s="149">
        <f t="shared" si="19"/>
        <v>642.93333333333339</v>
      </c>
      <c r="AK73" s="149">
        <f t="shared" si="19"/>
        <v>636.66666666666674</v>
      </c>
      <c r="AL73" s="149">
        <f t="shared" si="19"/>
        <v>630.40000000000009</v>
      </c>
      <c r="AM73" s="149">
        <f t="shared" si="19"/>
        <v>624.13333333333344</v>
      </c>
      <c r="AN73" s="149">
        <f t="shared" si="19"/>
        <v>617.86666666666679</v>
      </c>
      <c r="AO73" s="149">
        <f t="shared" si="19"/>
        <v>611.60000000000014</v>
      </c>
      <c r="AP73" s="149">
        <f t="shared" si="19"/>
        <v>605.33333333333348</v>
      </c>
      <c r="AQ73" s="149">
        <f t="shared" si="19"/>
        <v>599.06666666666683</v>
      </c>
      <c r="AR73" s="152">
        <f>AR72-(AR72-AR75)*0.2</f>
        <v>592.79999999999995</v>
      </c>
    </row>
    <row r="74" spans="30:44">
      <c r="AD74" s="147">
        <f>(AR74-AF74)/12</f>
        <v>-3.9166666666666665</v>
      </c>
      <c r="AE74" s="153" t="s">
        <v>2</v>
      </c>
      <c r="AF74" s="149">
        <f>AR75</f>
        <v>668</v>
      </c>
      <c r="AG74" s="149">
        <v>664.08333333333337</v>
      </c>
      <c r="AH74" s="149">
        <f t="shared" ref="AH74:AQ74" si="20">++AG74+$AD$74</f>
        <v>660.16666666666674</v>
      </c>
      <c r="AI74" s="149">
        <f t="shared" si="20"/>
        <v>656.25000000000011</v>
      </c>
      <c r="AJ74" s="149">
        <f t="shared" si="20"/>
        <v>652.33333333333348</v>
      </c>
      <c r="AK74" s="149">
        <f t="shared" si="20"/>
        <v>648.41666666666686</v>
      </c>
      <c r="AL74" s="149">
        <f t="shared" si="20"/>
        <v>644.50000000000023</v>
      </c>
      <c r="AM74" s="149">
        <f t="shared" si="20"/>
        <v>640.5833333333336</v>
      </c>
      <c r="AN74" s="149">
        <f t="shared" si="20"/>
        <v>636.66666666666697</v>
      </c>
      <c r="AO74" s="149">
        <f t="shared" si="20"/>
        <v>632.75000000000034</v>
      </c>
      <c r="AP74" s="149">
        <f t="shared" si="20"/>
        <v>628.83333333333371</v>
      </c>
      <c r="AQ74" s="149">
        <f t="shared" si="20"/>
        <v>624.91666666666708</v>
      </c>
      <c r="AR74" s="154">
        <f>AR72-(AR72-AR75)*0.5</f>
        <v>621</v>
      </c>
    </row>
    <row r="75" spans="30:44">
      <c r="AD75" s="147">
        <f>(AR75-AF75)/12</f>
        <v>0</v>
      </c>
      <c r="AE75" s="127"/>
      <c r="AF75" s="149">
        <f>$AR$75</f>
        <v>668</v>
      </c>
      <c r="AG75" s="149">
        <v>668</v>
      </c>
      <c r="AH75" s="149">
        <f t="shared" ref="AH75:AQ75" si="21">$AR$75</f>
        <v>668</v>
      </c>
      <c r="AI75" s="149">
        <f t="shared" si="21"/>
        <v>668</v>
      </c>
      <c r="AJ75" s="149">
        <f t="shared" si="21"/>
        <v>668</v>
      </c>
      <c r="AK75" s="149">
        <f t="shared" si="21"/>
        <v>668</v>
      </c>
      <c r="AL75" s="149">
        <f t="shared" si="21"/>
        <v>668</v>
      </c>
      <c r="AM75" s="149">
        <f t="shared" si="21"/>
        <v>668</v>
      </c>
      <c r="AN75" s="149">
        <f t="shared" si="21"/>
        <v>668</v>
      </c>
      <c r="AO75" s="149">
        <f t="shared" si="21"/>
        <v>668</v>
      </c>
      <c r="AP75" s="149">
        <f t="shared" si="21"/>
        <v>668</v>
      </c>
      <c r="AQ75" s="149">
        <f t="shared" si="21"/>
        <v>668</v>
      </c>
      <c r="AR75" s="155">
        <v>668</v>
      </c>
    </row>
    <row r="76" spans="30:44">
      <c r="AD76" s="156" t="s">
        <v>10</v>
      </c>
      <c r="AE76" s="131"/>
      <c r="AF76" s="157"/>
      <c r="AG76" s="158">
        <v>643.14069503549592</v>
      </c>
      <c r="AH76" s="158">
        <f t="shared" ref="AH76:AR76" si="22">AH80/AH79*1000000</f>
        <v>1113.2056149560217</v>
      </c>
      <c r="AI76" s="158">
        <f t="shared" si="22"/>
        <v>997.35985168422337</v>
      </c>
      <c r="AJ76" s="158">
        <f t="shared" si="22"/>
        <v>1006.7217246961903</v>
      </c>
      <c r="AK76" s="158">
        <f t="shared" si="22"/>
        <v>925.59828661886581</v>
      </c>
      <c r="AL76" s="158" t="e">
        <f t="shared" si="22"/>
        <v>#DIV/0!</v>
      </c>
      <c r="AM76" s="158" t="e">
        <f t="shared" si="22"/>
        <v>#DIV/0!</v>
      </c>
      <c r="AN76" s="158" t="e">
        <f t="shared" si="22"/>
        <v>#DIV/0!</v>
      </c>
      <c r="AO76" s="158" t="e">
        <f t="shared" si="22"/>
        <v>#DIV/0!</v>
      </c>
      <c r="AP76" s="158" t="e">
        <f t="shared" si="22"/>
        <v>#DIV/0!</v>
      </c>
      <c r="AQ76" s="158" t="e">
        <f t="shared" si="22"/>
        <v>#DIV/0!</v>
      </c>
      <c r="AR76" s="159" t="e">
        <f t="shared" si="22"/>
        <v>#DIV/0!</v>
      </c>
    </row>
    <row r="77" spans="30:44">
      <c r="AD77" s="156" t="s">
        <v>11</v>
      </c>
      <c r="AE77" s="131"/>
      <c r="AF77" s="157"/>
      <c r="AG77" s="136">
        <v>0.99935685930496454</v>
      </c>
      <c r="AH77" s="136">
        <f t="shared" ref="AH77:AR77" si="23">AH78/AH79</f>
        <v>0.99888679438504402</v>
      </c>
      <c r="AI77" s="136">
        <f t="shared" si="23"/>
        <v>0.99900264014831575</v>
      </c>
      <c r="AJ77" s="136">
        <f t="shared" si="23"/>
        <v>0.99899327827530382</v>
      </c>
      <c r="AK77" s="136">
        <f t="shared" si="23"/>
        <v>0.99907440171338113</v>
      </c>
      <c r="AL77" s="136" t="e">
        <f t="shared" si="23"/>
        <v>#DIV/0!</v>
      </c>
      <c r="AM77" s="136" t="e">
        <f t="shared" si="23"/>
        <v>#DIV/0!</v>
      </c>
      <c r="AN77" s="136" t="e">
        <f t="shared" si="23"/>
        <v>#DIV/0!</v>
      </c>
      <c r="AO77" s="136" t="e">
        <f t="shared" si="23"/>
        <v>#DIV/0!</v>
      </c>
      <c r="AP77" s="136" t="e">
        <f t="shared" si="23"/>
        <v>#DIV/0!</v>
      </c>
      <c r="AQ77" s="136" t="e">
        <f t="shared" si="23"/>
        <v>#DIV/0!</v>
      </c>
      <c r="AR77" s="137" t="e">
        <f t="shared" si="23"/>
        <v>#DIV/0!</v>
      </c>
    </row>
    <row r="78" spans="30:44" ht="15.5">
      <c r="AD78" s="160"/>
      <c r="AE78" s="161" t="s">
        <v>12</v>
      </c>
      <c r="AF78" s="162"/>
      <c r="AG78" s="602">
        <v>405560</v>
      </c>
      <c r="AH78" s="200">
        <v>526719</v>
      </c>
      <c r="AI78" s="214">
        <v>752237</v>
      </c>
      <c r="AJ78" s="201">
        <v>1169949</v>
      </c>
      <c r="AK78" s="648">
        <v>536453</v>
      </c>
      <c r="AL78" s="202"/>
      <c r="AM78" s="201"/>
      <c r="AN78" s="200"/>
      <c r="AO78" s="200"/>
      <c r="AP78" s="201"/>
      <c r="AQ78" s="201"/>
      <c r="AR78" s="203"/>
    </row>
    <row r="79" spans="30:44" ht="15.5">
      <c r="AD79" s="160"/>
      <c r="AE79" s="161" t="s">
        <v>13</v>
      </c>
      <c r="AF79" s="145"/>
      <c r="AG79" s="602">
        <v>405821</v>
      </c>
      <c r="AH79" s="204">
        <v>527306</v>
      </c>
      <c r="AI79" s="214">
        <v>752988</v>
      </c>
      <c r="AJ79" s="201">
        <v>1171128</v>
      </c>
      <c r="AK79" s="648">
        <v>536950</v>
      </c>
      <c r="AL79" s="205"/>
      <c r="AM79" s="201"/>
      <c r="AN79" s="200"/>
      <c r="AO79" s="200"/>
      <c r="AP79" s="201"/>
      <c r="AQ79" s="201"/>
      <c r="AR79" s="203"/>
    </row>
    <row r="80" spans="30:44" ht="15.5">
      <c r="AD80" s="160"/>
      <c r="AE80" s="161" t="s">
        <v>14</v>
      </c>
      <c r="AF80" s="145"/>
      <c r="AG80" s="602">
        <v>261</v>
      </c>
      <c r="AH80" s="200">
        <v>587</v>
      </c>
      <c r="AI80" s="214">
        <v>751</v>
      </c>
      <c r="AJ80" s="201">
        <v>1179</v>
      </c>
      <c r="AK80" s="648">
        <v>497</v>
      </c>
      <c r="AL80" s="205"/>
      <c r="AM80" s="201"/>
      <c r="AN80" s="200"/>
      <c r="AO80" s="200"/>
      <c r="AP80" s="201"/>
      <c r="AQ80" s="201"/>
      <c r="AR80" s="203"/>
    </row>
    <row r="81" spans="30:44">
      <c r="AD81" s="130" t="s">
        <v>5</v>
      </c>
      <c r="AE81" s="131"/>
      <c r="AG81" s="171">
        <v>3.1735282933409308</v>
      </c>
      <c r="AH81" s="171">
        <f t="shared" ref="AH81:AR81" si="24">(AH76-AH75)/(AH72-AH75)</f>
        <v>-28.417379678043801</v>
      </c>
      <c r="AI81" s="171">
        <f t="shared" si="24"/>
        <v>-14.015312837626459</v>
      </c>
      <c r="AJ81" s="171">
        <f t="shared" si="24"/>
        <v>-10.810267809452832</v>
      </c>
      <c r="AK81" s="171">
        <f t="shared" si="24"/>
        <v>-6.576977530694414</v>
      </c>
      <c r="AL81" s="171" t="e">
        <f t="shared" si="24"/>
        <v>#DIV/0!</v>
      </c>
      <c r="AM81" s="171" t="e">
        <f t="shared" si="24"/>
        <v>#DIV/0!</v>
      </c>
      <c r="AN81" s="171" t="e">
        <f t="shared" si="24"/>
        <v>#DIV/0!</v>
      </c>
      <c r="AO81" s="171" t="e">
        <f t="shared" si="24"/>
        <v>#DIV/0!</v>
      </c>
      <c r="AP81" s="171" t="e">
        <f t="shared" si="24"/>
        <v>#DIV/0!</v>
      </c>
      <c r="AQ81" s="171" t="e">
        <f t="shared" si="24"/>
        <v>#DIV/0!</v>
      </c>
      <c r="AR81" s="175" t="e">
        <f t="shared" si="24"/>
        <v>#DIV/0!</v>
      </c>
    </row>
    <row r="82" spans="30:44">
      <c r="AD82" s="163" t="s">
        <v>6</v>
      </c>
      <c r="AE82" s="131"/>
      <c r="AG82" s="138">
        <v>1</v>
      </c>
      <c r="AH82" s="138">
        <f>IF(OR(AH81&gt;=100%),100%,IF(OR(AH81&lt;=0%),0%,AVERAGE(AH81)))</f>
        <v>0</v>
      </c>
      <c r="AI82" s="138">
        <f t="shared" ref="AI82:AR82" si="25">IF(OR(AI81&gt;=100%),100%,IF(OR(AI81&lt;=0%),0%,AVERAGE(AI81)))</f>
        <v>0</v>
      </c>
      <c r="AJ82" s="138">
        <f t="shared" si="25"/>
        <v>0</v>
      </c>
      <c r="AK82" s="138">
        <f t="shared" si="25"/>
        <v>0</v>
      </c>
      <c r="AL82" s="138" t="e">
        <f t="shared" si="25"/>
        <v>#DIV/0!</v>
      </c>
      <c r="AM82" s="138" t="e">
        <f t="shared" si="25"/>
        <v>#DIV/0!</v>
      </c>
      <c r="AN82" s="138" t="e">
        <f t="shared" si="25"/>
        <v>#DIV/0!</v>
      </c>
      <c r="AO82" s="138" t="e">
        <f t="shared" si="25"/>
        <v>#DIV/0!</v>
      </c>
      <c r="AP82" s="138" t="e">
        <f t="shared" si="25"/>
        <v>#DIV/0!</v>
      </c>
      <c r="AQ82" s="138" t="e">
        <f t="shared" si="25"/>
        <v>#DIV/0!</v>
      </c>
      <c r="AR82" s="139" t="e">
        <f t="shared" si="25"/>
        <v>#DIV/0!</v>
      </c>
    </row>
    <row r="83" spans="30:44">
      <c r="AD83" s="905" t="s">
        <v>7</v>
      </c>
      <c r="AE83" s="906"/>
      <c r="AF83" s="140"/>
      <c r="AG83" s="625">
        <v>0.2</v>
      </c>
      <c r="AH83" s="141">
        <f t="shared" ref="AH83:AR83" si="26">AH82*0.2</f>
        <v>0</v>
      </c>
      <c r="AI83" s="141">
        <f t="shared" si="26"/>
        <v>0</v>
      </c>
      <c r="AJ83" s="141">
        <f t="shared" si="26"/>
        <v>0</v>
      </c>
      <c r="AK83" s="141">
        <f t="shared" si="26"/>
        <v>0</v>
      </c>
      <c r="AL83" s="141" t="e">
        <f t="shared" si="26"/>
        <v>#DIV/0!</v>
      </c>
      <c r="AM83" s="141" t="e">
        <f t="shared" si="26"/>
        <v>#DIV/0!</v>
      </c>
      <c r="AN83" s="141" t="e">
        <f t="shared" si="26"/>
        <v>#DIV/0!</v>
      </c>
      <c r="AO83" s="141" t="e">
        <f t="shared" si="26"/>
        <v>#DIV/0!</v>
      </c>
      <c r="AP83" s="141" t="e">
        <f t="shared" si="26"/>
        <v>#DIV/0!</v>
      </c>
      <c r="AQ83" s="141" t="e">
        <f t="shared" si="26"/>
        <v>#DIV/0!</v>
      </c>
      <c r="AR83" s="142" t="e">
        <f t="shared" si="26"/>
        <v>#DIV/0!</v>
      </c>
    </row>
    <row r="84" spans="30:44">
      <c r="AD84" s="143"/>
      <c r="AE84" s="144"/>
      <c r="AF84" s="144"/>
      <c r="AG84" s="144"/>
      <c r="AH84" s="144"/>
      <c r="AI84" s="144"/>
      <c r="AJ84" s="144"/>
      <c r="AK84" s="144"/>
      <c r="AL84" s="144"/>
      <c r="AM84" s="144"/>
      <c r="AN84" s="144"/>
      <c r="AO84" s="144"/>
      <c r="AP84" s="144"/>
      <c r="AQ84" s="144"/>
      <c r="AR84" s="164"/>
    </row>
    <row r="85" spans="30:44">
      <c r="AD85" s="143"/>
      <c r="AE85" s="144"/>
      <c r="AF85" s="144"/>
      <c r="AG85" s="144"/>
      <c r="AH85" s="144"/>
      <c r="AI85" s="144"/>
      <c r="AJ85" s="144"/>
      <c r="AK85" s="144"/>
      <c r="AL85" s="144"/>
      <c r="AM85" s="144"/>
      <c r="AN85" s="144"/>
      <c r="AO85" s="144"/>
      <c r="AP85" s="144"/>
      <c r="AQ85" s="144"/>
      <c r="AR85" s="164"/>
    </row>
    <row r="86" spans="30:44">
      <c r="AD86" s="115" t="s">
        <v>15</v>
      </c>
      <c r="AF86" s="116">
        <v>45352</v>
      </c>
      <c r="AG86" s="116">
        <v>45383</v>
      </c>
      <c r="AH86" s="116">
        <v>45413</v>
      </c>
      <c r="AI86" s="116">
        <v>45444</v>
      </c>
      <c r="AJ86" s="116">
        <v>45474</v>
      </c>
      <c r="AK86" s="116">
        <v>45505</v>
      </c>
      <c r="AL86" s="116">
        <v>45536</v>
      </c>
      <c r="AM86" s="116">
        <v>45566</v>
      </c>
      <c r="AN86" s="116">
        <v>45597</v>
      </c>
      <c r="AO86" s="116">
        <v>45627</v>
      </c>
      <c r="AP86" s="116">
        <v>45658</v>
      </c>
      <c r="AQ86" s="116">
        <v>45689</v>
      </c>
      <c r="AR86" s="117">
        <v>45717</v>
      </c>
    </row>
    <row r="87" spans="30:44">
      <c r="AD87" s="118">
        <f>(AR87-AF87)/12</f>
        <v>8.3333333333324155E-6</v>
      </c>
      <c r="AE87" s="148" t="s">
        <v>2</v>
      </c>
      <c r="AF87" s="165">
        <f>$AR$90</f>
        <v>0.99929999999999997</v>
      </c>
      <c r="AG87" s="167">
        <v>0.99930833333333324</v>
      </c>
      <c r="AH87" s="167">
        <f t="shared" ref="AH87:AQ87" si="27">AG87+$AD$87</f>
        <v>0.99931666666666663</v>
      </c>
      <c r="AI87" s="167">
        <f t="shared" si="27"/>
        <v>0.99932500000000002</v>
      </c>
      <c r="AJ87" s="167">
        <f t="shared" si="27"/>
        <v>0.99933333333333341</v>
      </c>
      <c r="AK87" s="167">
        <f t="shared" si="27"/>
        <v>0.99934166666666679</v>
      </c>
      <c r="AL87" s="167">
        <f t="shared" si="27"/>
        <v>0.99935000000000018</v>
      </c>
      <c r="AM87" s="167">
        <f t="shared" si="27"/>
        <v>0.99935833333333357</v>
      </c>
      <c r="AN87" s="167">
        <f t="shared" si="27"/>
        <v>0.99936666666666696</v>
      </c>
      <c r="AO87" s="167">
        <f t="shared" si="27"/>
        <v>0.99937500000000035</v>
      </c>
      <c r="AP87" s="167">
        <f t="shared" si="27"/>
        <v>0.99938333333333373</v>
      </c>
      <c r="AQ87" s="167">
        <f t="shared" si="27"/>
        <v>0.99939166666666712</v>
      </c>
      <c r="AR87" s="166">
        <v>0.99939999999999996</v>
      </c>
    </row>
    <row r="88" spans="30:44">
      <c r="AD88" s="118">
        <f>(AR88-AF88)/12</f>
        <v>6.6666666666640823E-6</v>
      </c>
      <c r="AE88" s="151" t="s">
        <v>2</v>
      </c>
      <c r="AF88" s="165">
        <f>$AR$90</f>
        <v>0.99929999999999997</v>
      </c>
      <c r="AG88" s="167">
        <v>0.99930666666666668</v>
      </c>
      <c r="AH88" s="167">
        <f t="shared" ref="AH88:AQ88" si="28">AG88+$AD$88</f>
        <v>0.99931333333333339</v>
      </c>
      <c r="AI88" s="167">
        <f t="shared" si="28"/>
        <v>0.9993200000000001</v>
      </c>
      <c r="AJ88" s="167">
        <f t="shared" si="28"/>
        <v>0.99932666666666681</v>
      </c>
      <c r="AK88" s="167">
        <f t="shared" si="28"/>
        <v>0.99933333333333352</v>
      </c>
      <c r="AL88" s="167">
        <f t="shared" si="28"/>
        <v>0.99934000000000023</v>
      </c>
      <c r="AM88" s="167">
        <f t="shared" si="28"/>
        <v>0.99934666666666694</v>
      </c>
      <c r="AN88" s="167">
        <f t="shared" si="28"/>
        <v>0.99935333333333365</v>
      </c>
      <c r="AO88" s="167">
        <f t="shared" si="28"/>
        <v>0.99936000000000036</v>
      </c>
      <c r="AP88" s="167">
        <f t="shared" si="28"/>
        <v>0.99936666666666707</v>
      </c>
      <c r="AQ88" s="167">
        <f t="shared" si="28"/>
        <v>0.99937333333333378</v>
      </c>
      <c r="AR88" s="168">
        <f>AR87-(AR87-AR90)*0.2</f>
        <v>0.99937999999999994</v>
      </c>
    </row>
    <row r="89" spans="30:44">
      <c r="AD89" s="118">
        <f>(AR89-AF89)/12</f>
        <v>4.1666666666662078E-6</v>
      </c>
      <c r="AE89" s="153" t="s">
        <v>2</v>
      </c>
      <c r="AF89" s="165">
        <f>$AR$90</f>
        <v>0.99929999999999997</v>
      </c>
      <c r="AG89" s="167">
        <v>0.99930416666666666</v>
      </c>
      <c r="AH89" s="167">
        <f t="shared" ref="AH89:AQ89" si="29">++AG89+$AD$89</f>
        <v>0.99930833333333335</v>
      </c>
      <c r="AI89" s="167">
        <f t="shared" si="29"/>
        <v>0.99931250000000005</v>
      </c>
      <c r="AJ89" s="167">
        <f t="shared" si="29"/>
        <v>0.99931666666666674</v>
      </c>
      <c r="AK89" s="167">
        <f t="shared" si="29"/>
        <v>0.99932083333333344</v>
      </c>
      <c r="AL89" s="167">
        <f t="shared" si="29"/>
        <v>0.99932500000000013</v>
      </c>
      <c r="AM89" s="167">
        <f t="shared" si="29"/>
        <v>0.99932916666666682</v>
      </c>
      <c r="AN89" s="167">
        <f t="shared" si="29"/>
        <v>0.99933333333333352</v>
      </c>
      <c r="AO89" s="167">
        <f t="shared" si="29"/>
        <v>0.99933750000000021</v>
      </c>
      <c r="AP89" s="167">
        <f t="shared" si="29"/>
        <v>0.99934166666666691</v>
      </c>
      <c r="AQ89" s="167">
        <f t="shared" si="29"/>
        <v>0.9993458333333336</v>
      </c>
      <c r="AR89" s="169">
        <f>AR87-(AR87-AR90)*0.5</f>
        <v>0.99934999999999996</v>
      </c>
    </row>
    <row r="90" spans="30:44">
      <c r="AD90" s="118">
        <f>(AR90-AF90)/12</f>
        <v>0</v>
      </c>
      <c r="AE90" s="127"/>
      <c r="AF90" s="165">
        <f>$AR$90</f>
        <v>0.99929999999999997</v>
      </c>
      <c r="AG90" s="165">
        <v>0.99929999999999997</v>
      </c>
      <c r="AH90" s="165">
        <f t="shared" ref="AH90:AQ90" si="30">$AR$90</f>
        <v>0.99929999999999997</v>
      </c>
      <c r="AI90" s="165">
        <f t="shared" si="30"/>
        <v>0.99929999999999997</v>
      </c>
      <c r="AJ90" s="165">
        <f t="shared" si="30"/>
        <v>0.99929999999999997</v>
      </c>
      <c r="AK90" s="165">
        <f t="shared" si="30"/>
        <v>0.99929999999999997</v>
      </c>
      <c r="AL90" s="165">
        <f t="shared" si="30"/>
        <v>0.99929999999999997</v>
      </c>
      <c r="AM90" s="165">
        <f t="shared" si="30"/>
        <v>0.99929999999999997</v>
      </c>
      <c r="AN90" s="165">
        <f t="shared" si="30"/>
        <v>0.99929999999999997</v>
      </c>
      <c r="AO90" s="165">
        <f t="shared" si="30"/>
        <v>0.99929999999999997</v>
      </c>
      <c r="AP90" s="165">
        <f t="shared" si="30"/>
        <v>0.99929999999999997</v>
      </c>
      <c r="AQ90" s="165">
        <f t="shared" si="30"/>
        <v>0.99929999999999997</v>
      </c>
      <c r="AR90" s="170">
        <v>0.99929999999999997</v>
      </c>
    </row>
    <row r="91" spans="30:44">
      <c r="AD91" s="130" t="s">
        <v>4</v>
      </c>
      <c r="AE91" s="131"/>
      <c r="AF91" s="171"/>
      <c r="AG91" s="136">
        <v>0.99935685930496454</v>
      </c>
      <c r="AH91" s="136">
        <f t="shared" ref="AH91:AR91" si="31">AH92/AH93</f>
        <v>0.99888679438504402</v>
      </c>
      <c r="AI91" s="136">
        <f t="shared" si="31"/>
        <v>0.99900264014831575</v>
      </c>
      <c r="AJ91" s="136">
        <f t="shared" si="31"/>
        <v>0.99899327827530382</v>
      </c>
      <c r="AK91" s="136">
        <f t="shared" si="31"/>
        <v>0.99907440171338113</v>
      </c>
      <c r="AL91" s="136" t="e">
        <f t="shared" si="31"/>
        <v>#DIV/0!</v>
      </c>
      <c r="AM91" s="136" t="e">
        <f t="shared" si="31"/>
        <v>#DIV/0!</v>
      </c>
      <c r="AN91" s="136" t="e">
        <f t="shared" si="31"/>
        <v>#DIV/0!</v>
      </c>
      <c r="AO91" s="136" t="e">
        <f t="shared" si="31"/>
        <v>#DIV/0!</v>
      </c>
      <c r="AP91" s="136" t="e">
        <f t="shared" si="31"/>
        <v>#DIV/0!</v>
      </c>
      <c r="AQ91" s="136" t="e">
        <f t="shared" si="31"/>
        <v>#DIV/0!</v>
      </c>
      <c r="AR91" s="137" t="e">
        <f t="shared" si="31"/>
        <v>#DIV/0!</v>
      </c>
    </row>
    <row r="92" spans="30:44">
      <c r="AD92" s="900" t="s">
        <v>16</v>
      </c>
      <c r="AE92" s="901"/>
      <c r="AF92" s="172"/>
      <c r="AG92" s="173">
        <v>405560</v>
      </c>
      <c r="AH92" s="173">
        <f t="shared" ref="AH92:AR93" si="32">AH78</f>
        <v>526719</v>
      </c>
      <c r="AI92" s="173">
        <f t="shared" si="32"/>
        <v>752237</v>
      </c>
      <c r="AJ92" s="173">
        <f t="shared" si="32"/>
        <v>1169949</v>
      </c>
      <c r="AK92" s="173">
        <f t="shared" si="32"/>
        <v>536453</v>
      </c>
      <c r="AL92" s="173">
        <f>AL78</f>
        <v>0</v>
      </c>
      <c r="AM92" s="173">
        <f>AM78</f>
        <v>0</v>
      </c>
      <c r="AN92" s="173">
        <f t="shared" si="32"/>
        <v>0</v>
      </c>
      <c r="AO92" s="173">
        <f t="shared" si="32"/>
        <v>0</v>
      </c>
      <c r="AP92" s="173">
        <f t="shared" si="32"/>
        <v>0</v>
      </c>
      <c r="AQ92" s="173">
        <f t="shared" si="32"/>
        <v>0</v>
      </c>
      <c r="AR92" s="174">
        <f t="shared" si="32"/>
        <v>0</v>
      </c>
    </row>
    <row r="93" spans="30:44">
      <c r="AD93" s="900" t="s">
        <v>17</v>
      </c>
      <c r="AE93" s="901"/>
      <c r="AF93" s="172"/>
      <c r="AG93" s="173">
        <v>405821</v>
      </c>
      <c r="AH93" s="173">
        <f t="shared" si="32"/>
        <v>527306</v>
      </c>
      <c r="AI93" s="173">
        <f t="shared" si="32"/>
        <v>752988</v>
      </c>
      <c r="AJ93" s="173">
        <f t="shared" si="32"/>
        <v>1171128</v>
      </c>
      <c r="AK93" s="173">
        <f t="shared" si="32"/>
        <v>536950</v>
      </c>
      <c r="AL93" s="173">
        <f t="shared" si="32"/>
        <v>0</v>
      </c>
      <c r="AM93" s="173">
        <f t="shared" si="32"/>
        <v>0</v>
      </c>
      <c r="AN93" s="173">
        <f t="shared" si="32"/>
        <v>0</v>
      </c>
      <c r="AO93" s="173">
        <f t="shared" si="32"/>
        <v>0</v>
      </c>
      <c r="AP93" s="173">
        <f t="shared" si="32"/>
        <v>0</v>
      </c>
      <c r="AQ93" s="173">
        <f t="shared" si="32"/>
        <v>0</v>
      </c>
      <c r="AR93" s="174">
        <f t="shared" si="32"/>
        <v>0</v>
      </c>
    </row>
    <row r="94" spans="30:44">
      <c r="AD94" s="163" t="s">
        <v>5</v>
      </c>
      <c r="AE94" s="131"/>
      <c r="AG94" s="136">
        <v>6.8231165957950592</v>
      </c>
      <c r="AH94" s="136">
        <f>(AH91-AH90)/(AH87-AH90)</f>
        <v>-24.792336897359558</v>
      </c>
      <c r="AI94" s="136">
        <f>(AI91-AI90)/(AI87-AI90)</f>
        <v>-11.894394067343706</v>
      </c>
      <c r="AJ94" s="136">
        <f>(AJ91-AJ90)/(AJ87-AJ90)</f>
        <v>-9.2016517408547518</v>
      </c>
      <c r="AK94" s="136">
        <f t="shared" ref="AK94:AR94" si="33">(AK91-AK90)/(AK87-AK90)</f>
        <v>-5.4143588788309556</v>
      </c>
      <c r="AL94" s="136" t="e">
        <f t="shared" si="33"/>
        <v>#DIV/0!</v>
      </c>
      <c r="AM94" s="136" t="e">
        <f t="shared" si="33"/>
        <v>#DIV/0!</v>
      </c>
      <c r="AN94" s="136" t="e">
        <f t="shared" si="33"/>
        <v>#DIV/0!</v>
      </c>
      <c r="AO94" s="136" t="e">
        <f t="shared" si="33"/>
        <v>#DIV/0!</v>
      </c>
      <c r="AP94" s="136" t="e">
        <f t="shared" si="33"/>
        <v>#DIV/0!</v>
      </c>
      <c r="AQ94" s="136" t="e">
        <f t="shared" si="33"/>
        <v>#DIV/0!</v>
      </c>
      <c r="AR94" s="137" t="e">
        <f t="shared" si="33"/>
        <v>#DIV/0!</v>
      </c>
    </row>
    <row r="95" spans="30:44">
      <c r="AD95" s="163" t="s">
        <v>6</v>
      </c>
      <c r="AE95" s="131"/>
      <c r="AG95" s="138">
        <v>1</v>
      </c>
      <c r="AH95" s="138">
        <f t="shared" ref="AH95:AR95" si="34">IF(OR(AH94&gt;=100%),100%,IF(OR(AH94&lt;=0%),0%,AVERAGE(AH94)))</f>
        <v>0</v>
      </c>
      <c r="AI95" s="138">
        <f t="shared" si="34"/>
        <v>0</v>
      </c>
      <c r="AJ95" s="138">
        <f t="shared" si="34"/>
        <v>0</v>
      </c>
      <c r="AK95" s="138">
        <f t="shared" si="34"/>
        <v>0</v>
      </c>
      <c r="AL95" s="138" t="e">
        <f t="shared" si="34"/>
        <v>#DIV/0!</v>
      </c>
      <c r="AM95" s="138" t="e">
        <f t="shared" si="34"/>
        <v>#DIV/0!</v>
      </c>
      <c r="AN95" s="138" t="e">
        <f t="shared" si="34"/>
        <v>#DIV/0!</v>
      </c>
      <c r="AO95" s="138" t="e">
        <f t="shared" si="34"/>
        <v>#DIV/0!</v>
      </c>
      <c r="AP95" s="138" t="e">
        <f t="shared" si="34"/>
        <v>#DIV/0!</v>
      </c>
      <c r="AQ95" s="138" t="e">
        <f t="shared" si="34"/>
        <v>#DIV/0!</v>
      </c>
      <c r="AR95" s="139" t="e">
        <f t="shared" si="34"/>
        <v>#DIV/0!</v>
      </c>
    </row>
    <row r="96" spans="30:44">
      <c r="AD96" s="905" t="s">
        <v>7</v>
      </c>
      <c r="AE96" s="906"/>
      <c r="AF96" s="140"/>
      <c r="AG96" s="625">
        <f t="shared" ref="AG96:AR96" si="35">AG95*0.2</f>
        <v>0.2</v>
      </c>
      <c r="AH96" s="141">
        <f t="shared" si="35"/>
        <v>0</v>
      </c>
      <c r="AI96" s="141">
        <f t="shared" si="35"/>
        <v>0</v>
      </c>
      <c r="AJ96" s="141">
        <f t="shared" si="35"/>
        <v>0</v>
      </c>
      <c r="AK96" s="141">
        <f t="shared" si="35"/>
        <v>0</v>
      </c>
      <c r="AL96" s="141" t="e">
        <f t="shared" si="35"/>
        <v>#DIV/0!</v>
      </c>
      <c r="AM96" s="141" t="e">
        <f t="shared" si="35"/>
        <v>#DIV/0!</v>
      </c>
      <c r="AN96" s="141" t="e">
        <f t="shared" si="35"/>
        <v>#DIV/0!</v>
      </c>
      <c r="AO96" s="141" t="e">
        <f t="shared" si="35"/>
        <v>#DIV/0!</v>
      </c>
      <c r="AP96" s="141" t="e">
        <f t="shared" si="35"/>
        <v>#DIV/0!</v>
      </c>
      <c r="AQ96" s="141" t="e">
        <f t="shared" si="35"/>
        <v>#DIV/0!</v>
      </c>
      <c r="AR96" s="142" t="e">
        <f t="shared" si="35"/>
        <v>#DIV/0!</v>
      </c>
    </row>
    <row r="97" spans="30:44">
      <c r="AD97" s="143"/>
      <c r="AE97" s="144"/>
      <c r="AF97" s="144"/>
      <c r="AG97" s="144"/>
      <c r="AH97" s="144"/>
      <c r="AI97" s="144"/>
      <c r="AJ97" s="144"/>
      <c r="AK97" s="144"/>
      <c r="AL97" s="144"/>
      <c r="AM97" s="144"/>
      <c r="AN97" s="144"/>
      <c r="AO97" s="144"/>
      <c r="AP97" s="144"/>
      <c r="AQ97" s="144"/>
      <c r="AR97" s="164"/>
    </row>
    <row r="98" spans="30:44">
      <c r="AD98" s="143"/>
      <c r="AE98" s="144"/>
      <c r="AF98" s="144"/>
      <c r="AG98" s="144"/>
      <c r="AH98" s="144"/>
      <c r="AI98" s="144"/>
      <c r="AJ98" s="144"/>
      <c r="AK98" s="144"/>
      <c r="AL98" s="144"/>
      <c r="AM98" s="144"/>
      <c r="AN98" s="144"/>
      <c r="AO98" s="144"/>
      <c r="AP98" s="144"/>
      <c r="AQ98" s="144"/>
      <c r="AR98" s="164"/>
    </row>
    <row r="99" spans="30:44">
      <c r="AD99" s="907" t="s">
        <v>26</v>
      </c>
      <c r="AE99" s="908"/>
      <c r="AF99" s="176"/>
      <c r="AG99" s="206">
        <v>1.78</v>
      </c>
      <c r="AH99" s="643">
        <v>5.68</v>
      </c>
      <c r="AI99" s="643">
        <v>2.29</v>
      </c>
      <c r="AJ99" s="643">
        <v>2.66</v>
      </c>
      <c r="AK99" s="649">
        <v>2.3660000000000001</v>
      </c>
      <c r="AL99" s="207"/>
      <c r="AM99" s="207"/>
      <c r="AN99" s="207"/>
      <c r="AO99" s="207"/>
      <c r="AP99" s="207"/>
      <c r="AQ99" s="207"/>
      <c r="AR99" s="208"/>
    </row>
    <row r="100" spans="30:44">
      <c r="AD100" s="177"/>
      <c r="AG100" s="650"/>
      <c r="AH100" s="651"/>
      <c r="AI100" s="651"/>
      <c r="AJ100" s="651"/>
      <c r="AK100" s="652"/>
      <c r="AR100" s="178"/>
    </row>
    <row r="101" spans="30:44">
      <c r="AD101" s="177"/>
      <c r="AH101" s="144"/>
      <c r="AR101" s="178"/>
    </row>
    <row r="102" spans="30:44">
      <c r="AD102" s="115" t="s">
        <v>18</v>
      </c>
      <c r="AF102" s="116">
        <v>45352</v>
      </c>
      <c r="AG102" s="116">
        <v>45383</v>
      </c>
      <c r="AH102" s="116">
        <v>45413</v>
      </c>
      <c r="AI102" s="116">
        <v>45444</v>
      </c>
      <c r="AJ102" s="116">
        <v>45474</v>
      </c>
      <c r="AK102" s="116">
        <v>45505</v>
      </c>
      <c r="AL102" s="116">
        <v>45536</v>
      </c>
      <c r="AM102" s="116">
        <v>45566</v>
      </c>
      <c r="AN102" s="116">
        <v>45597</v>
      </c>
      <c r="AO102" s="116">
        <v>45627</v>
      </c>
      <c r="AP102" s="116">
        <v>45658</v>
      </c>
      <c r="AQ102" s="116">
        <v>45689</v>
      </c>
      <c r="AR102" s="117">
        <v>45717</v>
      </c>
    </row>
    <row r="103" spans="30:44">
      <c r="AD103" s="147">
        <f>(AR103-AF103)/12</f>
        <v>0</v>
      </c>
      <c r="AE103" s="127"/>
      <c r="AF103" s="165">
        <f t="shared" ref="AF103:AQ103" si="36">$AR$103</f>
        <v>1E-3</v>
      </c>
      <c r="AG103" s="165">
        <v>1E-3</v>
      </c>
      <c r="AH103" s="165">
        <f t="shared" si="36"/>
        <v>1E-3</v>
      </c>
      <c r="AI103" s="165">
        <f t="shared" si="36"/>
        <v>1E-3</v>
      </c>
      <c r="AJ103" s="165">
        <f t="shared" si="36"/>
        <v>1E-3</v>
      </c>
      <c r="AK103" s="165">
        <f t="shared" si="36"/>
        <v>1E-3</v>
      </c>
      <c r="AL103" s="165">
        <f t="shared" si="36"/>
        <v>1E-3</v>
      </c>
      <c r="AM103" s="165">
        <f t="shared" si="36"/>
        <v>1E-3</v>
      </c>
      <c r="AN103" s="165">
        <f t="shared" si="36"/>
        <v>1E-3</v>
      </c>
      <c r="AO103" s="165">
        <f t="shared" si="36"/>
        <v>1E-3</v>
      </c>
      <c r="AP103" s="165">
        <f t="shared" si="36"/>
        <v>1E-3</v>
      </c>
      <c r="AQ103" s="165">
        <f t="shared" si="36"/>
        <v>1E-3</v>
      </c>
      <c r="AR103" s="137">
        <v>1E-3</v>
      </c>
    </row>
    <row r="104" spans="30:44">
      <c r="AD104" s="147">
        <f>(AR104-AF104)/12</f>
        <v>0</v>
      </c>
      <c r="AE104" s="153" t="s">
        <v>2</v>
      </c>
      <c r="AF104" s="165">
        <f>$AR$103</f>
        <v>1E-3</v>
      </c>
      <c r="AG104" s="165">
        <v>1E-3</v>
      </c>
      <c r="AH104" s="165">
        <f t="shared" ref="AH104:AQ104" si="37">++AG104+$AD$104</f>
        <v>1E-3</v>
      </c>
      <c r="AI104" s="165">
        <f t="shared" si="37"/>
        <v>1E-3</v>
      </c>
      <c r="AJ104" s="165">
        <f t="shared" si="37"/>
        <v>1E-3</v>
      </c>
      <c r="AK104" s="165">
        <f t="shared" si="37"/>
        <v>1E-3</v>
      </c>
      <c r="AL104" s="165">
        <f t="shared" si="37"/>
        <v>1E-3</v>
      </c>
      <c r="AM104" s="165">
        <f t="shared" si="37"/>
        <v>1E-3</v>
      </c>
      <c r="AN104" s="165">
        <f t="shared" si="37"/>
        <v>1E-3</v>
      </c>
      <c r="AO104" s="165">
        <f t="shared" si="37"/>
        <v>1E-3</v>
      </c>
      <c r="AP104" s="165">
        <f t="shared" si="37"/>
        <v>1E-3</v>
      </c>
      <c r="AQ104" s="165">
        <f t="shared" si="37"/>
        <v>1E-3</v>
      </c>
      <c r="AR104" s="179">
        <f>AR103-(AR103-AR106)*0.5</f>
        <v>1E-3</v>
      </c>
    </row>
    <row r="105" spans="30:44">
      <c r="AD105" s="147">
        <f>(AR105-AF105)/12</f>
        <v>0</v>
      </c>
      <c r="AE105" s="151" t="s">
        <v>2</v>
      </c>
      <c r="AF105" s="165">
        <f>$AR$103</f>
        <v>1E-3</v>
      </c>
      <c r="AG105" s="165">
        <v>1E-3</v>
      </c>
      <c r="AH105" s="165">
        <f t="shared" ref="AH105:AQ105" si="38">++AG105+$AD$105</f>
        <v>1E-3</v>
      </c>
      <c r="AI105" s="165">
        <f t="shared" si="38"/>
        <v>1E-3</v>
      </c>
      <c r="AJ105" s="165">
        <f t="shared" si="38"/>
        <v>1E-3</v>
      </c>
      <c r="AK105" s="165">
        <f t="shared" si="38"/>
        <v>1E-3</v>
      </c>
      <c r="AL105" s="165">
        <f t="shared" si="38"/>
        <v>1E-3</v>
      </c>
      <c r="AM105" s="165">
        <f t="shared" si="38"/>
        <v>1E-3</v>
      </c>
      <c r="AN105" s="165">
        <f t="shared" si="38"/>
        <v>1E-3</v>
      </c>
      <c r="AO105" s="165">
        <f t="shared" si="38"/>
        <v>1E-3</v>
      </c>
      <c r="AP105" s="165">
        <f t="shared" si="38"/>
        <v>1E-3</v>
      </c>
      <c r="AQ105" s="165">
        <f t="shared" si="38"/>
        <v>1E-3</v>
      </c>
      <c r="AR105" s="180">
        <f>AR103-(AR103-AR106)*0.8</f>
        <v>1E-3</v>
      </c>
    </row>
    <row r="106" spans="30:44">
      <c r="AD106" s="147">
        <f>(AR106-AF106)/12</f>
        <v>0</v>
      </c>
      <c r="AE106" s="148" t="s">
        <v>2</v>
      </c>
      <c r="AF106" s="165">
        <f>$AR$103</f>
        <v>1E-3</v>
      </c>
      <c r="AG106" s="165">
        <v>1E-3</v>
      </c>
      <c r="AH106" s="165">
        <f t="shared" ref="AH106:AQ106" si="39">++AG106+$AD$106</f>
        <v>1E-3</v>
      </c>
      <c r="AI106" s="165">
        <f t="shared" si="39"/>
        <v>1E-3</v>
      </c>
      <c r="AJ106" s="165">
        <f t="shared" si="39"/>
        <v>1E-3</v>
      </c>
      <c r="AK106" s="165">
        <f t="shared" si="39"/>
        <v>1E-3</v>
      </c>
      <c r="AL106" s="165">
        <f t="shared" si="39"/>
        <v>1E-3</v>
      </c>
      <c r="AM106" s="165">
        <f t="shared" si="39"/>
        <v>1E-3</v>
      </c>
      <c r="AN106" s="165">
        <f t="shared" si="39"/>
        <v>1E-3</v>
      </c>
      <c r="AO106" s="165">
        <f t="shared" si="39"/>
        <v>1E-3</v>
      </c>
      <c r="AP106" s="165">
        <f t="shared" si="39"/>
        <v>1E-3</v>
      </c>
      <c r="AQ106" s="165">
        <f t="shared" si="39"/>
        <v>1E-3</v>
      </c>
      <c r="AR106" s="181">
        <v>1E-3</v>
      </c>
    </row>
    <row r="107" spans="30:44">
      <c r="AD107" s="130" t="s">
        <v>4</v>
      </c>
      <c r="AE107" s="131"/>
      <c r="AF107" s="136"/>
      <c r="AG107" s="136">
        <f>AG99/(AG108/1000)</f>
        <v>8.2714446496299696E-4</v>
      </c>
      <c r="AH107" s="136">
        <f>AH99/(AH108/1000)</f>
        <v>1.6000590444323437E-3</v>
      </c>
      <c r="AI107" s="136">
        <f>AI99/(AI108/1000)</f>
        <v>9.7856473184335102E-4</v>
      </c>
      <c r="AJ107" s="136">
        <f>AJ99/(AJ108/1000)</f>
        <v>6.8464415234104547E-4</v>
      </c>
      <c r="AK107" s="136">
        <f>AK99/(AK108/1000)</f>
        <v>6.849405386356763E-4</v>
      </c>
      <c r="AL107" s="136" t="e">
        <f t="shared" ref="AL107:AR107" si="40">AL99/(AL108/1000)</f>
        <v>#DIV/0!</v>
      </c>
      <c r="AM107" s="136" t="e">
        <f t="shared" si="40"/>
        <v>#DIV/0!</v>
      </c>
      <c r="AN107" s="136" t="e">
        <f t="shared" si="40"/>
        <v>#DIV/0!</v>
      </c>
      <c r="AO107" s="136" t="e">
        <f t="shared" si="40"/>
        <v>#DIV/0!</v>
      </c>
      <c r="AP107" s="136" t="e">
        <f t="shared" si="40"/>
        <v>#DIV/0!</v>
      </c>
      <c r="AQ107" s="136" t="e">
        <f t="shared" si="40"/>
        <v>#DIV/0!</v>
      </c>
      <c r="AR107" s="137" t="e">
        <f t="shared" si="40"/>
        <v>#DIV/0!</v>
      </c>
    </row>
    <row r="108" spans="30:44" ht="14.5">
      <c r="AD108" s="209" t="s">
        <v>19</v>
      </c>
      <c r="AE108" s="131"/>
      <c r="AF108" s="144"/>
      <c r="AG108" s="603">
        <v>2151982</v>
      </c>
      <c r="AH108" s="644">
        <v>3549869</v>
      </c>
      <c r="AI108" s="644">
        <v>2340162</v>
      </c>
      <c r="AJ108" s="645">
        <v>3885230</v>
      </c>
      <c r="AK108" s="653">
        <v>3454314.45</v>
      </c>
      <c r="AL108" s="211"/>
      <c r="AM108" s="210"/>
      <c r="AN108" s="206"/>
      <c r="AO108" s="212"/>
      <c r="AP108" s="206"/>
      <c r="AQ108" s="206"/>
      <c r="AR108" s="208"/>
    </row>
    <row r="109" spans="30:44">
      <c r="AD109" s="130" t="s">
        <v>5</v>
      </c>
      <c r="AE109" s="131"/>
      <c r="AF109" s="140"/>
      <c r="AG109" s="136">
        <v>1</v>
      </c>
      <c r="AH109" s="136">
        <v>0</v>
      </c>
      <c r="AI109" s="136">
        <v>0</v>
      </c>
      <c r="AJ109" s="136">
        <v>0</v>
      </c>
      <c r="AK109" s="198" t="e">
        <f t="shared" ref="AK109:AR109" si="41">(AK103-AK107)/(AK103-AK106)</f>
        <v>#DIV/0!</v>
      </c>
      <c r="AL109" s="136" t="e">
        <f t="shared" si="41"/>
        <v>#DIV/0!</v>
      </c>
      <c r="AM109" s="136" t="e">
        <f t="shared" si="41"/>
        <v>#DIV/0!</v>
      </c>
      <c r="AN109" s="136" t="e">
        <f t="shared" si="41"/>
        <v>#DIV/0!</v>
      </c>
      <c r="AO109" s="136" t="e">
        <f t="shared" si="41"/>
        <v>#DIV/0!</v>
      </c>
      <c r="AP109" s="136" t="e">
        <f t="shared" si="41"/>
        <v>#DIV/0!</v>
      </c>
      <c r="AQ109" s="136" t="e">
        <f t="shared" si="41"/>
        <v>#DIV/0!</v>
      </c>
      <c r="AR109" s="137" t="e">
        <f t="shared" si="41"/>
        <v>#DIV/0!</v>
      </c>
    </row>
    <row r="110" spans="30:44">
      <c r="AD110" s="163" t="s">
        <v>6</v>
      </c>
      <c r="AE110" s="131"/>
      <c r="AG110" s="138">
        <v>1</v>
      </c>
      <c r="AH110" s="138">
        <f>IF(OR(AH109&gt;=100%),100%,IF(OR(AH109&lt;=0%),0%,AVERAGE(AH109)))</f>
        <v>0</v>
      </c>
      <c r="AI110" s="138">
        <v>1</v>
      </c>
      <c r="AJ110" s="138">
        <v>1</v>
      </c>
      <c r="AK110" s="138">
        <v>1</v>
      </c>
      <c r="AL110" s="138" t="e">
        <f t="shared" ref="AL110:AR110" si="42">IF(OR(AL109&gt;=100%),100%,IF(OR(AL109&lt;=0%),0%,AVERAGE(AL109)))</f>
        <v>#DIV/0!</v>
      </c>
      <c r="AM110" s="138" t="e">
        <f t="shared" si="42"/>
        <v>#DIV/0!</v>
      </c>
      <c r="AN110" s="138" t="e">
        <f t="shared" si="42"/>
        <v>#DIV/0!</v>
      </c>
      <c r="AO110" s="138" t="e">
        <f t="shared" si="42"/>
        <v>#DIV/0!</v>
      </c>
      <c r="AP110" s="138" t="e">
        <f t="shared" si="42"/>
        <v>#DIV/0!</v>
      </c>
      <c r="AQ110" s="138" t="e">
        <f t="shared" si="42"/>
        <v>#DIV/0!</v>
      </c>
      <c r="AR110" s="139" t="e">
        <f t="shared" si="42"/>
        <v>#DIV/0!</v>
      </c>
    </row>
    <row r="111" spans="30:44">
      <c r="AD111" s="905" t="s">
        <v>7</v>
      </c>
      <c r="AE111" s="906"/>
      <c r="AF111" s="140"/>
      <c r="AG111" s="141">
        <f t="shared" ref="AG111:AR111" si="43">AG110*0.2</f>
        <v>0.2</v>
      </c>
      <c r="AH111" s="626">
        <f t="shared" si="43"/>
        <v>0</v>
      </c>
      <c r="AI111" s="141">
        <f t="shared" si="43"/>
        <v>0.2</v>
      </c>
      <c r="AJ111" s="141">
        <f t="shared" si="43"/>
        <v>0.2</v>
      </c>
      <c r="AK111" s="141">
        <f t="shared" si="43"/>
        <v>0.2</v>
      </c>
      <c r="AL111" s="141" t="e">
        <f t="shared" si="43"/>
        <v>#DIV/0!</v>
      </c>
      <c r="AM111" s="141" t="e">
        <f t="shared" si="43"/>
        <v>#DIV/0!</v>
      </c>
      <c r="AN111" s="141" t="e">
        <f t="shared" si="43"/>
        <v>#DIV/0!</v>
      </c>
      <c r="AO111" s="141" t="e">
        <f t="shared" si="43"/>
        <v>#DIV/0!</v>
      </c>
      <c r="AP111" s="141" t="e">
        <f t="shared" si="43"/>
        <v>#DIV/0!</v>
      </c>
      <c r="AQ111" s="141" t="e">
        <f t="shared" si="43"/>
        <v>#DIV/0!</v>
      </c>
      <c r="AR111" s="142" t="e">
        <f t="shared" si="43"/>
        <v>#DIV/0!</v>
      </c>
    </row>
    <row r="112" spans="30:44">
      <c r="AD112" s="177"/>
      <c r="AH112" s="144"/>
      <c r="AR112" s="178"/>
    </row>
    <row r="113" spans="30:44">
      <c r="AD113" s="182"/>
      <c r="AE113" s="183"/>
      <c r="AG113" s="138"/>
      <c r="AH113" s="138"/>
      <c r="AI113" s="138"/>
      <c r="AJ113" s="138"/>
      <c r="AK113" s="138"/>
      <c r="AL113" s="138"/>
      <c r="AM113" s="138"/>
      <c r="AN113" s="138"/>
      <c r="AO113" s="138"/>
      <c r="AP113" s="138"/>
      <c r="AQ113" s="138"/>
      <c r="AR113" s="139"/>
    </row>
    <row r="114" spans="30:44">
      <c r="AD114" s="115" t="s">
        <v>20</v>
      </c>
      <c r="AF114" s="116">
        <v>45352</v>
      </c>
      <c r="AG114" s="116">
        <v>45383</v>
      </c>
      <c r="AH114" s="116">
        <v>45413</v>
      </c>
      <c r="AI114" s="116">
        <v>45444</v>
      </c>
      <c r="AJ114" s="116">
        <v>45474</v>
      </c>
      <c r="AK114" s="116">
        <v>45505</v>
      </c>
      <c r="AL114" s="116">
        <v>45536</v>
      </c>
      <c r="AM114" s="116">
        <v>45566</v>
      </c>
      <c r="AN114" s="116">
        <v>45597</v>
      </c>
      <c r="AO114" s="116">
        <v>45627</v>
      </c>
      <c r="AP114" s="116">
        <v>45658</v>
      </c>
      <c r="AQ114" s="116">
        <v>45689</v>
      </c>
      <c r="AR114" s="117">
        <v>45717</v>
      </c>
    </row>
    <row r="115" spans="30:44">
      <c r="AD115" s="118">
        <f>(AR115-AF115)/12</f>
        <v>0</v>
      </c>
      <c r="AE115" s="148" t="s">
        <v>2</v>
      </c>
      <c r="AF115" s="165">
        <f>$AR$118</f>
        <v>0.99970000000000003</v>
      </c>
      <c r="AG115" s="167">
        <v>0.99970000000000003</v>
      </c>
      <c r="AH115" s="167">
        <f t="shared" ref="AH115:AQ115" si="44">++AG115+$AD$115</f>
        <v>0.99970000000000003</v>
      </c>
      <c r="AI115" s="167">
        <f t="shared" si="44"/>
        <v>0.99970000000000003</v>
      </c>
      <c r="AJ115" s="167">
        <f t="shared" si="44"/>
        <v>0.99970000000000003</v>
      </c>
      <c r="AK115" s="167">
        <f t="shared" si="44"/>
        <v>0.99970000000000003</v>
      </c>
      <c r="AL115" s="167">
        <f t="shared" si="44"/>
        <v>0.99970000000000003</v>
      </c>
      <c r="AM115" s="167">
        <f t="shared" si="44"/>
        <v>0.99970000000000003</v>
      </c>
      <c r="AN115" s="167">
        <f t="shared" si="44"/>
        <v>0.99970000000000003</v>
      </c>
      <c r="AO115" s="167">
        <f t="shared" si="44"/>
        <v>0.99970000000000003</v>
      </c>
      <c r="AP115" s="167">
        <f t="shared" si="44"/>
        <v>0.99970000000000003</v>
      </c>
      <c r="AQ115" s="167">
        <f t="shared" si="44"/>
        <v>0.99970000000000003</v>
      </c>
      <c r="AR115" s="166">
        <v>0.99970000000000003</v>
      </c>
    </row>
    <row r="116" spans="30:44">
      <c r="AD116" s="118">
        <f>(AR116-AF116)/12</f>
        <v>0</v>
      </c>
      <c r="AE116" s="151" t="s">
        <v>2</v>
      </c>
      <c r="AF116" s="165">
        <f>$AR$118</f>
        <v>0.99970000000000003</v>
      </c>
      <c r="AG116" s="167">
        <v>0.99970000000000003</v>
      </c>
      <c r="AH116" s="167">
        <f t="shared" ref="AH116:AQ116" si="45">++AG116+$AD$116</f>
        <v>0.99970000000000003</v>
      </c>
      <c r="AI116" s="167">
        <f t="shared" si="45"/>
        <v>0.99970000000000003</v>
      </c>
      <c r="AJ116" s="167">
        <f t="shared" si="45"/>
        <v>0.99970000000000003</v>
      </c>
      <c r="AK116" s="167">
        <f t="shared" si="45"/>
        <v>0.99970000000000003</v>
      </c>
      <c r="AL116" s="167">
        <f t="shared" si="45"/>
        <v>0.99970000000000003</v>
      </c>
      <c r="AM116" s="167">
        <f t="shared" si="45"/>
        <v>0.99970000000000003</v>
      </c>
      <c r="AN116" s="167">
        <f t="shared" si="45"/>
        <v>0.99970000000000003</v>
      </c>
      <c r="AO116" s="167">
        <f t="shared" si="45"/>
        <v>0.99970000000000003</v>
      </c>
      <c r="AP116" s="167">
        <f t="shared" si="45"/>
        <v>0.99970000000000003</v>
      </c>
      <c r="AQ116" s="167">
        <f t="shared" si="45"/>
        <v>0.99970000000000003</v>
      </c>
      <c r="AR116" s="168">
        <f>AR115-(AR115-AR118)*0.2</f>
        <v>0.99970000000000003</v>
      </c>
    </row>
    <row r="117" spans="30:44">
      <c r="AD117" s="118">
        <f>(AR117-AF117)/12</f>
        <v>0</v>
      </c>
      <c r="AE117" s="153" t="s">
        <v>2</v>
      </c>
      <c r="AF117" s="165">
        <f>$AR$118</f>
        <v>0.99970000000000003</v>
      </c>
      <c r="AG117" s="167">
        <v>0.99970000000000003</v>
      </c>
      <c r="AH117" s="167">
        <f t="shared" ref="AH117:AQ117" si="46">++AG117+$AD$117</f>
        <v>0.99970000000000003</v>
      </c>
      <c r="AI117" s="167">
        <f t="shared" si="46"/>
        <v>0.99970000000000003</v>
      </c>
      <c r="AJ117" s="167">
        <f t="shared" si="46"/>
        <v>0.99970000000000003</v>
      </c>
      <c r="AK117" s="167">
        <f t="shared" si="46"/>
        <v>0.99970000000000003</v>
      </c>
      <c r="AL117" s="167">
        <f t="shared" si="46"/>
        <v>0.99970000000000003</v>
      </c>
      <c r="AM117" s="167">
        <f t="shared" si="46"/>
        <v>0.99970000000000003</v>
      </c>
      <c r="AN117" s="167">
        <f t="shared" si="46"/>
        <v>0.99970000000000003</v>
      </c>
      <c r="AO117" s="167">
        <f t="shared" si="46"/>
        <v>0.99970000000000003</v>
      </c>
      <c r="AP117" s="167">
        <f t="shared" si="46"/>
        <v>0.99970000000000003</v>
      </c>
      <c r="AQ117" s="167">
        <f t="shared" si="46"/>
        <v>0.99970000000000003</v>
      </c>
      <c r="AR117" s="169">
        <f>AR115-(AR115-AR118)*0.5</f>
        <v>0.99970000000000003</v>
      </c>
    </row>
    <row r="118" spans="30:44">
      <c r="AD118" s="118">
        <f>(AR118-AF118)/12</f>
        <v>0</v>
      </c>
      <c r="AE118" s="127"/>
      <c r="AF118" s="165">
        <f>$AR$118</f>
        <v>0.99970000000000003</v>
      </c>
      <c r="AG118" s="165">
        <v>0.99970000000000003</v>
      </c>
      <c r="AH118" s="165">
        <f t="shared" ref="AH118:AQ118" si="47">$AR$118</f>
        <v>0.99970000000000003</v>
      </c>
      <c r="AI118" s="165">
        <f t="shared" si="47"/>
        <v>0.99970000000000003</v>
      </c>
      <c r="AJ118" s="165">
        <f t="shared" si="47"/>
        <v>0.99970000000000003</v>
      </c>
      <c r="AK118" s="165">
        <f t="shared" si="47"/>
        <v>0.99970000000000003</v>
      </c>
      <c r="AL118" s="165">
        <f t="shared" si="47"/>
        <v>0.99970000000000003</v>
      </c>
      <c r="AM118" s="165">
        <f t="shared" si="47"/>
        <v>0.99970000000000003</v>
      </c>
      <c r="AN118" s="165">
        <f t="shared" si="47"/>
        <v>0.99970000000000003</v>
      </c>
      <c r="AO118" s="165">
        <f t="shared" si="47"/>
        <v>0.99970000000000003</v>
      </c>
      <c r="AP118" s="165">
        <f t="shared" si="47"/>
        <v>0.99970000000000003</v>
      </c>
      <c r="AQ118" s="165">
        <f t="shared" si="47"/>
        <v>0.99970000000000003</v>
      </c>
      <c r="AR118" s="170">
        <v>0.99970000000000003</v>
      </c>
    </row>
    <row r="119" spans="30:44">
      <c r="AD119" s="130" t="s">
        <v>4</v>
      </c>
      <c r="AE119" s="131"/>
      <c r="AF119" s="171"/>
      <c r="AG119" s="136">
        <v>0.99570000000000003</v>
      </c>
      <c r="AH119" s="136">
        <f t="shared" ref="AH119:AR119" si="48">AH121/AH120</f>
        <v>0.99802110817941958</v>
      </c>
      <c r="AI119" s="136">
        <f t="shared" si="48"/>
        <v>0.9965870307167235</v>
      </c>
      <c r="AJ119" s="136">
        <f t="shared" si="48"/>
        <v>0.9965870307167235</v>
      </c>
      <c r="AK119" s="136">
        <f t="shared" si="48"/>
        <v>0.99805447470817121</v>
      </c>
      <c r="AL119" s="136" t="e">
        <f t="shared" si="48"/>
        <v>#DIV/0!</v>
      </c>
      <c r="AM119" s="136" t="e">
        <f t="shared" si="48"/>
        <v>#DIV/0!</v>
      </c>
      <c r="AN119" s="136" t="e">
        <f t="shared" si="48"/>
        <v>#DIV/0!</v>
      </c>
      <c r="AO119" s="136" t="e">
        <f t="shared" si="48"/>
        <v>#DIV/0!</v>
      </c>
      <c r="AP119" s="136" t="e">
        <f t="shared" si="48"/>
        <v>#DIV/0!</v>
      </c>
      <c r="AQ119" s="136" t="e">
        <f t="shared" si="48"/>
        <v>#DIV/0!</v>
      </c>
      <c r="AR119" s="137" t="e">
        <f t="shared" si="48"/>
        <v>#DIV/0!</v>
      </c>
    </row>
    <row r="120" spans="30:44" ht="14.5">
      <c r="AD120" s="900" t="s">
        <v>21</v>
      </c>
      <c r="AE120" s="901"/>
      <c r="AF120" s="172"/>
      <c r="AG120" s="604">
        <v>1154</v>
      </c>
      <c r="AH120" s="213">
        <v>1516</v>
      </c>
      <c r="AI120" s="214">
        <v>1465</v>
      </c>
      <c r="AJ120" s="214">
        <v>1465</v>
      </c>
      <c r="AK120" s="654">
        <v>1028</v>
      </c>
      <c r="AL120" s="111"/>
      <c r="AM120" s="111"/>
      <c r="AN120" s="111"/>
      <c r="AO120" s="215"/>
      <c r="AP120" s="111"/>
      <c r="AQ120" s="215"/>
      <c r="AR120" s="216"/>
    </row>
    <row r="121" spans="30:44" ht="14.5">
      <c r="AD121" s="900" t="s">
        <v>22</v>
      </c>
      <c r="AE121" s="901"/>
      <c r="AF121" s="172"/>
      <c r="AG121" s="604">
        <v>1149</v>
      </c>
      <c r="AH121" s="213">
        <v>1513</v>
      </c>
      <c r="AI121" s="214">
        <v>1460</v>
      </c>
      <c r="AJ121" s="214">
        <v>1460</v>
      </c>
      <c r="AK121" s="654">
        <v>1026</v>
      </c>
      <c r="AL121" s="217"/>
      <c r="AM121" s="218"/>
      <c r="AN121" s="111"/>
      <c r="AO121" s="215"/>
      <c r="AP121" s="215"/>
      <c r="AQ121" s="215"/>
      <c r="AR121" s="219"/>
    </row>
    <row r="122" spans="30:44">
      <c r="AD122" s="163" t="s">
        <v>5</v>
      </c>
      <c r="AE122" s="131"/>
      <c r="AG122" s="136">
        <v>0</v>
      </c>
      <c r="AH122" s="136">
        <v>0</v>
      </c>
      <c r="AI122" s="136">
        <v>0</v>
      </c>
      <c r="AJ122" s="136">
        <v>0</v>
      </c>
      <c r="AK122" s="136" t="e">
        <f t="shared" ref="AK122:AR122" si="49">(AK119-AK118)/(AK115-AK118)</f>
        <v>#DIV/0!</v>
      </c>
      <c r="AL122" s="136" t="e">
        <f t="shared" si="49"/>
        <v>#DIV/0!</v>
      </c>
      <c r="AM122" s="136" t="e">
        <f t="shared" si="49"/>
        <v>#DIV/0!</v>
      </c>
      <c r="AN122" s="136" t="e">
        <f t="shared" si="49"/>
        <v>#DIV/0!</v>
      </c>
      <c r="AO122" s="136" t="e">
        <f t="shared" si="49"/>
        <v>#DIV/0!</v>
      </c>
      <c r="AP122" s="136" t="e">
        <f t="shared" si="49"/>
        <v>#DIV/0!</v>
      </c>
      <c r="AQ122" s="136" t="e">
        <f t="shared" si="49"/>
        <v>#DIV/0!</v>
      </c>
      <c r="AR122" s="137" t="e">
        <f t="shared" si="49"/>
        <v>#DIV/0!</v>
      </c>
    </row>
    <row r="123" spans="30:44">
      <c r="AD123" s="163" t="s">
        <v>6</v>
      </c>
      <c r="AE123" s="131"/>
      <c r="AG123" s="138">
        <v>0</v>
      </c>
      <c r="AH123" s="138">
        <f t="shared" ref="AH123:AR123" si="50">IF(OR(AH122&gt;=100%),100%,IF(OR(AH122&lt;=0%),0%,AVERAGE(AH122)))</f>
        <v>0</v>
      </c>
      <c r="AI123" s="138">
        <f t="shared" si="50"/>
        <v>0</v>
      </c>
      <c r="AJ123" s="138">
        <f t="shared" si="50"/>
        <v>0</v>
      </c>
      <c r="AK123" s="138">
        <v>0</v>
      </c>
      <c r="AL123" s="138" t="e">
        <f t="shared" si="50"/>
        <v>#DIV/0!</v>
      </c>
      <c r="AM123" s="138" t="e">
        <f t="shared" si="50"/>
        <v>#DIV/0!</v>
      </c>
      <c r="AN123" s="138" t="e">
        <f t="shared" si="50"/>
        <v>#DIV/0!</v>
      </c>
      <c r="AO123" s="138" t="e">
        <f t="shared" si="50"/>
        <v>#DIV/0!</v>
      </c>
      <c r="AP123" s="138" t="e">
        <f t="shared" si="50"/>
        <v>#DIV/0!</v>
      </c>
      <c r="AQ123" s="138" t="e">
        <f t="shared" si="50"/>
        <v>#DIV/0!</v>
      </c>
      <c r="AR123" s="139" t="e">
        <f t="shared" si="50"/>
        <v>#DIV/0!</v>
      </c>
    </row>
    <row r="124" spans="30:44">
      <c r="AD124" s="905" t="s">
        <v>7</v>
      </c>
      <c r="AE124" s="906"/>
      <c r="AF124" s="140"/>
      <c r="AG124" s="626">
        <f t="shared" ref="AG124:AR124" si="51">AG123*0.15</f>
        <v>0</v>
      </c>
      <c r="AH124" s="626">
        <f t="shared" si="51"/>
        <v>0</v>
      </c>
      <c r="AI124" s="626">
        <f t="shared" si="51"/>
        <v>0</v>
      </c>
      <c r="AJ124" s="141">
        <f t="shared" si="51"/>
        <v>0</v>
      </c>
      <c r="AK124" s="141">
        <f t="shared" si="51"/>
        <v>0</v>
      </c>
      <c r="AL124" s="141" t="e">
        <f t="shared" si="51"/>
        <v>#DIV/0!</v>
      </c>
      <c r="AM124" s="141" t="e">
        <f t="shared" si="51"/>
        <v>#DIV/0!</v>
      </c>
      <c r="AN124" s="141" t="e">
        <f t="shared" si="51"/>
        <v>#DIV/0!</v>
      </c>
      <c r="AO124" s="141" t="e">
        <f t="shared" si="51"/>
        <v>#DIV/0!</v>
      </c>
      <c r="AP124" s="141" t="e">
        <f t="shared" si="51"/>
        <v>#DIV/0!</v>
      </c>
      <c r="AQ124" s="141" t="e">
        <f t="shared" si="51"/>
        <v>#DIV/0!</v>
      </c>
      <c r="AR124" s="142" t="e">
        <f t="shared" si="51"/>
        <v>#DIV/0!</v>
      </c>
    </row>
    <row r="125" spans="30:44">
      <c r="AD125" s="182"/>
      <c r="AE125" s="183"/>
      <c r="AG125" s="138"/>
      <c r="AH125" s="138"/>
      <c r="AI125" s="138"/>
      <c r="AJ125" s="138"/>
      <c r="AK125" s="138"/>
      <c r="AL125" s="138"/>
      <c r="AM125" s="138"/>
      <c r="AN125" s="138"/>
      <c r="AO125" s="138"/>
      <c r="AP125" s="138"/>
      <c r="AQ125" s="138"/>
      <c r="AR125" s="139"/>
    </row>
    <row r="126" spans="30:44">
      <c r="AD126" s="182"/>
      <c r="AE126" s="183"/>
      <c r="AG126" s="138"/>
      <c r="AH126" s="138"/>
      <c r="AI126" s="138"/>
      <c r="AJ126" s="138"/>
      <c r="AK126" s="138"/>
      <c r="AL126" s="138"/>
      <c r="AM126" s="138"/>
      <c r="AN126" s="138"/>
      <c r="AO126" s="138"/>
      <c r="AP126" s="138"/>
      <c r="AQ126" s="138"/>
      <c r="AR126" s="139"/>
    </row>
    <row r="127" spans="30:44">
      <c r="AD127" s="115" t="s">
        <v>23</v>
      </c>
      <c r="AF127" s="116">
        <v>45352</v>
      </c>
      <c r="AG127" s="116">
        <v>45383</v>
      </c>
      <c r="AH127" s="116">
        <v>45413</v>
      </c>
      <c r="AI127" s="116">
        <v>45444</v>
      </c>
      <c r="AJ127" s="116">
        <v>45474</v>
      </c>
      <c r="AK127" s="116">
        <v>45505</v>
      </c>
      <c r="AL127" s="116">
        <v>45536</v>
      </c>
      <c r="AM127" s="116">
        <v>45566</v>
      </c>
      <c r="AN127" s="116">
        <v>45597</v>
      </c>
      <c r="AO127" s="116">
        <v>45627</v>
      </c>
      <c r="AP127" s="116">
        <v>45658</v>
      </c>
      <c r="AQ127" s="116">
        <v>45689</v>
      </c>
      <c r="AR127" s="117">
        <v>45717</v>
      </c>
    </row>
    <row r="128" spans="30:44">
      <c r="AD128" s="147">
        <f>(AR128-AF128)/12</f>
        <v>0</v>
      </c>
      <c r="AE128" s="127"/>
      <c r="AF128" s="149">
        <f>$AR$128</f>
        <v>5</v>
      </c>
      <c r="AG128" s="149">
        <v>5</v>
      </c>
      <c r="AH128" s="149">
        <f t="shared" ref="AH128:AQ128" si="52">++AG128+$AD$128</f>
        <v>5</v>
      </c>
      <c r="AI128" s="149">
        <f t="shared" si="52"/>
        <v>5</v>
      </c>
      <c r="AJ128" s="149">
        <f t="shared" si="52"/>
        <v>5</v>
      </c>
      <c r="AK128" s="149">
        <f t="shared" si="52"/>
        <v>5</v>
      </c>
      <c r="AL128" s="149">
        <f t="shared" si="52"/>
        <v>5</v>
      </c>
      <c r="AM128" s="149">
        <f t="shared" si="52"/>
        <v>5</v>
      </c>
      <c r="AN128" s="149">
        <f t="shared" si="52"/>
        <v>5</v>
      </c>
      <c r="AO128" s="149">
        <f t="shared" si="52"/>
        <v>5</v>
      </c>
      <c r="AP128" s="149">
        <f t="shared" si="52"/>
        <v>5</v>
      </c>
      <c r="AQ128" s="149">
        <f t="shared" si="52"/>
        <v>5</v>
      </c>
      <c r="AR128" s="159">
        <v>5</v>
      </c>
    </row>
    <row r="129" spans="30:44">
      <c r="AD129" s="147">
        <f>(AR129-AF129)/12</f>
        <v>-6.25E-2</v>
      </c>
      <c r="AE129" s="153" t="s">
        <v>2</v>
      </c>
      <c r="AF129" s="149">
        <f>$AR$128</f>
        <v>5</v>
      </c>
      <c r="AG129" s="149">
        <v>4.9375</v>
      </c>
      <c r="AH129" s="149">
        <f t="shared" ref="AH129:AQ129" si="53">++AG129+$AD$129</f>
        <v>4.875</v>
      </c>
      <c r="AI129" s="149">
        <f t="shared" si="53"/>
        <v>4.8125</v>
      </c>
      <c r="AJ129" s="149">
        <f t="shared" si="53"/>
        <v>4.75</v>
      </c>
      <c r="AK129" s="149">
        <f t="shared" si="53"/>
        <v>4.6875</v>
      </c>
      <c r="AL129" s="149">
        <f t="shared" si="53"/>
        <v>4.625</v>
      </c>
      <c r="AM129" s="149">
        <f t="shared" si="53"/>
        <v>4.5625</v>
      </c>
      <c r="AN129" s="149">
        <f t="shared" si="53"/>
        <v>4.5</v>
      </c>
      <c r="AO129" s="149">
        <f t="shared" si="53"/>
        <v>4.4375</v>
      </c>
      <c r="AP129" s="149">
        <f t="shared" si="53"/>
        <v>4.375</v>
      </c>
      <c r="AQ129" s="149">
        <f t="shared" si="53"/>
        <v>4.3125</v>
      </c>
      <c r="AR129" s="154">
        <f>AR128-(AR128-AR131)*0.5</f>
        <v>4.25</v>
      </c>
    </row>
    <row r="130" spans="30:44">
      <c r="AD130" s="147">
        <f>(AR130-AF130)/12</f>
        <v>-0.10000000000000002</v>
      </c>
      <c r="AE130" s="151" t="s">
        <v>2</v>
      </c>
      <c r="AF130" s="149">
        <f>$AR$128</f>
        <v>5</v>
      </c>
      <c r="AG130" s="149">
        <v>4.9000000000000004</v>
      </c>
      <c r="AH130" s="149">
        <f t="shared" ref="AH130:AQ130" si="54">++AG130+$AD$130</f>
        <v>4.8000000000000007</v>
      </c>
      <c r="AI130" s="149">
        <f t="shared" si="54"/>
        <v>4.7000000000000011</v>
      </c>
      <c r="AJ130" s="149">
        <f t="shared" si="54"/>
        <v>4.6000000000000014</v>
      </c>
      <c r="AK130" s="149">
        <f t="shared" si="54"/>
        <v>4.5000000000000018</v>
      </c>
      <c r="AL130" s="149">
        <f t="shared" si="54"/>
        <v>4.4000000000000021</v>
      </c>
      <c r="AM130" s="149">
        <f t="shared" si="54"/>
        <v>4.3000000000000025</v>
      </c>
      <c r="AN130" s="149">
        <f t="shared" si="54"/>
        <v>4.2000000000000028</v>
      </c>
      <c r="AO130" s="149">
        <f t="shared" si="54"/>
        <v>4.1000000000000032</v>
      </c>
      <c r="AP130" s="149">
        <f t="shared" si="54"/>
        <v>4.0000000000000036</v>
      </c>
      <c r="AQ130" s="149">
        <f t="shared" si="54"/>
        <v>3.9000000000000035</v>
      </c>
      <c r="AR130" s="152">
        <f>AR128-(AR128-AR131)*0.8</f>
        <v>3.8</v>
      </c>
    </row>
    <row r="131" spans="30:44">
      <c r="AD131" s="147">
        <f>(AR131-AF131)/12</f>
        <v>-0.125</v>
      </c>
      <c r="AE131" s="148" t="s">
        <v>2</v>
      </c>
      <c r="AF131" s="149">
        <f>$AR$128</f>
        <v>5</v>
      </c>
      <c r="AG131" s="149">
        <v>4.875</v>
      </c>
      <c r="AH131" s="149">
        <f t="shared" ref="AH131:AQ131" si="55">++AG131+$AD$131</f>
        <v>4.75</v>
      </c>
      <c r="AI131" s="149">
        <f t="shared" si="55"/>
        <v>4.625</v>
      </c>
      <c r="AJ131" s="149">
        <f t="shared" si="55"/>
        <v>4.5</v>
      </c>
      <c r="AK131" s="149">
        <f t="shared" si="55"/>
        <v>4.375</v>
      </c>
      <c r="AL131" s="149">
        <f t="shared" si="55"/>
        <v>4.25</v>
      </c>
      <c r="AM131" s="149">
        <f t="shared" si="55"/>
        <v>4.125</v>
      </c>
      <c r="AN131" s="149">
        <f t="shared" si="55"/>
        <v>4</v>
      </c>
      <c r="AO131" s="149">
        <f t="shared" si="55"/>
        <v>3.875</v>
      </c>
      <c r="AP131" s="149">
        <f t="shared" si="55"/>
        <v>3.75</v>
      </c>
      <c r="AQ131" s="149">
        <f t="shared" si="55"/>
        <v>3.625</v>
      </c>
      <c r="AR131" s="601">
        <v>3.5</v>
      </c>
    </row>
    <row r="132" spans="30:44">
      <c r="AD132" s="130" t="s">
        <v>4</v>
      </c>
      <c r="AE132" s="131"/>
      <c r="AF132" s="158"/>
      <c r="AG132" s="158">
        <v>18.076906390547947</v>
      </c>
      <c r="AH132" s="158">
        <f t="shared" ref="AH132:AQ132" si="56">AH134/AH133*1000000</f>
        <v>6.4060541482403641</v>
      </c>
      <c r="AI132" s="158">
        <f t="shared" si="56"/>
        <v>9.032836166030755</v>
      </c>
      <c r="AJ132" s="158">
        <f t="shared" si="56"/>
        <v>5.0866511015142954</v>
      </c>
      <c r="AK132" s="158">
        <f t="shared" si="56"/>
        <v>4.7171368865953118</v>
      </c>
      <c r="AL132" s="158" t="e">
        <f t="shared" si="56"/>
        <v>#DIV/0!</v>
      </c>
      <c r="AM132" s="158" t="e">
        <f t="shared" si="56"/>
        <v>#DIV/0!</v>
      </c>
      <c r="AN132" s="158" t="e">
        <f t="shared" si="56"/>
        <v>#DIV/0!</v>
      </c>
      <c r="AO132" s="158" t="e">
        <f t="shared" si="56"/>
        <v>#DIV/0!</v>
      </c>
      <c r="AP132" s="158" t="e">
        <f t="shared" si="56"/>
        <v>#DIV/0!</v>
      </c>
      <c r="AQ132" s="158" t="e">
        <f t="shared" si="56"/>
        <v>#DIV/0!</v>
      </c>
      <c r="AR132" s="159" t="e">
        <f>AR134/AR133*1000000</f>
        <v>#DIV/0!</v>
      </c>
    </row>
    <row r="133" spans="30:44" ht="15.5">
      <c r="AD133" s="719" t="s">
        <v>24</v>
      </c>
      <c r="AE133" s="720"/>
      <c r="AF133" s="158"/>
      <c r="AG133" s="605">
        <v>276596</v>
      </c>
      <c r="AH133" s="220">
        <v>468307</v>
      </c>
      <c r="AI133" s="221">
        <v>553536</v>
      </c>
      <c r="AJ133" s="221">
        <v>982965</v>
      </c>
      <c r="AK133" s="655">
        <v>423986</v>
      </c>
      <c r="AL133" s="222"/>
      <c r="AM133" s="223"/>
      <c r="AN133" s="111"/>
      <c r="AO133" s="215"/>
      <c r="AP133" s="224"/>
      <c r="AQ133" s="223"/>
      <c r="AR133" s="225"/>
    </row>
    <row r="134" spans="30:44" ht="15.5">
      <c r="AD134" s="160"/>
      <c r="AE134" s="161" t="s">
        <v>14</v>
      </c>
      <c r="AF134" s="158"/>
      <c r="AG134" s="605">
        <v>5</v>
      </c>
      <c r="AH134" s="220">
        <v>3</v>
      </c>
      <c r="AI134" s="221">
        <v>5</v>
      </c>
      <c r="AJ134" s="221">
        <v>5</v>
      </c>
      <c r="AK134" s="655">
        <v>2</v>
      </c>
      <c r="AL134" s="222"/>
      <c r="AM134" s="223"/>
      <c r="AN134" s="111"/>
      <c r="AO134" s="224"/>
      <c r="AP134" s="224"/>
      <c r="AQ134" s="223"/>
      <c r="AR134" s="225"/>
    </row>
    <row r="135" spans="30:44">
      <c r="AD135" s="130"/>
      <c r="AE135" s="131"/>
      <c r="AF135" s="184"/>
      <c r="AG135" s="185"/>
      <c r="AH135" s="134"/>
      <c r="AI135" s="134"/>
      <c r="AJ135" s="134"/>
      <c r="AK135" s="134"/>
      <c r="AL135" s="186"/>
      <c r="AM135" s="134"/>
      <c r="AN135" s="134"/>
      <c r="AO135" s="134"/>
      <c r="AP135" s="134"/>
      <c r="AQ135" s="134"/>
      <c r="AR135" s="135"/>
    </row>
    <row r="136" spans="30:44">
      <c r="AD136" s="130" t="s">
        <v>5</v>
      </c>
      <c r="AE136" s="131"/>
      <c r="AF136" s="140"/>
      <c r="AG136" s="136">
        <v>-104.61525112438358</v>
      </c>
      <c r="AH136" s="136">
        <f t="shared" ref="AH136:AR136" si="57">(AH128-AH132)/(AH128-AH131)</f>
        <v>-5.6242165929614565</v>
      </c>
      <c r="AI136" s="136">
        <f>(AI128-AI132)/(AI128-AI131)</f>
        <v>-10.754229776082013</v>
      </c>
      <c r="AJ136" s="136">
        <f>(AJ128-AJ132)/(AJ128-AJ131)</f>
        <v>-0.1733022030285909</v>
      </c>
      <c r="AK136" s="136">
        <f t="shared" si="57"/>
        <v>0.45258098144750109</v>
      </c>
      <c r="AL136" s="136" t="e">
        <f t="shared" si="57"/>
        <v>#DIV/0!</v>
      </c>
      <c r="AM136" s="136" t="e">
        <f t="shared" si="57"/>
        <v>#DIV/0!</v>
      </c>
      <c r="AN136" s="136" t="e">
        <f t="shared" si="57"/>
        <v>#DIV/0!</v>
      </c>
      <c r="AO136" s="136" t="e">
        <f t="shared" si="57"/>
        <v>#DIV/0!</v>
      </c>
      <c r="AP136" s="136" t="e">
        <f t="shared" si="57"/>
        <v>#DIV/0!</v>
      </c>
      <c r="AQ136" s="136" t="e">
        <f t="shared" si="57"/>
        <v>#DIV/0!</v>
      </c>
      <c r="AR136" s="137" t="e">
        <f t="shared" si="57"/>
        <v>#DIV/0!</v>
      </c>
    </row>
    <row r="137" spans="30:44">
      <c r="AD137" s="163" t="s">
        <v>6</v>
      </c>
      <c r="AE137" s="131"/>
      <c r="AG137" s="138">
        <v>0</v>
      </c>
      <c r="AH137" s="138">
        <f t="shared" ref="AH137:AR137" si="58">IF(OR(AH136&gt;=100%),100%,IF(OR(AH136&lt;=0%),0%,AVERAGE(AH136)))</f>
        <v>0</v>
      </c>
      <c r="AI137" s="138">
        <f t="shared" si="58"/>
        <v>0</v>
      </c>
      <c r="AJ137" s="138">
        <f t="shared" si="58"/>
        <v>0</v>
      </c>
      <c r="AK137" s="138">
        <f t="shared" si="58"/>
        <v>0.45258098144750109</v>
      </c>
      <c r="AL137" s="138" t="e">
        <f t="shared" si="58"/>
        <v>#DIV/0!</v>
      </c>
      <c r="AM137" s="138" t="e">
        <f t="shared" si="58"/>
        <v>#DIV/0!</v>
      </c>
      <c r="AN137" s="138" t="e">
        <f t="shared" si="58"/>
        <v>#DIV/0!</v>
      </c>
      <c r="AO137" s="138" t="e">
        <f t="shared" si="58"/>
        <v>#DIV/0!</v>
      </c>
      <c r="AP137" s="138" t="e">
        <f t="shared" si="58"/>
        <v>#DIV/0!</v>
      </c>
      <c r="AQ137" s="138" t="e">
        <f t="shared" si="58"/>
        <v>#DIV/0!</v>
      </c>
      <c r="AR137" s="139" t="e">
        <f t="shared" si="58"/>
        <v>#DIV/0!</v>
      </c>
    </row>
    <row r="138" spans="30:44">
      <c r="AD138" s="905" t="s">
        <v>7</v>
      </c>
      <c r="AE138" s="906"/>
      <c r="AF138" s="140"/>
      <c r="AG138" s="626">
        <f t="shared" ref="AG138:AR138" si="59">AG137*0.15</f>
        <v>0</v>
      </c>
      <c r="AH138" s="626">
        <f t="shared" si="59"/>
        <v>0</v>
      </c>
      <c r="AI138" s="626">
        <f t="shared" si="59"/>
        <v>0</v>
      </c>
      <c r="AJ138" s="141">
        <f t="shared" si="59"/>
        <v>0</v>
      </c>
      <c r="AK138" s="141">
        <f t="shared" si="59"/>
        <v>6.788714721712516E-2</v>
      </c>
      <c r="AL138" s="141" t="e">
        <f t="shared" si="59"/>
        <v>#DIV/0!</v>
      </c>
      <c r="AM138" s="141" t="e">
        <f t="shared" si="59"/>
        <v>#DIV/0!</v>
      </c>
      <c r="AN138" s="141" t="e">
        <f t="shared" si="59"/>
        <v>#DIV/0!</v>
      </c>
      <c r="AO138" s="141" t="e">
        <f t="shared" si="59"/>
        <v>#DIV/0!</v>
      </c>
      <c r="AP138" s="141" t="e">
        <f t="shared" si="59"/>
        <v>#DIV/0!</v>
      </c>
      <c r="AQ138" s="141" t="e">
        <f t="shared" si="59"/>
        <v>#DIV/0!</v>
      </c>
      <c r="AR138" s="142" t="e">
        <f t="shared" si="59"/>
        <v>#DIV/0!</v>
      </c>
    </row>
    <row r="139" spans="30:44">
      <c r="AD139" s="182"/>
      <c r="AE139" s="183"/>
      <c r="AG139" s="138"/>
      <c r="AH139" s="138"/>
      <c r="AI139" s="138"/>
      <c r="AJ139" s="138"/>
      <c r="AK139" s="138"/>
      <c r="AL139" s="138"/>
      <c r="AM139" s="138"/>
      <c r="AN139" s="138"/>
      <c r="AO139" s="138"/>
      <c r="AP139" s="138"/>
      <c r="AQ139" s="138"/>
      <c r="AR139" s="139"/>
    </row>
    <row r="140" spans="30:44">
      <c r="AD140" s="182"/>
      <c r="AE140" s="183"/>
      <c r="AG140" s="187"/>
      <c r="AH140" s="187"/>
      <c r="AI140" s="187"/>
      <c r="AJ140" s="187"/>
      <c r="AK140" s="187"/>
      <c r="AL140" s="187"/>
      <c r="AM140" s="187"/>
      <c r="AN140" s="187"/>
      <c r="AO140" s="187"/>
      <c r="AP140" s="187"/>
      <c r="AQ140" s="187"/>
      <c r="AR140" s="188"/>
    </row>
    <row r="141" spans="30:44" ht="16" thickBot="1">
      <c r="AD141" s="189" t="s">
        <v>25</v>
      </c>
      <c r="AE141" s="190"/>
      <c r="AF141" s="191"/>
      <c r="AG141" s="192">
        <f>SUM(AG54,AG68,AG83,AG96,AG111,AG138,AG124)</f>
        <v>0.7</v>
      </c>
      <c r="AH141" s="192">
        <f>SUM(AH54,AH68,AH83,AH96,AH111,AH138,AH124)</f>
        <v>0.1</v>
      </c>
      <c r="AI141" s="192">
        <f>SUM(AI54,AI68,AI83,AI96,AI111,AI138,AI124)</f>
        <v>0.30000000000000004</v>
      </c>
      <c r="AJ141" s="192">
        <f t="shared" ref="AJ141:AR141" si="60">SUM(AJ54,AJ68,AJ83,AJ96,AJ111,AJ138,AJ124)</f>
        <v>0.30000000000000004</v>
      </c>
      <c r="AK141" s="192">
        <f>SUM(AK54,AK68,AK83,AK96,AK111,AK138,AK124)</f>
        <v>0.31788714721712519</v>
      </c>
      <c r="AL141" s="192" t="e">
        <f t="shared" si="60"/>
        <v>#DIV/0!</v>
      </c>
      <c r="AM141" s="192" t="e">
        <f t="shared" si="60"/>
        <v>#DIV/0!</v>
      </c>
      <c r="AN141" s="192" t="e">
        <f t="shared" si="60"/>
        <v>#DIV/0!</v>
      </c>
      <c r="AO141" s="192" t="e">
        <f t="shared" si="60"/>
        <v>#DIV/0!</v>
      </c>
      <c r="AP141" s="192" t="e">
        <f t="shared" si="60"/>
        <v>#DIV/0!</v>
      </c>
      <c r="AQ141" s="192" t="e">
        <f t="shared" si="60"/>
        <v>#DIV/0!</v>
      </c>
      <c r="AR141" s="193" t="e">
        <f t="shared" si="60"/>
        <v>#DIV/0!</v>
      </c>
    </row>
  </sheetData>
  <mergeCells count="215">
    <mergeCell ref="B14:D14"/>
    <mergeCell ref="G28:G29"/>
    <mergeCell ref="H28:H29"/>
    <mergeCell ref="B20:D20"/>
    <mergeCell ref="A26:A27"/>
    <mergeCell ref="B26:D27"/>
    <mergeCell ref="E26:E27"/>
    <mergeCell ref="B38:D38"/>
    <mergeCell ref="L34:L35"/>
    <mergeCell ref="A32:A33"/>
    <mergeCell ref="B32:D33"/>
    <mergeCell ref="E32:E33"/>
    <mergeCell ref="F32:F33"/>
    <mergeCell ref="G32:G33"/>
    <mergeCell ref="H32:H33"/>
    <mergeCell ref="A30:A31"/>
    <mergeCell ref="B30:D31"/>
    <mergeCell ref="E30:E31"/>
    <mergeCell ref="F30:F31"/>
    <mergeCell ref="G30:G31"/>
    <mergeCell ref="H30:H31"/>
    <mergeCell ref="I30:I31"/>
    <mergeCell ref="J30:J31"/>
    <mergeCell ref="K30:K31"/>
    <mergeCell ref="Y38:AB38"/>
    <mergeCell ref="B24:D24"/>
    <mergeCell ref="S38:V38"/>
    <mergeCell ref="O34:O35"/>
    <mergeCell ref="P34:P35"/>
    <mergeCell ref="Q34:Q35"/>
    <mergeCell ref="S37:V37"/>
    <mergeCell ref="Y37:AB37"/>
    <mergeCell ref="A34:A35"/>
    <mergeCell ref="B34:D35"/>
    <mergeCell ref="E34:E35"/>
    <mergeCell ref="F34:F35"/>
    <mergeCell ref="G34:G35"/>
    <mergeCell ref="B37:D37"/>
    <mergeCell ref="S32:W33"/>
    <mergeCell ref="X32:X33"/>
    <mergeCell ref="Y32:AC33"/>
    <mergeCell ref="X30:X31"/>
    <mergeCell ref="Y30:AC31"/>
    <mergeCell ref="S30:W31"/>
    <mergeCell ref="H34:H35"/>
    <mergeCell ref="I34:I35"/>
    <mergeCell ref="J34:J35"/>
    <mergeCell ref="K34:K35"/>
    <mergeCell ref="X34:X35"/>
    <mergeCell ref="M34:M35"/>
    <mergeCell ref="N34:N35"/>
    <mergeCell ref="R34:R35"/>
    <mergeCell ref="S34:W35"/>
    <mergeCell ref="Q32:Q33"/>
    <mergeCell ref="R32:R33"/>
    <mergeCell ref="I32:I33"/>
    <mergeCell ref="J32:J33"/>
    <mergeCell ref="K32:K33"/>
    <mergeCell ref="L32:L33"/>
    <mergeCell ref="M32:M33"/>
    <mergeCell ref="N32:N33"/>
    <mergeCell ref="O32:O33"/>
    <mergeCell ref="P32:P33"/>
    <mergeCell ref="L30:L31"/>
    <mergeCell ref="M30:M31"/>
    <mergeCell ref="N30:N31"/>
    <mergeCell ref="J28:J29"/>
    <mergeCell ref="R28:R29"/>
    <mergeCell ref="S28:W29"/>
    <mergeCell ref="K28:K29"/>
    <mergeCell ref="Q30:Q31"/>
    <mergeCell ref="R30:R31"/>
    <mergeCell ref="L28:L29"/>
    <mergeCell ref="M28:M29"/>
    <mergeCell ref="N28:N29"/>
    <mergeCell ref="O28:O29"/>
    <mergeCell ref="P28:P29"/>
    <mergeCell ref="O30:O31"/>
    <mergeCell ref="P30:P31"/>
    <mergeCell ref="Q28:Q29"/>
    <mergeCell ref="S16:W16"/>
    <mergeCell ref="B17:D17"/>
    <mergeCell ref="Y16:AC16"/>
    <mergeCell ref="S18:W18"/>
    <mergeCell ref="Y18:AC18"/>
    <mergeCell ref="Y17:AC17"/>
    <mergeCell ref="A28:A29"/>
    <mergeCell ref="B28:D29"/>
    <mergeCell ref="E28:E29"/>
    <mergeCell ref="F28:F29"/>
    <mergeCell ref="X28:X29"/>
    <mergeCell ref="L26:L27"/>
    <mergeCell ref="M26:M27"/>
    <mergeCell ref="H26:H27"/>
    <mergeCell ref="P26:P27"/>
    <mergeCell ref="O26:O27"/>
    <mergeCell ref="J26:J27"/>
    <mergeCell ref="R26:R27"/>
    <mergeCell ref="N26:N27"/>
    <mergeCell ref="X26:X27"/>
    <mergeCell ref="Q26:Q27"/>
    <mergeCell ref="I28:I29"/>
    <mergeCell ref="S20:W20"/>
    <mergeCell ref="S17:W17"/>
    <mergeCell ref="B25:D25"/>
    <mergeCell ref="B21:D21"/>
    <mergeCell ref="S21:W21"/>
    <mergeCell ref="S24:W24"/>
    <mergeCell ref="B18:D18"/>
    <mergeCell ref="B23:D23"/>
    <mergeCell ref="I26:I27"/>
    <mergeCell ref="S23:W23"/>
    <mergeCell ref="B22:D22"/>
    <mergeCell ref="S22:W22"/>
    <mergeCell ref="F26:F27"/>
    <mergeCell ref="G26:G27"/>
    <mergeCell ref="B19:D19"/>
    <mergeCell ref="K26:K27"/>
    <mergeCell ref="S26:W27"/>
    <mergeCell ref="B15:D15"/>
    <mergeCell ref="B16:D16"/>
    <mergeCell ref="S19:W19"/>
    <mergeCell ref="X2:AC2"/>
    <mergeCell ref="B3:D3"/>
    <mergeCell ref="T4:W4"/>
    <mergeCell ref="B5:D5"/>
    <mergeCell ref="E5:H5"/>
    <mergeCell ref="I5:Q5"/>
    <mergeCell ref="R5:S5"/>
    <mergeCell ref="T5:U5"/>
    <mergeCell ref="V10:V12"/>
    <mergeCell ref="R3:S3"/>
    <mergeCell ref="R7:R9"/>
    <mergeCell ref="S7:S9"/>
    <mergeCell ref="I10:Q10"/>
    <mergeCell ref="I4:Q4"/>
    <mergeCell ref="I9:Q9"/>
    <mergeCell ref="R10:R12"/>
    <mergeCell ref="Y14:AC14"/>
    <mergeCell ref="Y19:AC19"/>
    <mergeCell ref="S15:W15"/>
    <mergeCell ref="B4:D4"/>
    <mergeCell ref="Y15:AC15"/>
    <mergeCell ref="E4:H4"/>
    <mergeCell ref="R4:S4"/>
    <mergeCell ref="AB5:AC5"/>
    <mergeCell ref="AA7:AA12"/>
    <mergeCell ref="T3:W3"/>
    <mergeCell ref="S14:W14"/>
    <mergeCell ref="V5:W5"/>
    <mergeCell ref="V7:V9"/>
    <mergeCell ref="X5:Y5"/>
    <mergeCell ref="Z5:AA5"/>
    <mergeCell ref="AC7:AC12"/>
    <mergeCell ref="W10:W12"/>
    <mergeCell ref="T10:T12"/>
    <mergeCell ref="AB7:AB12"/>
    <mergeCell ref="E6:H12"/>
    <mergeCell ref="B13:D13"/>
    <mergeCell ref="R13:W13"/>
    <mergeCell ref="X13:AC13"/>
    <mergeCell ref="T7:T9"/>
    <mergeCell ref="U7:U9"/>
    <mergeCell ref="I8:Q8"/>
    <mergeCell ref="X7:X12"/>
    <mergeCell ref="Y7:Y12"/>
    <mergeCell ref="Z7:Z12"/>
    <mergeCell ref="AD68:AE68"/>
    <mergeCell ref="AD83:AE83"/>
    <mergeCell ref="AD120:AE120"/>
    <mergeCell ref="AD124:AE124"/>
    <mergeCell ref="AD138:AE138"/>
    <mergeCell ref="A2:A3"/>
    <mergeCell ref="B2:D2"/>
    <mergeCell ref="E2:H2"/>
    <mergeCell ref="I2:Q2"/>
    <mergeCell ref="R2:S2"/>
    <mergeCell ref="T2:W2"/>
    <mergeCell ref="E3:H3"/>
    <mergeCell ref="I3:Q3"/>
    <mergeCell ref="S25:W25"/>
    <mergeCell ref="B6:D12"/>
    <mergeCell ref="U10:U12"/>
    <mergeCell ref="I7:Q7"/>
    <mergeCell ref="W7:W9"/>
    <mergeCell ref="A5:A12"/>
    <mergeCell ref="S10:S12"/>
    <mergeCell ref="I12:Q12"/>
    <mergeCell ref="I6:Q6"/>
    <mergeCell ref="Y26:AC27"/>
    <mergeCell ref="X3:AC4"/>
    <mergeCell ref="AD64:AE64"/>
    <mergeCell ref="AD133:AE133"/>
    <mergeCell ref="Y22:AC22"/>
    <mergeCell ref="Y20:AC20"/>
    <mergeCell ref="Y28:AC29"/>
    <mergeCell ref="Y34:AC35"/>
    <mergeCell ref="Y21:AC21"/>
    <mergeCell ref="AD121:AE121"/>
    <mergeCell ref="AD92:AE92"/>
    <mergeCell ref="AD93:AE93"/>
    <mergeCell ref="Y23:AC23"/>
    <mergeCell ref="Y24:AC24"/>
    <mergeCell ref="Y25:AC25"/>
    <mergeCell ref="AD62:AE62"/>
    <mergeCell ref="AD48:AE48"/>
    <mergeCell ref="AD50:AE50"/>
    <mergeCell ref="AD52:AE52"/>
    <mergeCell ref="AD53:AE53"/>
    <mergeCell ref="AD54:AE54"/>
    <mergeCell ref="AD99:AE99"/>
    <mergeCell ref="AD111:AE111"/>
    <mergeCell ref="AD96:AE96"/>
    <mergeCell ref="AD66:AE66"/>
    <mergeCell ref="AD67:AE67"/>
  </mergeCells>
  <conditionalFormatting sqref="AG82:AR82 AG95:AR95 AG137:AR137 AG141:AR141 AG53:AR53 AG67:AR67 AG110:AR110 AG123:AR123">
    <cfRule type="cellIs" dxfId="59" priority="55" stopIfTrue="1" operator="between">
      <formula>-1000</formula>
      <formula>0.494</formula>
    </cfRule>
    <cfRule type="cellIs" dxfId="58" priority="56" stopIfTrue="1" operator="between">
      <formula>0.495</formula>
      <formula>0.794</formula>
    </cfRule>
    <cfRule type="cellIs" dxfId="57" priority="57" stopIfTrue="1" operator="between">
      <formula>0.795</formula>
      <formula>1000</formula>
    </cfRule>
  </conditionalFormatting>
  <printOptions horizontalCentered="1" verticalCentered="1"/>
  <pageMargins left="0" right="0" top="0.31" bottom="0" header="0.25" footer="0"/>
  <pageSetup paperSize="8" scale="63" orientation="landscape" horizontalDpi="4294967293" verticalDpi="4294967293" r:id="rId1"/>
  <rowBreaks count="1" manualBreakCount="1">
    <brk id="38" max="16383" man="1"/>
  </rowBreaks>
  <colBreaks count="1" manualBreakCount="1">
    <brk id="29" max="1048575" man="1"/>
  </colBreaks>
  <drawing r:id="rId2"/>
  <legacyDrawing r:id="rId3"/>
  <oleObjects>
    <mc:AlternateContent xmlns:mc="http://schemas.openxmlformats.org/markup-compatibility/2006">
      <mc:Choice Requires="x14">
        <oleObject progId="MSGraph.Chart.8" shapeId="52076" r:id="rId4">
          <objectPr defaultSize="0" autoPict="0" r:id="rId5">
            <anchor moveWithCells="1" sizeWithCells="1">
              <from>
                <xdr:col>0</xdr:col>
                <xdr:colOff>184150</xdr:colOff>
                <xdr:row>25</xdr:row>
                <xdr:rowOff>146050</xdr:rowOff>
              </from>
              <to>
                <xdr:col>3</xdr:col>
                <xdr:colOff>3657600</xdr:colOff>
                <xdr:row>35</xdr:row>
                <xdr:rowOff>50800</xdr:rowOff>
              </to>
            </anchor>
          </objectPr>
        </oleObject>
      </mc:Choice>
      <mc:Fallback>
        <oleObject progId="MSGraph.Chart.8" shapeId="52076" r:id="rId4"/>
      </mc:Fallback>
    </mc:AlternateContent>
    <mc:AlternateContent xmlns:mc="http://schemas.openxmlformats.org/markup-compatibility/2006">
      <mc:Choice Requires="x14">
        <oleObject progId="MSGraph.Chart.8" shapeId="52077" r:id="rId6">
          <objectPr defaultSize="0" autoPict="0" r:id="rId7">
            <anchor moveWithCells="1" sizeWithCells="1">
              <from>
                <xdr:col>3</xdr:col>
                <xdr:colOff>3898900</xdr:colOff>
                <xdr:row>25</xdr:row>
                <xdr:rowOff>146050</xdr:rowOff>
              </from>
              <to>
                <xdr:col>14</xdr:col>
                <xdr:colOff>228600</xdr:colOff>
                <xdr:row>35</xdr:row>
                <xdr:rowOff>69850</xdr:rowOff>
              </to>
            </anchor>
          </objectPr>
        </oleObject>
      </mc:Choice>
      <mc:Fallback>
        <oleObject progId="MSGraph.Chart.8" shapeId="52077" r:id="rId6"/>
      </mc:Fallback>
    </mc:AlternateContent>
    <mc:AlternateContent xmlns:mc="http://schemas.openxmlformats.org/markup-compatibility/2006">
      <mc:Choice Requires="x14">
        <oleObject progId="MSGraph.Chart.8" shapeId="52078" r:id="rId8">
          <objectPr defaultSize="0" autoPict="0" r:id="rId9">
            <anchor moveWithCells="1" sizeWithCells="1">
              <from>
                <xdr:col>14</xdr:col>
                <xdr:colOff>488950</xdr:colOff>
                <xdr:row>25</xdr:row>
                <xdr:rowOff>127000</xdr:rowOff>
              </from>
              <to>
                <xdr:col>22</xdr:col>
                <xdr:colOff>565150</xdr:colOff>
                <xdr:row>35</xdr:row>
                <xdr:rowOff>69850</xdr:rowOff>
              </to>
            </anchor>
          </objectPr>
        </oleObject>
      </mc:Choice>
      <mc:Fallback>
        <oleObject progId="MSGraph.Chart.8" shapeId="52078" r:id="rId8"/>
      </mc:Fallback>
    </mc:AlternateContent>
    <mc:AlternateContent xmlns:mc="http://schemas.openxmlformats.org/markup-compatibility/2006">
      <mc:Choice Requires="x14">
        <oleObject progId="MSGraph.Chart.8" shapeId="52079" r:id="rId10">
          <objectPr defaultSize="0" autoPict="0" r:id="rId11">
            <anchor moveWithCells="1" sizeWithCells="1">
              <from>
                <xdr:col>22</xdr:col>
                <xdr:colOff>736600</xdr:colOff>
                <xdr:row>25</xdr:row>
                <xdr:rowOff>107950</xdr:rowOff>
              </from>
              <to>
                <xdr:col>28</xdr:col>
                <xdr:colOff>603250</xdr:colOff>
                <xdr:row>35</xdr:row>
                <xdr:rowOff>50800</xdr:rowOff>
              </to>
            </anchor>
          </objectPr>
        </oleObject>
      </mc:Choice>
      <mc:Fallback>
        <oleObject progId="MSGraph.Chart.8" shapeId="52079" r:id="rId10"/>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X220"/>
  <sheetViews>
    <sheetView zoomScale="60" zoomScaleNormal="60" zoomScaleSheetLayoutView="75" workbookViewId="0">
      <selection activeCell="R14" sqref="R14"/>
    </sheetView>
  </sheetViews>
  <sheetFormatPr defaultColWidth="9.1796875" defaultRowHeight="15.5"/>
  <cols>
    <col min="1" max="1" width="12" style="294" customWidth="1"/>
    <col min="2" max="2" width="2.81640625" style="294" customWidth="1"/>
    <col min="3" max="3" width="9.1796875" style="294"/>
    <col min="4" max="4" width="71.1796875" style="294" customWidth="1"/>
    <col min="5" max="5" width="12" style="294" customWidth="1"/>
    <col min="6" max="17" width="9.54296875" style="294" customWidth="1"/>
    <col min="18" max="19" width="13.81640625" style="294" customWidth="1"/>
    <col min="20" max="25" width="13.453125" style="294" customWidth="1"/>
    <col min="26" max="26" width="9.54296875" style="294" customWidth="1"/>
    <col min="27" max="33" width="13.1796875" style="294" customWidth="1"/>
    <col min="34" max="34" width="41.54296875" style="294" bestFit="1" customWidth="1"/>
    <col min="35" max="35" width="16.54296875" style="294" bestFit="1" customWidth="1"/>
    <col min="36" max="36" width="13.1796875" style="294" customWidth="1"/>
    <col min="37" max="37" width="17.81640625" style="294" customWidth="1"/>
    <col min="38" max="38" width="15.54296875" style="294" customWidth="1"/>
    <col min="39" max="39" width="15.81640625" style="294" customWidth="1"/>
    <col min="40" max="40" width="16.6328125" style="294" customWidth="1"/>
    <col min="41" max="41" width="14.08984375" style="294" customWidth="1"/>
    <col min="42" max="48" width="13" style="294" customWidth="1"/>
    <col min="49" max="49" width="5.54296875" style="294" customWidth="1"/>
    <col min="50" max="50" width="15.54296875" style="426" customWidth="1"/>
    <col min="51" max="53" width="15.54296875" style="294" customWidth="1"/>
    <col min="54" max="16384" width="9.1796875" style="294"/>
  </cols>
  <sheetData>
    <row r="1" spans="1:33" ht="16" thickBot="1"/>
    <row r="2" spans="1:33" ht="20.25" customHeight="1">
      <c r="A2" s="1109">
        <f>AO220</f>
        <v>0.25</v>
      </c>
      <c r="B2" s="879" t="s">
        <v>27</v>
      </c>
      <c r="C2" s="879"/>
      <c r="D2" s="880"/>
      <c r="E2" s="861" t="s">
        <v>28</v>
      </c>
      <c r="F2" s="862"/>
      <c r="G2" s="862"/>
      <c r="H2" s="863"/>
      <c r="I2" s="1111" t="s">
        <v>143</v>
      </c>
      <c r="J2" s="862"/>
      <c r="K2" s="862"/>
      <c r="L2" s="862"/>
      <c r="M2" s="862"/>
      <c r="N2" s="862"/>
      <c r="O2" s="862"/>
      <c r="P2" s="862"/>
      <c r="Q2" s="862"/>
      <c r="R2" s="1112" t="s">
        <v>30</v>
      </c>
      <c r="S2" s="1113"/>
      <c r="T2" s="794"/>
      <c r="U2" s="795"/>
      <c r="V2" s="795"/>
      <c r="W2" s="795"/>
      <c r="X2" s="795"/>
      <c r="Y2" s="796"/>
      <c r="Z2" s="797" t="s">
        <v>31</v>
      </c>
      <c r="AA2" s="798"/>
      <c r="AB2" s="798"/>
      <c r="AC2" s="798"/>
      <c r="AD2" s="798"/>
      <c r="AE2" s="798"/>
      <c r="AF2" s="798"/>
      <c r="AG2" s="799"/>
    </row>
    <row r="3" spans="1:33" ht="20.25" customHeight="1" thickBot="1">
      <c r="A3" s="1110"/>
      <c r="B3" s="884" t="s">
        <v>32</v>
      </c>
      <c r="C3" s="885"/>
      <c r="D3" s="1104"/>
      <c r="E3" s="884" t="s">
        <v>33</v>
      </c>
      <c r="F3" s="885"/>
      <c r="G3" s="885"/>
      <c r="H3" s="885"/>
      <c r="I3" s="885" t="s">
        <v>34</v>
      </c>
      <c r="J3" s="885"/>
      <c r="K3" s="885"/>
      <c r="L3" s="1104"/>
      <c r="M3" s="1104"/>
      <c r="N3" s="1104"/>
      <c r="O3" s="1104"/>
      <c r="P3" s="1104"/>
      <c r="Q3" s="1104"/>
      <c r="R3" s="843" t="s">
        <v>35</v>
      </c>
      <c r="S3" s="844"/>
      <c r="T3" s="1105">
        <v>45545</v>
      </c>
      <c r="U3" s="1106"/>
      <c r="V3" s="1106"/>
      <c r="W3" s="1106"/>
      <c r="X3" s="1106"/>
      <c r="Y3" s="1107"/>
      <c r="Z3" s="834" t="s">
        <v>148</v>
      </c>
      <c r="AA3" s="835"/>
      <c r="AB3" s="835"/>
      <c r="AC3" s="835"/>
      <c r="AD3" s="835"/>
      <c r="AE3" s="835"/>
      <c r="AF3" s="835"/>
      <c r="AG3" s="836"/>
    </row>
    <row r="4" spans="1:33" ht="33.75" customHeight="1" thickBot="1">
      <c r="A4" s="427" t="s">
        <v>213</v>
      </c>
      <c r="B4" s="825" t="s">
        <v>36</v>
      </c>
      <c r="C4" s="859"/>
      <c r="D4" s="860"/>
      <c r="E4" s="884" t="s">
        <v>180</v>
      </c>
      <c r="F4" s="885"/>
      <c r="G4" s="885"/>
      <c r="H4" s="885"/>
      <c r="I4" s="728" t="s">
        <v>285</v>
      </c>
      <c r="J4" s="728"/>
      <c r="K4" s="728"/>
      <c r="L4" s="728"/>
      <c r="M4" s="728"/>
      <c r="N4" s="728"/>
      <c r="O4" s="728"/>
      <c r="P4" s="728"/>
      <c r="Q4" s="728"/>
      <c r="R4" s="1114" t="s">
        <v>37</v>
      </c>
      <c r="S4" s="1115"/>
      <c r="T4" s="845" t="s">
        <v>192</v>
      </c>
      <c r="U4" s="846"/>
      <c r="V4" s="846"/>
      <c r="W4" s="846"/>
      <c r="X4" s="846"/>
      <c r="Y4" s="847"/>
      <c r="Z4" s="837"/>
      <c r="AA4" s="838"/>
      <c r="AB4" s="838"/>
      <c r="AC4" s="838"/>
      <c r="AD4" s="838"/>
      <c r="AE4" s="838"/>
      <c r="AF4" s="838"/>
      <c r="AG4" s="839"/>
    </row>
    <row r="5" spans="1:33" ht="60.75" customHeight="1" thickBot="1">
      <c r="A5" s="1116" t="s">
        <v>39</v>
      </c>
      <c r="B5" s="874" t="s">
        <v>40</v>
      </c>
      <c r="C5" s="875"/>
      <c r="D5" s="876"/>
      <c r="E5" s="874" t="s">
        <v>41</v>
      </c>
      <c r="F5" s="875"/>
      <c r="G5" s="875"/>
      <c r="H5" s="887"/>
      <c r="I5" s="888" t="s">
        <v>42</v>
      </c>
      <c r="J5" s="875"/>
      <c r="K5" s="875"/>
      <c r="L5" s="875"/>
      <c r="M5" s="875"/>
      <c r="N5" s="875"/>
      <c r="O5" s="875"/>
      <c r="P5" s="875"/>
      <c r="Q5" s="875"/>
      <c r="R5" s="848" t="s">
        <v>214</v>
      </c>
      <c r="S5" s="849"/>
      <c r="T5" s="850" t="s">
        <v>215</v>
      </c>
      <c r="U5" s="849"/>
      <c r="V5" s="828" t="s">
        <v>216</v>
      </c>
      <c r="W5" s="804"/>
      <c r="X5" s="828" t="s">
        <v>217</v>
      </c>
      <c r="Y5" s="804"/>
      <c r="Z5" s="828" t="s">
        <v>218</v>
      </c>
      <c r="AA5" s="804"/>
      <c r="AB5" s="803" t="s">
        <v>219</v>
      </c>
      <c r="AC5" s="804"/>
      <c r="AD5" s="828" t="s">
        <v>222</v>
      </c>
      <c r="AE5" s="1108"/>
      <c r="AF5" s="803"/>
      <c r="AG5" s="804"/>
    </row>
    <row r="6" spans="1:33" ht="23.25" customHeight="1" thickBot="1">
      <c r="A6" s="872"/>
      <c r="B6" s="854" t="s">
        <v>43</v>
      </c>
      <c r="C6" s="855"/>
      <c r="D6" s="856"/>
      <c r="E6" s="861" t="s">
        <v>143</v>
      </c>
      <c r="F6" s="862"/>
      <c r="G6" s="862"/>
      <c r="H6" s="863"/>
      <c r="I6" s="809" t="s">
        <v>266</v>
      </c>
      <c r="J6" s="810"/>
      <c r="K6" s="810"/>
      <c r="L6" s="810"/>
      <c r="M6" s="810"/>
      <c r="N6" s="810"/>
      <c r="O6" s="810"/>
      <c r="P6" s="810"/>
      <c r="Q6" s="810"/>
      <c r="R6" s="428" t="s">
        <v>246</v>
      </c>
      <c r="S6" s="429" t="s">
        <v>254</v>
      </c>
      <c r="T6" s="428" t="s">
        <v>246</v>
      </c>
      <c r="U6" s="429" t="s">
        <v>254</v>
      </c>
      <c r="V6" s="428" t="s">
        <v>246</v>
      </c>
      <c r="W6" s="429" t="s">
        <v>254</v>
      </c>
      <c r="X6" s="428" t="s">
        <v>246</v>
      </c>
      <c r="Y6" s="429" t="s">
        <v>254</v>
      </c>
      <c r="Z6" s="428" t="s">
        <v>246</v>
      </c>
      <c r="AA6" s="429" t="s">
        <v>254</v>
      </c>
      <c r="AB6" s="428" t="s">
        <v>246</v>
      </c>
      <c r="AC6" s="429" t="s">
        <v>254</v>
      </c>
      <c r="AD6" s="428" t="s">
        <v>246</v>
      </c>
      <c r="AE6" s="429" t="s">
        <v>254</v>
      </c>
      <c r="AF6" s="431"/>
      <c r="AG6" s="430"/>
    </row>
    <row r="7" spans="1:33" ht="23.25" customHeight="1">
      <c r="A7" s="872"/>
      <c r="B7" s="857"/>
      <c r="C7" s="728"/>
      <c r="D7" s="729"/>
      <c r="E7" s="864"/>
      <c r="F7" s="865"/>
      <c r="G7" s="865"/>
      <c r="H7" s="866"/>
      <c r="I7" s="821" t="s">
        <v>267</v>
      </c>
      <c r="J7" s="822"/>
      <c r="K7" s="822"/>
      <c r="L7" s="822"/>
      <c r="M7" s="822"/>
      <c r="N7" s="822"/>
      <c r="O7" s="822"/>
      <c r="P7" s="822"/>
      <c r="Q7" s="823"/>
      <c r="R7" s="811" t="s">
        <v>286</v>
      </c>
      <c r="S7" s="814" t="s">
        <v>286</v>
      </c>
      <c r="T7" s="776">
        <v>0.99760000000000004</v>
      </c>
      <c r="U7" s="778">
        <v>0.99809999999999999</v>
      </c>
      <c r="V7" s="776">
        <v>0.99739999999999995</v>
      </c>
      <c r="W7" s="778">
        <v>0.99839999999999995</v>
      </c>
      <c r="X7" s="776">
        <v>0.999</v>
      </c>
      <c r="Y7" s="778">
        <v>0.99939999999999996</v>
      </c>
      <c r="Z7" s="776">
        <v>0.99960000000000004</v>
      </c>
      <c r="AA7" s="778">
        <v>0.99909999999999999</v>
      </c>
      <c r="AB7" s="806">
        <v>2.3E-3</v>
      </c>
      <c r="AC7" s="778">
        <v>1.9E-3</v>
      </c>
      <c r="AD7" s="1091">
        <v>0</v>
      </c>
      <c r="AE7" s="1093">
        <v>3</v>
      </c>
      <c r="AF7" s="1089"/>
      <c r="AG7" s="1086"/>
    </row>
    <row r="8" spans="1:33" ht="13.5" customHeight="1">
      <c r="A8" s="872"/>
      <c r="B8" s="857"/>
      <c r="C8" s="728"/>
      <c r="D8" s="729"/>
      <c r="E8" s="864"/>
      <c r="F8" s="865"/>
      <c r="G8" s="865"/>
      <c r="H8" s="866"/>
      <c r="I8" s="800" t="s">
        <v>268</v>
      </c>
      <c r="J8" s="801"/>
      <c r="K8" s="801"/>
      <c r="L8" s="801"/>
      <c r="M8" s="801"/>
      <c r="N8" s="801"/>
      <c r="O8" s="801"/>
      <c r="P8" s="801"/>
      <c r="Q8" s="802"/>
      <c r="R8" s="812"/>
      <c r="S8" s="815"/>
      <c r="T8" s="777"/>
      <c r="U8" s="779"/>
      <c r="V8" s="777"/>
      <c r="W8" s="779"/>
      <c r="X8" s="777"/>
      <c r="Y8" s="779"/>
      <c r="Z8" s="777"/>
      <c r="AA8" s="779"/>
      <c r="AB8" s="806"/>
      <c r="AC8" s="779"/>
      <c r="AD8" s="1091"/>
      <c r="AE8" s="1094"/>
      <c r="AF8" s="1089"/>
      <c r="AG8" s="785"/>
    </row>
    <row r="9" spans="1:33" ht="13.5" customHeight="1">
      <c r="A9" s="872"/>
      <c r="B9" s="857"/>
      <c r="C9" s="728"/>
      <c r="D9" s="729"/>
      <c r="E9" s="864"/>
      <c r="F9" s="865"/>
      <c r="G9" s="865"/>
      <c r="H9" s="866"/>
      <c r="I9" s="800" t="s">
        <v>269</v>
      </c>
      <c r="J9" s="801"/>
      <c r="K9" s="801"/>
      <c r="L9" s="801"/>
      <c r="M9" s="801"/>
      <c r="N9" s="801"/>
      <c r="O9" s="801"/>
      <c r="P9" s="801"/>
      <c r="Q9" s="802"/>
      <c r="R9" s="813"/>
      <c r="S9" s="816"/>
      <c r="T9" s="777"/>
      <c r="U9" s="779"/>
      <c r="V9" s="777"/>
      <c r="W9" s="779"/>
      <c r="X9" s="777"/>
      <c r="Y9" s="779"/>
      <c r="Z9" s="777"/>
      <c r="AA9" s="779"/>
      <c r="AB9" s="806"/>
      <c r="AC9" s="779"/>
      <c r="AD9" s="1091"/>
      <c r="AE9" s="1094"/>
      <c r="AF9" s="1089"/>
      <c r="AG9" s="785"/>
    </row>
    <row r="10" spans="1:33" ht="13.5" customHeight="1">
      <c r="A10" s="872"/>
      <c r="B10" s="857"/>
      <c r="C10" s="728"/>
      <c r="D10" s="729"/>
      <c r="E10" s="864"/>
      <c r="F10" s="865"/>
      <c r="G10" s="865"/>
      <c r="H10" s="866"/>
      <c r="I10" s="800"/>
      <c r="J10" s="801"/>
      <c r="K10" s="801"/>
      <c r="L10" s="801"/>
      <c r="M10" s="801"/>
      <c r="N10" s="801"/>
      <c r="O10" s="801"/>
      <c r="P10" s="801"/>
      <c r="Q10" s="801"/>
      <c r="R10" s="1100" t="s">
        <v>287</v>
      </c>
      <c r="S10" s="1101" t="s">
        <v>287</v>
      </c>
      <c r="T10" s="787">
        <v>2405</v>
      </c>
      <c r="U10" s="785">
        <v>2044</v>
      </c>
      <c r="V10" s="787">
        <v>2558</v>
      </c>
      <c r="W10" s="785">
        <v>2174</v>
      </c>
      <c r="X10" s="787">
        <v>3</v>
      </c>
      <c r="Y10" s="1087">
        <v>3.3</v>
      </c>
      <c r="Z10" s="787">
        <v>2</v>
      </c>
      <c r="AA10" s="785">
        <v>0</v>
      </c>
      <c r="AB10" s="806"/>
      <c r="AC10" s="779"/>
      <c r="AD10" s="1091"/>
      <c r="AE10" s="1094"/>
      <c r="AF10" s="1089"/>
      <c r="AG10" s="785"/>
    </row>
    <row r="11" spans="1:33" ht="13.5" customHeight="1">
      <c r="A11" s="872"/>
      <c r="B11" s="857"/>
      <c r="C11" s="728"/>
      <c r="D11" s="729"/>
      <c r="E11" s="864"/>
      <c r="F11" s="865"/>
      <c r="G11" s="865"/>
      <c r="H11" s="866"/>
      <c r="R11" s="857"/>
      <c r="S11" s="1102"/>
      <c r="T11" s="787"/>
      <c r="U11" s="785"/>
      <c r="V11" s="787"/>
      <c r="W11" s="785"/>
      <c r="X11" s="787"/>
      <c r="Y11" s="1087"/>
      <c r="Z11" s="787"/>
      <c r="AA11" s="785"/>
      <c r="AB11" s="806"/>
      <c r="AC11" s="779"/>
      <c r="AD11" s="1091"/>
      <c r="AE11" s="1094"/>
      <c r="AF11" s="1089"/>
      <c r="AG11" s="785"/>
    </row>
    <row r="12" spans="1:33" ht="13.5" customHeight="1" thickBot="1">
      <c r="A12" s="873"/>
      <c r="B12" s="858"/>
      <c r="C12" s="859"/>
      <c r="D12" s="860"/>
      <c r="E12" s="837"/>
      <c r="F12" s="838"/>
      <c r="G12" s="838"/>
      <c r="H12" s="867"/>
      <c r="I12" s="819"/>
      <c r="J12" s="820"/>
      <c r="K12" s="820"/>
      <c r="L12" s="820"/>
      <c r="M12" s="820"/>
      <c r="N12" s="820"/>
      <c r="O12" s="820"/>
      <c r="P12" s="820"/>
      <c r="Q12" s="820"/>
      <c r="R12" s="858"/>
      <c r="S12" s="1103"/>
      <c r="T12" s="788"/>
      <c r="U12" s="786"/>
      <c r="V12" s="788"/>
      <c r="W12" s="786"/>
      <c r="X12" s="788"/>
      <c r="Y12" s="1088"/>
      <c r="Z12" s="788"/>
      <c r="AA12" s="786"/>
      <c r="AB12" s="1099"/>
      <c r="AC12" s="808"/>
      <c r="AD12" s="1092"/>
      <c r="AE12" s="1095"/>
      <c r="AF12" s="1090"/>
      <c r="AG12" s="786"/>
    </row>
    <row r="13" spans="1:33" ht="36" customHeight="1" thickBot="1">
      <c r="A13" s="291" t="s">
        <v>45</v>
      </c>
      <c r="B13" s="780" t="s">
        <v>46</v>
      </c>
      <c r="C13" s="780"/>
      <c r="D13" s="781"/>
      <c r="E13" s="292" t="s">
        <v>47</v>
      </c>
      <c r="F13" s="293" t="s">
        <v>48</v>
      </c>
      <c r="G13" s="293" t="s">
        <v>49</v>
      </c>
      <c r="H13" s="293" t="s">
        <v>50</v>
      </c>
      <c r="I13" s="293" t="s">
        <v>51</v>
      </c>
      <c r="J13" s="293" t="s">
        <v>52</v>
      </c>
      <c r="K13" s="293" t="s">
        <v>53</v>
      </c>
      <c r="L13" s="293" t="s">
        <v>54</v>
      </c>
      <c r="M13" s="293" t="s">
        <v>55</v>
      </c>
      <c r="N13" s="293" t="s">
        <v>56</v>
      </c>
      <c r="O13" s="293" t="s">
        <v>57</v>
      </c>
      <c r="P13" s="293" t="s">
        <v>58</v>
      </c>
      <c r="Q13" s="293" t="s">
        <v>59</v>
      </c>
      <c r="R13" s="782" t="s">
        <v>60</v>
      </c>
      <c r="S13" s="783"/>
      <c r="T13" s="783"/>
      <c r="U13" s="783"/>
      <c r="V13" s="783"/>
      <c r="W13" s="783"/>
      <c r="X13" s="783"/>
      <c r="Y13" s="784"/>
      <c r="Z13" s="782" t="s">
        <v>61</v>
      </c>
      <c r="AA13" s="783"/>
      <c r="AB13" s="783"/>
      <c r="AC13" s="783"/>
      <c r="AD13" s="783"/>
      <c r="AE13" s="783"/>
      <c r="AF13" s="783"/>
      <c r="AG13" s="784"/>
    </row>
    <row r="14" spans="1:33" ht="115.5" customHeight="1">
      <c r="A14" s="432">
        <v>1</v>
      </c>
      <c r="B14" s="1063" t="s">
        <v>288</v>
      </c>
      <c r="C14" s="1064"/>
      <c r="D14" s="1065"/>
      <c r="E14" s="307" t="s">
        <v>289</v>
      </c>
      <c r="F14" s="280"/>
      <c r="G14" s="280"/>
      <c r="H14" s="280"/>
      <c r="I14" s="280"/>
      <c r="J14" s="280"/>
      <c r="K14" s="280"/>
      <c r="L14" s="280"/>
      <c r="M14" s="280"/>
      <c r="N14" s="280"/>
      <c r="O14" s="280"/>
      <c r="P14" s="280"/>
      <c r="Q14" s="280"/>
      <c r="R14" s="657">
        <v>45383</v>
      </c>
      <c r="S14" s="742" t="s">
        <v>299</v>
      </c>
      <c r="T14" s="742"/>
      <c r="U14" s="742"/>
      <c r="V14" s="742"/>
      <c r="W14" s="742"/>
      <c r="X14" s="742"/>
      <c r="Y14" s="743"/>
      <c r="Z14" s="657" t="s">
        <v>192</v>
      </c>
      <c r="AA14" s="1096" t="s">
        <v>300</v>
      </c>
      <c r="AB14" s="1097"/>
      <c r="AC14" s="1097"/>
      <c r="AD14" s="1097"/>
      <c r="AE14" s="1097"/>
      <c r="AF14" s="1097"/>
      <c r="AG14" s="1098"/>
    </row>
    <row r="15" spans="1:33" ht="50.5" customHeight="1">
      <c r="A15" s="434">
        <v>2</v>
      </c>
      <c r="B15" s="1066" t="s">
        <v>290</v>
      </c>
      <c r="C15" s="740"/>
      <c r="D15" s="741"/>
      <c r="E15" s="307" t="s">
        <v>291</v>
      </c>
      <c r="F15" s="282"/>
      <c r="G15" s="282"/>
      <c r="H15" s="282"/>
      <c r="I15" s="282"/>
      <c r="J15" s="282"/>
      <c r="K15" s="311"/>
      <c r="L15" s="311"/>
      <c r="M15" s="311"/>
      <c r="N15" s="311"/>
      <c r="O15" s="311"/>
      <c r="P15" s="311"/>
      <c r="Q15" s="312"/>
      <c r="R15" s="656">
        <v>45413</v>
      </c>
      <c r="S15" s="742" t="s">
        <v>332</v>
      </c>
      <c r="T15" s="742"/>
      <c r="U15" s="742"/>
      <c r="V15" s="742"/>
      <c r="W15" s="742"/>
      <c r="X15" s="742"/>
      <c r="Y15" s="743"/>
      <c r="Z15" s="657" t="s">
        <v>192</v>
      </c>
      <c r="AA15" s="1096" t="s">
        <v>300</v>
      </c>
      <c r="AB15" s="1097"/>
      <c r="AC15" s="1097"/>
      <c r="AD15" s="1097"/>
      <c r="AE15" s="1097"/>
      <c r="AF15" s="1097"/>
      <c r="AG15" s="1098"/>
    </row>
    <row r="16" spans="1:33" ht="65.150000000000006" customHeight="1">
      <c r="A16" s="309">
        <v>3</v>
      </c>
      <c r="B16" s="1066" t="s">
        <v>292</v>
      </c>
      <c r="C16" s="740"/>
      <c r="D16" s="741"/>
      <c r="E16" s="307" t="s">
        <v>291</v>
      </c>
      <c r="F16" s="281"/>
      <c r="G16" s="281"/>
      <c r="H16" s="281"/>
      <c r="I16" s="281"/>
      <c r="J16" s="281"/>
      <c r="K16" s="281"/>
      <c r="L16" s="281"/>
      <c r="M16" s="281"/>
      <c r="N16" s="281"/>
      <c r="O16" s="281"/>
      <c r="P16" s="281"/>
      <c r="Q16" s="308"/>
      <c r="R16" s="656">
        <v>45444</v>
      </c>
      <c r="S16" s="742" t="s">
        <v>299</v>
      </c>
      <c r="T16" s="742"/>
      <c r="U16" s="742"/>
      <c r="V16" s="742"/>
      <c r="W16" s="742"/>
      <c r="X16" s="742"/>
      <c r="Y16" s="743"/>
      <c r="Z16" s="657" t="s">
        <v>192</v>
      </c>
      <c r="AA16" s="1096" t="s">
        <v>344</v>
      </c>
      <c r="AB16" s="1097"/>
      <c r="AC16" s="1097"/>
      <c r="AD16" s="1097"/>
      <c r="AE16" s="1097"/>
      <c r="AF16" s="1097"/>
      <c r="AG16" s="1098"/>
    </row>
    <row r="17" spans="1:33" ht="73.400000000000006" customHeight="1">
      <c r="A17" s="309">
        <v>4</v>
      </c>
      <c r="B17" s="1067" t="s">
        <v>293</v>
      </c>
      <c r="C17" s="1068"/>
      <c r="D17" s="1069"/>
      <c r="E17" s="307" t="s">
        <v>294</v>
      </c>
      <c r="F17" s="281"/>
      <c r="G17" s="281"/>
      <c r="H17" s="281"/>
      <c r="I17" s="281"/>
      <c r="J17" s="281"/>
      <c r="K17" s="281"/>
      <c r="L17" s="281"/>
      <c r="M17" s="281"/>
      <c r="N17" s="281"/>
      <c r="O17" s="281"/>
      <c r="P17" s="281"/>
      <c r="Q17" s="308"/>
      <c r="R17" s="656">
        <v>45474</v>
      </c>
      <c r="S17" s="742" t="s">
        <v>299</v>
      </c>
      <c r="T17" s="742"/>
      <c r="U17" s="742"/>
      <c r="V17" s="742"/>
      <c r="W17" s="742"/>
      <c r="X17" s="742"/>
      <c r="Y17" s="743"/>
      <c r="Z17" s="657" t="s">
        <v>192</v>
      </c>
      <c r="AA17" s="744" t="s">
        <v>371</v>
      </c>
      <c r="AB17" s="744"/>
      <c r="AC17" s="744"/>
      <c r="AD17" s="744"/>
      <c r="AE17" s="744"/>
      <c r="AF17" s="744"/>
      <c r="AG17" s="745"/>
    </row>
    <row r="18" spans="1:33" ht="65.150000000000006" customHeight="1">
      <c r="A18" s="320">
        <v>5</v>
      </c>
      <c r="B18" s="1066" t="s">
        <v>295</v>
      </c>
      <c r="C18" s="740"/>
      <c r="D18" s="741"/>
      <c r="E18" s="307" t="s">
        <v>296</v>
      </c>
      <c r="F18" s="281"/>
      <c r="G18" s="280"/>
      <c r="H18" s="280"/>
      <c r="I18" s="280"/>
      <c r="J18" s="280"/>
      <c r="K18" s="280"/>
      <c r="L18" s="280"/>
      <c r="M18" s="280"/>
      <c r="N18" s="280"/>
      <c r="O18" s="280"/>
      <c r="P18" s="280"/>
      <c r="Q18" s="280"/>
      <c r="R18" s="656">
        <v>45505</v>
      </c>
      <c r="S18" s="742" t="s">
        <v>372</v>
      </c>
      <c r="T18" s="742"/>
      <c r="U18" s="742"/>
      <c r="V18" s="742"/>
      <c r="W18" s="742"/>
      <c r="X18" s="742"/>
      <c r="Y18" s="743"/>
      <c r="Z18" s="657" t="s">
        <v>192</v>
      </c>
      <c r="AA18" s="744" t="s">
        <v>344</v>
      </c>
      <c r="AB18" s="744"/>
      <c r="AC18" s="744"/>
      <c r="AD18" s="744"/>
      <c r="AE18" s="744"/>
      <c r="AF18" s="744"/>
      <c r="AG18" s="745"/>
    </row>
    <row r="19" spans="1:33" ht="65.150000000000006" customHeight="1">
      <c r="A19" s="306">
        <v>6</v>
      </c>
      <c r="B19" s="1066" t="s">
        <v>297</v>
      </c>
      <c r="C19" s="740"/>
      <c r="D19" s="741"/>
      <c r="E19" s="307" t="s">
        <v>298</v>
      </c>
      <c r="F19" s="281"/>
      <c r="G19" s="281"/>
      <c r="H19" s="281"/>
      <c r="I19" s="280"/>
      <c r="J19" s="280"/>
      <c r="K19" s="281"/>
      <c r="L19" s="281"/>
      <c r="M19" s="281"/>
      <c r="N19" s="281"/>
      <c r="O19" s="281"/>
      <c r="P19" s="281"/>
      <c r="Q19" s="308"/>
      <c r="R19" s="433"/>
      <c r="S19" s="742"/>
      <c r="T19" s="742"/>
      <c r="U19" s="742"/>
      <c r="V19" s="742"/>
      <c r="W19" s="742"/>
      <c r="X19" s="742"/>
      <c r="Y19" s="743"/>
      <c r="Z19" s="226"/>
      <c r="AA19" s="744"/>
      <c r="AB19" s="744"/>
      <c r="AC19" s="744"/>
      <c r="AD19" s="744"/>
      <c r="AE19" s="744"/>
      <c r="AF19" s="744"/>
      <c r="AG19" s="745"/>
    </row>
    <row r="20" spans="1:33" ht="65.150000000000006" customHeight="1">
      <c r="A20" s="435"/>
      <c r="B20" s="1066"/>
      <c r="C20" s="740"/>
      <c r="D20" s="741"/>
      <c r="E20" s="307"/>
      <c r="F20" s="281"/>
      <c r="G20" s="281"/>
      <c r="H20" s="280"/>
      <c r="I20" s="280"/>
      <c r="J20" s="282"/>
      <c r="K20" s="282"/>
      <c r="L20" s="311"/>
      <c r="M20" s="311"/>
      <c r="N20" s="311"/>
      <c r="O20" s="311"/>
      <c r="P20" s="311"/>
      <c r="Q20" s="312"/>
      <c r="R20" s="433"/>
      <c r="S20" s="742"/>
      <c r="T20" s="742"/>
      <c r="U20" s="742"/>
      <c r="V20" s="742"/>
      <c r="W20" s="742"/>
      <c r="X20" s="742"/>
      <c r="Y20" s="743"/>
      <c r="Z20" s="226"/>
      <c r="AA20" s="744"/>
      <c r="AB20" s="744"/>
      <c r="AC20" s="744"/>
      <c r="AD20" s="744"/>
      <c r="AE20" s="744"/>
      <c r="AF20" s="744"/>
      <c r="AG20" s="745"/>
    </row>
    <row r="21" spans="1:33" ht="40" customHeight="1">
      <c r="A21" s="313"/>
      <c r="B21" s="1067"/>
      <c r="C21" s="1068"/>
      <c r="D21" s="1069"/>
      <c r="E21" s="307"/>
      <c r="F21" s="281"/>
      <c r="G21" s="281"/>
      <c r="H21" s="281"/>
      <c r="I21" s="281"/>
      <c r="J21" s="281"/>
      <c r="K21" s="281"/>
      <c r="L21" s="281"/>
      <c r="M21" s="281"/>
      <c r="N21" s="281"/>
      <c r="O21" s="281"/>
      <c r="P21" s="281"/>
      <c r="Q21" s="308"/>
      <c r="R21" s="433"/>
      <c r="S21" s="742"/>
      <c r="T21" s="742"/>
      <c r="U21" s="742"/>
      <c r="V21" s="742"/>
      <c r="W21" s="742"/>
      <c r="X21" s="742"/>
      <c r="Y21" s="743"/>
      <c r="Z21" s="226"/>
      <c r="AA21" s="895"/>
      <c r="AB21" s="896"/>
      <c r="AC21" s="896"/>
      <c r="AD21" s="896"/>
      <c r="AE21" s="896"/>
      <c r="AF21" s="896"/>
      <c r="AG21" s="897"/>
    </row>
    <row r="22" spans="1:33" ht="40" customHeight="1">
      <c r="A22" s="309"/>
      <c r="B22" s="1066"/>
      <c r="C22" s="740"/>
      <c r="D22" s="741"/>
      <c r="E22" s="307"/>
      <c r="F22" s="281"/>
      <c r="G22" s="281"/>
      <c r="H22" s="281"/>
      <c r="I22" s="281"/>
      <c r="J22" s="281"/>
      <c r="K22" s="281"/>
      <c r="L22" s="281"/>
      <c r="M22" s="281"/>
      <c r="N22" s="281"/>
      <c r="O22" s="281"/>
      <c r="P22" s="281"/>
      <c r="Q22" s="308"/>
      <c r="R22" s="436"/>
      <c r="S22" s="757"/>
      <c r="T22" s="758"/>
      <c r="U22" s="758"/>
      <c r="V22" s="758"/>
      <c r="W22" s="758"/>
      <c r="X22" s="758"/>
      <c r="Y22" s="759"/>
      <c r="Z22" s="437"/>
      <c r="AA22" s="895"/>
      <c r="AB22" s="896"/>
      <c r="AC22" s="896"/>
      <c r="AD22" s="896"/>
      <c r="AE22" s="896"/>
      <c r="AF22" s="896"/>
      <c r="AG22" s="897"/>
    </row>
    <row r="23" spans="1:33" ht="40" customHeight="1">
      <c r="A23" s="309"/>
      <c r="B23" s="1066"/>
      <c r="C23" s="740"/>
      <c r="D23" s="741"/>
      <c r="E23" s="307"/>
      <c r="F23" s="281"/>
      <c r="G23" s="281"/>
      <c r="H23" s="281"/>
      <c r="I23" s="281"/>
      <c r="J23" s="281"/>
      <c r="K23" s="438"/>
      <c r="L23" s="281"/>
      <c r="M23" s="281"/>
      <c r="N23" s="281"/>
      <c r="O23" s="281"/>
      <c r="P23" s="281"/>
      <c r="Q23" s="281"/>
      <c r="R23" s="437"/>
      <c r="S23" s="757"/>
      <c r="T23" s="758"/>
      <c r="U23" s="758"/>
      <c r="V23" s="758"/>
      <c r="W23" s="758"/>
      <c r="X23" s="758"/>
      <c r="Y23" s="759"/>
      <c r="Z23" s="437"/>
      <c r="AA23" s="895"/>
      <c r="AB23" s="896"/>
      <c r="AC23" s="896"/>
      <c r="AD23" s="896"/>
      <c r="AE23" s="896"/>
      <c r="AF23" s="896"/>
      <c r="AG23" s="897"/>
    </row>
    <row r="24" spans="1:33" ht="40" customHeight="1">
      <c r="A24" s="309"/>
      <c r="B24" s="1066"/>
      <c r="C24" s="740"/>
      <c r="D24" s="741"/>
      <c r="E24" s="307"/>
      <c r="F24" s="281"/>
      <c r="G24" s="281"/>
      <c r="H24" s="281"/>
      <c r="I24" s="281"/>
      <c r="J24" s="281"/>
      <c r="K24" s="438"/>
      <c r="L24" s="281"/>
      <c r="M24" s="281"/>
      <c r="N24" s="281"/>
      <c r="O24" s="281"/>
      <c r="P24" s="281"/>
      <c r="Q24" s="281"/>
      <c r="R24" s="439"/>
      <c r="S24" s="1080"/>
      <c r="T24" s="1081"/>
      <c r="U24" s="1081"/>
      <c r="V24" s="1081"/>
      <c r="W24" s="1081"/>
      <c r="X24" s="1081"/>
      <c r="Y24" s="1082"/>
      <c r="Z24" s="437"/>
      <c r="AA24" s="895"/>
      <c r="AB24" s="896"/>
      <c r="AC24" s="896"/>
      <c r="AD24" s="896"/>
      <c r="AE24" s="896"/>
      <c r="AF24" s="896"/>
      <c r="AG24" s="897"/>
    </row>
    <row r="25" spans="1:33" ht="40" customHeight="1" thickBot="1">
      <c r="A25" s="315"/>
      <c r="B25" s="1079"/>
      <c r="C25" s="747"/>
      <c r="D25" s="748"/>
      <c r="E25" s="316"/>
      <c r="F25" s="317"/>
      <c r="G25" s="317"/>
      <c r="H25" s="317"/>
      <c r="I25" s="317"/>
      <c r="J25" s="317"/>
      <c r="K25" s="317"/>
      <c r="L25" s="317"/>
      <c r="M25" s="317"/>
      <c r="N25" s="317"/>
      <c r="O25" s="317"/>
      <c r="P25" s="317"/>
      <c r="Q25" s="318"/>
      <c r="R25" s="440"/>
      <c r="S25" s="1083"/>
      <c r="T25" s="1084"/>
      <c r="U25" s="1084"/>
      <c r="V25" s="1084"/>
      <c r="W25" s="1084"/>
      <c r="X25" s="1084"/>
      <c r="Y25" s="1085"/>
      <c r="Z25" s="437"/>
      <c r="AA25" s="895"/>
      <c r="AB25" s="896"/>
      <c r="AC25" s="896"/>
      <c r="AD25" s="896"/>
      <c r="AE25" s="896"/>
      <c r="AF25" s="896"/>
      <c r="AG25" s="897"/>
    </row>
    <row r="26" spans="1:33" ht="24.65" customHeight="1">
      <c r="A26" s="1073"/>
      <c r="B26" s="727"/>
      <c r="C26" s="727"/>
      <c r="D26" s="727"/>
      <c r="E26" s="1072"/>
      <c r="F26" s="1072"/>
      <c r="G26" s="1071"/>
      <c r="H26" s="1071"/>
      <c r="I26" s="1071"/>
      <c r="J26" s="1071"/>
      <c r="K26" s="1071"/>
      <c r="L26" s="1071"/>
      <c r="M26" s="1071"/>
      <c r="N26" s="1071"/>
      <c r="O26" s="1071"/>
      <c r="P26" s="1071"/>
      <c r="Q26" s="1071"/>
      <c r="R26" s="1075"/>
      <c r="S26" s="726"/>
      <c r="T26" s="726"/>
      <c r="U26" s="726"/>
      <c r="V26" s="726"/>
      <c r="W26" s="726"/>
      <c r="X26" s="726"/>
      <c r="Y26" s="726"/>
      <c r="Z26" s="1078"/>
      <c r="AA26" s="1076"/>
      <c r="AB26" s="1076"/>
      <c r="AC26" s="1076"/>
      <c r="AD26" s="1076"/>
      <c r="AE26" s="1076"/>
      <c r="AF26" s="1076"/>
      <c r="AG26" s="1077"/>
    </row>
    <row r="27" spans="1:33" ht="24.65" customHeight="1">
      <c r="A27" s="1073"/>
      <c r="B27" s="727"/>
      <c r="C27" s="727"/>
      <c r="D27" s="727"/>
      <c r="E27" s="1072"/>
      <c r="F27" s="1072"/>
      <c r="G27" s="1071"/>
      <c r="H27" s="1071"/>
      <c r="I27" s="1071"/>
      <c r="J27" s="1071"/>
      <c r="K27" s="1071"/>
      <c r="L27" s="1071"/>
      <c r="M27" s="1071"/>
      <c r="N27" s="1071"/>
      <c r="O27" s="1071"/>
      <c r="P27" s="1071"/>
      <c r="Q27" s="1071"/>
      <c r="R27" s="1075"/>
      <c r="S27" s="726"/>
      <c r="T27" s="726"/>
      <c r="U27" s="726"/>
      <c r="V27" s="726"/>
      <c r="W27" s="726"/>
      <c r="X27" s="726"/>
      <c r="Y27" s="726"/>
      <c r="Z27" s="1075"/>
      <c r="AA27" s="726"/>
      <c r="AB27" s="726"/>
      <c r="AC27" s="726"/>
      <c r="AD27" s="726"/>
      <c r="AE27" s="726"/>
      <c r="AF27" s="726"/>
      <c r="AG27" s="731"/>
    </row>
    <row r="28" spans="1:33" ht="24.65" customHeight="1">
      <c r="A28" s="1073"/>
      <c r="B28" s="727"/>
      <c r="C28" s="727"/>
      <c r="D28" s="727"/>
      <c r="E28" s="1072"/>
      <c r="F28" s="1071"/>
      <c r="G28" s="1071"/>
      <c r="H28" s="1071"/>
      <c r="I28" s="1071"/>
      <c r="J28" s="1071"/>
      <c r="K28" s="1071"/>
      <c r="L28" s="1071"/>
      <c r="M28" s="1071"/>
      <c r="N28" s="1071"/>
      <c r="O28" s="1071"/>
      <c r="P28" s="1071"/>
      <c r="Q28" s="1071"/>
      <c r="R28" s="1075"/>
      <c r="S28" s="726"/>
      <c r="T28" s="726"/>
      <c r="U28" s="726"/>
      <c r="V28" s="726"/>
      <c r="W28" s="726"/>
      <c r="X28" s="726"/>
      <c r="Y28" s="726"/>
      <c r="Z28" s="1075"/>
      <c r="AA28" s="726"/>
      <c r="AB28" s="726"/>
      <c r="AC28" s="726"/>
      <c r="AD28" s="726"/>
      <c r="AE28" s="726"/>
      <c r="AF28" s="726"/>
      <c r="AG28" s="731"/>
    </row>
    <row r="29" spans="1:33" ht="24.65" customHeight="1">
      <c r="A29" s="1073"/>
      <c r="B29" s="727"/>
      <c r="C29" s="727"/>
      <c r="D29" s="727"/>
      <c r="E29" s="1072"/>
      <c r="F29" s="1071"/>
      <c r="G29" s="1071"/>
      <c r="H29" s="1071"/>
      <c r="I29" s="1071"/>
      <c r="J29" s="1071"/>
      <c r="K29" s="1071"/>
      <c r="L29" s="1071"/>
      <c r="M29" s="1071"/>
      <c r="N29" s="1071"/>
      <c r="O29" s="1071"/>
      <c r="P29" s="1071"/>
      <c r="Q29" s="1071"/>
      <c r="R29" s="1075"/>
      <c r="S29" s="726"/>
      <c r="T29" s="726"/>
      <c r="U29" s="726"/>
      <c r="V29" s="726"/>
      <c r="W29" s="726"/>
      <c r="X29" s="726"/>
      <c r="Y29" s="726"/>
      <c r="Z29" s="1075"/>
      <c r="AA29" s="726"/>
      <c r="AB29" s="726"/>
      <c r="AC29" s="726"/>
      <c r="AD29" s="726"/>
      <c r="AE29" s="726"/>
      <c r="AF29" s="726"/>
      <c r="AG29" s="731"/>
    </row>
    <row r="30" spans="1:33" ht="24.65" customHeight="1">
      <c r="A30" s="1073"/>
      <c r="B30" s="727"/>
      <c r="C30" s="727"/>
      <c r="D30" s="727"/>
      <c r="E30" s="1072"/>
      <c r="F30" s="1071"/>
      <c r="G30" s="1071"/>
      <c r="H30" s="1071"/>
      <c r="I30" s="1071"/>
      <c r="J30" s="1071"/>
      <c r="K30" s="1071"/>
      <c r="L30" s="1071"/>
      <c r="M30" s="1071"/>
      <c r="N30" s="1071"/>
      <c r="O30" s="1071"/>
      <c r="P30" s="1071"/>
      <c r="Q30" s="1071"/>
      <c r="R30" s="735"/>
      <c r="S30" s="726"/>
      <c r="T30" s="726"/>
      <c r="U30" s="726"/>
      <c r="V30" s="726"/>
      <c r="W30" s="726"/>
      <c r="X30" s="726"/>
      <c r="Y30" s="726"/>
      <c r="Z30" s="1075"/>
      <c r="AA30" s="726"/>
      <c r="AB30" s="726"/>
      <c r="AC30" s="726"/>
      <c r="AD30" s="726"/>
      <c r="AE30" s="726"/>
      <c r="AF30" s="726"/>
      <c r="AG30" s="731"/>
    </row>
    <row r="31" spans="1:33" ht="24.65" customHeight="1">
      <c r="A31" s="1073"/>
      <c r="B31" s="727"/>
      <c r="C31" s="727"/>
      <c r="D31" s="727"/>
      <c r="E31" s="1072"/>
      <c r="F31" s="1071"/>
      <c r="G31" s="1071"/>
      <c r="H31" s="1071"/>
      <c r="I31" s="1071"/>
      <c r="J31" s="1071"/>
      <c r="K31" s="1071"/>
      <c r="L31" s="1071"/>
      <c r="M31" s="1071"/>
      <c r="N31" s="1071"/>
      <c r="O31" s="1071"/>
      <c r="P31" s="1071"/>
      <c r="Q31" s="1071"/>
      <c r="R31" s="735"/>
      <c r="S31" s="726"/>
      <c r="T31" s="726"/>
      <c r="U31" s="726"/>
      <c r="V31" s="726"/>
      <c r="W31" s="726"/>
      <c r="X31" s="726"/>
      <c r="Y31" s="726"/>
      <c r="Z31" s="1075"/>
      <c r="AA31" s="726"/>
      <c r="AB31" s="726"/>
      <c r="AC31" s="726"/>
      <c r="AD31" s="726"/>
      <c r="AE31" s="726"/>
      <c r="AF31" s="726"/>
      <c r="AG31" s="731"/>
    </row>
    <row r="32" spans="1:33" ht="24.65" customHeight="1">
      <c r="A32" s="1073"/>
      <c r="B32" s="727"/>
      <c r="C32" s="727"/>
      <c r="D32" s="727"/>
      <c r="E32" s="1072"/>
      <c r="F32" s="1072"/>
      <c r="G32" s="1071"/>
      <c r="H32" s="1071"/>
      <c r="I32" s="1071"/>
      <c r="J32" s="1071"/>
      <c r="K32" s="1071"/>
      <c r="L32" s="1071"/>
      <c r="M32" s="1071"/>
      <c r="N32" s="1071"/>
      <c r="O32" s="1071"/>
      <c r="P32" s="1071"/>
      <c r="Q32" s="1071"/>
      <c r="R32" s="1075"/>
      <c r="S32" s="726"/>
      <c r="T32" s="726"/>
      <c r="U32" s="726"/>
      <c r="V32" s="726"/>
      <c r="W32" s="726"/>
      <c r="X32" s="726"/>
      <c r="Y32" s="726"/>
      <c r="Z32" s="1075"/>
      <c r="AA32" s="726"/>
      <c r="AB32" s="726"/>
      <c r="AC32" s="726"/>
      <c r="AD32" s="726"/>
      <c r="AE32" s="726"/>
      <c r="AF32" s="726"/>
      <c r="AG32" s="731"/>
    </row>
    <row r="33" spans="1:33" ht="24.65" customHeight="1">
      <c r="A33" s="1073"/>
      <c r="B33" s="727"/>
      <c r="C33" s="727"/>
      <c r="D33" s="727"/>
      <c r="E33" s="1072"/>
      <c r="F33" s="1072"/>
      <c r="G33" s="1071"/>
      <c r="H33" s="1071"/>
      <c r="I33" s="1071"/>
      <c r="J33" s="1071"/>
      <c r="K33" s="1071"/>
      <c r="L33" s="1071"/>
      <c r="M33" s="1071"/>
      <c r="N33" s="1071"/>
      <c r="O33" s="1071"/>
      <c r="P33" s="1071"/>
      <c r="Q33" s="1071"/>
      <c r="R33" s="1075"/>
      <c r="S33" s="726"/>
      <c r="T33" s="726"/>
      <c r="U33" s="726"/>
      <c r="V33" s="726"/>
      <c r="W33" s="726"/>
      <c r="X33" s="726"/>
      <c r="Y33" s="726"/>
      <c r="Z33" s="1075"/>
      <c r="AA33" s="726"/>
      <c r="AB33" s="726"/>
      <c r="AC33" s="726"/>
      <c r="AD33" s="726"/>
      <c r="AE33" s="726"/>
      <c r="AF33" s="726"/>
      <c r="AG33" s="731"/>
    </row>
    <row r="34" spans="1:33" ht="24.65" customHeight="1">
      <c r="A34" s="1073"/>
      <c r="B34" s="727"/>
      <c r="C34" s="727"/>
      <c r="D34" s="727"/>
      <c r="E34" s="1072"/>
      <c r="F34" s="1072"/>
      <c r="G34" s="1071"/>
      <c r="H34" s="1071"/>
      <c r="I34" s="1071"/>
      <c r="J34" s="1071"/>
      <c r="K34" s="1071"/>
      <c r="L34" s="1071"/>
      <c r="M34" s="1071"/>
      <c r="N34" s="1071"/>
      <c r="O34" s="1071"/>
      <c r="P34" s="1071"/>
      <c r="Q34" s="1071"/>
      <c r="R34" s="735"/>
      <c r="S34" s="726"/>
      <c r="T34" s="726"/>
      <c r="U34" s="726"/>
      <c r="V34" s="726"/>
      <c r="W34" s="726"/>
      <c r="X34" s="726"/>
      <c r="Y34" s="726"/>
      <c r="Z34" s="1075"/>
      <c r="AA34" s="726"/>
      <c r="AB34" s="726"/>
      <c r="AC34" s="726"/>
      <c r="AD34" s="726"/>
      <c r="AE34" s="726"/>
      <c r="AF34" s="726"/>
      <c r="AG34" s="731"/>
    </row>
    <row r="35" spans="1:33" ht="24.65" customHeight="1">
      <c r="A35" s="1073"/>
      <c r="B35" s="727"/>
      <c r="C35" s="727"/>
      <c r="D35" s="727"/>
      <c r="E35" s="1072"/>
      <c r="F35" s="1072"/>
      <c r="G35" s="1071"/>
      <c r="H35" s="1071"/>
      <c r="I35" s="1071"/>
      <c r="J35" s="1071"/>
      <c r="K35" s="1071"/>
      <c r="L35" s="1071"/>
      <c r="M35" s="1071"/>
      <c r="N35" s="1071"/>
      <c r="O35" s="1071"/>
      <c r="P35" s="1071"/>
      <c r="Q35" s="1071"/>
      <c r="R35" s="735"/>
      <c r="S35" s="726"/>
      <c r="T35" s="726"/>
      <c r="U35" s="726"/>
      <c r="V35" s="726"/>
      <c r="W35" s="726"/>
      <c r="X35" s="726"/>
      <c r="Y35" s="726"/>
      <c r="Z35" s="1075"/>
      <c r="AA35" s="726"/>
      <c r="AB35" s="726"/>
      <c r="AC35" s="726"/>
      <c r="AD35" s="726"/>
      <c r="AE35" s="726"/>
      <c r="AF35" s="726"/>
      <c r="AG35" s="731"/>
    </row>
    <row r="36" spans="1:33" ht="24.65" customHeight="1">
      <c r="A36" s="330"/>
      <c r="B36" s="323"/>
      <c r="C36" s="323"/>
      <c r="D36" s="323"/>
      <c r="E36" s="324"/>
      <c r="F36" s="325"/>
      <c r="G36" s="326"/>
      <c r="H36" s="326"/>
      <c r="I36" s="326"/>
      <c r="J36" s="326"/>
      <c r="K36" s="326"/>
      <c r="L36" s="326"/>
      <c r="M36" s="326"/>
      <c r="N36" s="326"/>
      <c r="O36" s="326"/>
      <c r="P36" s="326"/>
      <c r="Q36" s="326"/>
      <c r="R36" s="327"/>
      <c r="S36" s="328"/>
      <c r="T36" s="328"/>
      <c r="U36" s="328"/>
      <c r="V36" s="328"/>
      <c r="W36" s="328"/>
      <c r="X36" s="328"/>
      <c r="Y36" s="325"/>
      <c r="Z36" s="327"/>
      <c r="AA36" s="328"/>
      <c r="AB36" s="328"/>
      <c r="AC36" s="328"/>
      <c r="AD36" s="328"/>
      <c r="AE36" s="328"/>
      <c r="AF36" s="328"/>
      <c r="AG36" s="441"/>
    </row>
    <row r="37" spans="1:33" ht="24.65" customHeight="1">
      <c r="A37" s="1073"/>
      <c r="B37" s="727"/>
      <c r="C37" s="727"/>
      <c r="D37" s="727"/>
      <c r="E37" s="1074"/>
      <c r="F37" s="1072"/>
      <c r="G37" s="1071"/>
      <c r="H37" s="1071"/>
      <c r="I37" s="1071"/>
      <c r="J37" s="1071"/>
      <c r="K37" s="1071"/>
      <c r="L37" s="1071"/>
      <c r="M37" s="1071"/>
      <c r="N37" s="1071"/>
      <c r="O37" s="1071"/>
      <c r="P37" s="1071"/>
      <c r="Q37" s="1071"/>
      <c r="R37" s="735"/>
      <c r="S37" s="726"/>
      <c r="T37" s="726"/>
      <c r="U37" s="726"/>
      <c r="V37" s="726"/>
      <c r="W37" s="726"/>
      <c r="X37" s="726"/>
      <c r="Y37" s="1072"/>
      <c r="Z37" s="735"/>
      <c r="AA37" s="726"/>
      <c r="AB37" s="726"/>
      <c r="AC37" s="726"/>
      <c r="AD37" s="726"/>
      <c r="AE37" s="726"/>
      <c r="AF37" s="726"/>
      <c r="AG37" s="1070"/>
    </row>
    <row r="38" spans="1:33" ht="24.65" customHeight="1">
      <c r="A38" s="1073"/>
      <c r="B38" s="727"/>
      <c r="C38" s="727"/>
      <c r="D38" s="727"/>
      <c r="E38" s="1074"/>
      <c r="F38" s="1072"/>
      <c r="G38" s="1071"/>
      <c r="H38" s="1071"/>
      <c r="I38" s="1071"/>
      <c r="J38" s="1071"/>
      <c r="K38" s="1071"/>
      <c r="L38" s="1071"/>
      <c r="M38" s="1071"/>
      <c r="N38" s="1071"/>
      <c r="O38" s="1071"/>
      <c r="P38" s="1071"/>
      <c r="Q38" s="1071"/>
      <c r="R38" s="735"/>
      <c r="S38" s="726"/>
      <c r="T38" s="726"/>
      <c r="U38" s="726"/>
      <c r="V38" s="726"/>
      <c r="W38" s="726"/>
      <c r="X38" s="726"/>
      <c r="Y38" s="1072"/>
      <c r="Z38" s="735"/>
      <c r="AA38" s="726"/>
      <c r="AB38" s="726"/>
      <c r="AC38" s="726"/>
      <c r="AD38" s="726"/>
      <c r="AE38" s="726"/>
      <c r="AF38" s="726"/>
      <c r="AG38" s="1070"/>
    </row>
    <row r="39" spans="1:33" ht="24.65" customHeight="1">
      <c r="A39" s="330"/>
      <c r="B39" s="323"/>
      <c r="C39" s="323"/>
      <c r="D39" s="323"/>
      <c r="E39" s="324"/>
      <c r="F39" s="325"/>
      <c r="G39" s="326"/>
      <c r="H39" s="326"/>
      <c r="I39" s="326"/>
      <c r="J39" s="326"/>
      <c r="K39" s="326"/>
      <c r="L39" s="326"/>
      <c r="M39" s="326"/>
      <c r="N39" s="326"/>
      <c r="O39" s="326"/>
      <c r="P39" s="326"/>
      <c r="Q39" s="326"/>
      <c r="R39" s="327"/>
      <c r="S39" s="328"/>
      <c r="T39" s="328"/>
      <c r="U39" s="328"/>
      <c r="V39" s="328"/>
      <c r="W39" s="328"/>
      <c r="X39" s="328"/>
      <c r="Y39" s="325"/>
      <c r="Z39" s="327"/>
      <c r="AA39" s="328"/>
      <c r="AB39" s="328"/>
      <c r="AC39" s="328"/>
      <c r="AD39" s="328"/>
      <c r="AE39" s="328"/>
      <c r="AF39" s="328"/>
      <c r="AG39" s="441"/>
    </row>
    <row r="40" spans="1:33" ht="24.65" customHeight="1">
      <c r="A40" s="330"/>
      <c r="B40" s="323"/>
      <c r="C40" s="323"/>
      <c r="D40" s="323"/>
      <c r="E40" s="324"/>
      <c r="F40" s="325"/>
      <c r="G40" s="326"/>
      <c r="H40" s="326"/>
      <c r="I40" s="326"/>
      <c r="J40" s="326"/>
      <c r="K40" s="326"/>
      <c r="L40" s="326"/>
      <c r="M40" s="326"/>
      <c r="N40" s="326"/>
      <c r="O40" s="326"/>
      <c r="P40" s="326"/>
      <c r="Q40" s="326"/>
      <c r="R40" s="327"/>
      <c r="S40" s="328"/>
      <c r="T40" s="328"/>
      <c r="U40" s="328"/>
      <c r="V40" s="328"/>
      <c r="W40" s="328"/>
      <c r="X40" s="328"/>
      <c r="Y40" s="325"/>
      <c r="Z40" s="327"/>
      <c r="AA40" s="328"/>
      <c r="AB40" s="328"/>
      <c r="AC40" s="328"/>
      <c r="AD40" s="328"/>
      <c r="AE40" s="328"/>
      <c r="AF40" s="328"/>
      <c r="AG40" s="441"/>
    </row>
    <row r="41" spans="1:33" ht="24.65" customHeight="1">
      <c r="A41" s="330"/>
      <c r="B41" s="323"/>
      <c r="C41" s="323"/>
      <c r="D41" s="323"/>
      <c r="E41" s="324"/>
      <c r="F41" s="325"/>
      <c r="G41" s="326"/>
      <c r="H41" s="326"/>
      <c r="I41" s="326"/>
      <c r="J41" s="326"/>
      <c r="K41" s="326"/>
      <c r="L41" s="326"/>
      <c r="M41" s="326"/>
      <c r="N41" s="326"/>
      <c r="O41" s="326"/>
      <c r="P41" s="326"/>
      <c r="Q41" s="326"/>
      <c r="R41" s="327"/>
      <c r="S41" s="328"/>
      <c r="T41" s="328"/>
      <c r="U41" s="328"/>
      <c r="V41" s="328"/>
      <c r="W41" s="328"/>
      <c r="X41" s="328"/>
      <c r="Y41" s="325"/>
      <c r="Z41" s="327"/>
      <c r="AA41" s="328"/>
      <c r="AB41" s="328"/>
      <c r="AC41" s="328"/>
      <c r="AD41" s="328"/>
      <c r="AE41" s="328"/>
      <c r="AF41" s="328"/>
      <c r="AG41" s="441"/>
    </row>
    <row r="42" spans="1:33" ht="24.65" customHeight="1">
      <c r="A42" s="330"/>
      <c r="B42" s="323"/>
      <c r="C42" s="323"/>
      <c r="D42" s="323"/>
      <c r="E42" s="324"/>
      <c r="F42" s="325"/>
      <c r="G42" s="326"/>
      <c r="H42" s="326"/>
      <c r="I42" s="326"/>
      <c r="J42" s="326"/>
      <c r="K42" s="326"/>
      <c r="L42" s="326"/>
      <c r="M42" s="326"/>
      <c r="N42" s="326"/>
      <c r="O42" s="326"/>
      <c r="P42" s="326"/>
      <c r="Q42" s="326"/>
      <c r="R42" s="327"/>
      <c r="S42" s="328"/>
      <c r="T42" s="328"/>
      <c r="U42" s="328"/>
      <c r="V42" s="328"/>
      <c r="W42" s="328"/>
      <c r="X42" s="328"/>
      <c r="Y42" s="325"/>
      <c r="Z42" s="327"/>
      <c r="AA42" s="328"/>
      <c r="AB42" s="328"/>
      <c r="AC42" s="328"/>
      <c r="AD42" s="328"/>
      <c r="AE42" s="328"/>
      <c r="AF42" s="328"/>
      <c r="AG42" s="441"/>
    </row>
    <row r="43" spans="1:33" ht="24.65" customHeight="1">
      <c r="A43" s="330"/>
      <c r="B43" s="323"/>
      <c r="C43" s="323"/>
      <c r="D43" s="323"/>
      <c r="E43" s="324"/>
      <c r="F43" s="325"/>
      <c r="G43" s="326"/>
      <c r="H43" s="326"/>
      <c r="I43" s="326"/>
      <c r="J43" s="326"/>
      <c r="K43" s="326"/>
      <c r="L43" s="326"/>
      <c r="M43" s="326"/>
      <c r="N43" s="326"/>
      <c r="O43" s="326"/>
      <c r="P43" s="326"/>
      <c r="Q43" s="326"/>
      <c r="R43" s="327"/>
      <c r="S43" s="328"/>
      <c r="T43" s="328"/>
      <c r="U43" s="328"/>
      <c r="V43" s="328"/>
      <c r="W43" s="328"/>
      <c r="X43" s="328"/>
      <c r="Y43" s="325"/>
      <c r="Z43" s="327"/>
      <c r="AA43" s="328"/>
      <c r="AB43" s="328"/>
      <c r="AC43" s="328"/>
      <c r="AD43" s="328"/>
      <c r="AE43" s="328"/>
      <c r="AF43" s="328"/>
      <c r="AG43" s="441"/>
    </row>
    <row r="44" spans="1:33" ht="24.65" customHeight="1">
      <c r="A44" s="330"/>
      <c r="B44" s="323"/>
      <c r="C44" s="323"/>
      <c r="D44" s="323"/>
      <c r="E44" s="324"/>
      <c r="F44" s="325"/>
      <c r="G44" s="326"/>
      <c r="H44" s="326"/>
      <c r="I44" s="326"/>
      <c r="J44" s="326"/>
      <c r="K44" s="326"/>
      <c r="L44" s="326"/>
      <c r="M44" s="326"/>
      <c r="N44" s="326"/>
      <c r="O44" s="326"/>
      <c r="P44" s="326"/>
      <c r="Q44" s="326"/>
      <c r="R44" s="327"/>
      <c r="S44" s="328"/>
      <c r="T44" s="328"/>
      <c r="U44" s="328"/>
      <c r="V44" s="328"/>
      <c r="W44" s="328"/>
      <c r="X44" s="328"/>
      <c r="Y44" s="325"/>
      <c r="Z44" s="327"/>
      <c r="AA44" s="328"/>
      <c r="AB44" s="328"/>
      <c r="AC44" s="328"/>
      <c r="AD44" s="328"/>
      <c r="AE44" s="328"/>
      <c r="AF44" s="328"/>
      <c r="AG44" s="441"/>
    </row>
    <row r="45" spans="1:33" ht="24.65" customHeight="1">
      <c r="A45" s="330"/>
      <c r="B45" s="323"/>
      <c r="C45" s="323"/>
      <c r="D45" s="323"/>
      <c r="E45" s="324"/>
      <c r="F45" s="325"/>
      <c r="G45" s="326"/>
      <c r="H45" s="326"/>
      <c r="I45" s="326"/>
      <c r="J45" s="326"/>
      <c r="K45" s="326"/>
      <c r="L45" s="326"/>
      <c r="M45" s="326"/>
      <c r="N45" s="326"/>
      <c r="O45" s="326"/>
      <c r="P45" s="326"/>
      <c r="Q45" s="326"/>
      <c r="R45" s="327"/>
      <c r="S45" s="328"/>
      <c r="T45" s="328"/>
      <c r="U45" s="328"/>
      <c r="V45" s="328"/>
      <c r="W45" s="328"/>
      <c r="X45" s="328"/>
      <c r="Y45" s="325"/>
      <c r="Z45" s="327"/>
      <c r="AA45" s="328"/>
      <c r="AB45" s="328"/>
      <c r="AC45" s="328"/>
      <c r="AD45" s="328"/>
      <c r="AE45" s="328"/>
      <c r="AF45" s="328"/>
      <c r="AG45" s="441"/>
    </row>
    <row r="46" spans="1:33" ht="24.65" customHeight="1">
      <c r="A46" s="330"/>
      <c r="B46" s="323"/>
      <c r="C46" s="323"/>
      <c r="D46" s="323"/>
      <c r="E46" s="324"/>
      <c r="F46" s="325"/>
      <c r="G46" s="326"/>
      <c r="H46" s="326"/>
      <c r="I46" s="326"/>
      <c r="J46" s="326"/>
      <c r="K46" s="326"/>
      <c r="L46" s="326"/>
      <c r="M46" s="326"/>
      <c r="N46" s="326"/>
      <c r="O46" s="326"/>
      <c r="P46" s="326"/>
      <c r="Q46" s="326"/>
      <c r="R46" s="327"/>
      <c r="S46" s="328"/>
      <c r="T46" s="328"/>
      <c r="U46" s="328"/>
      <c r="V46" s="328"/>
      <c r="W46" s="328"/>
      <c r="X46" s="328"/>
      <c r="Y46" s="325"/>
      <c r="Z46" s="327"/>
      <c r="AA46" s="328"/>
      <c r="AB46" s="328"/>
      <c r="AC46" s="328"/>
      <c r="AD46" s="328"/>
      <c r="AE46" s="328"/>
      <c r="AF46" s="328"/>
      <c r="AG46" s="441"/>
    </row>
    <row r="47" spans="1:33" ht="24.65" customHeight="1">
      <c r="A47" s="330"/>
      <c r="B47" s="323"/>
      <c r="C47" s="323"/>
      <c r="D47" s="323"/>
      <c r="E47" s="324"/>
      <c r="F47" s="325"/>
      <c r="G47" s="326"/>
      <c r="H47" s="326"/>
      <c r="I47" s="326"/>
      <c r="J47" s="326"/>
      <c r="K47" s="326"/>
      <c r="L47" s="326"/>
      <c r="M47" s="326"/>
      <c r="N47" s="326"/>
      <c r="O47" s="326"/>
      <c r="P47" s="326"/>
      <c r="Q47" s="326"/>
      <c r="R47" s="327"/>
      <c r="S47" s="328"/>
      <c r="T47" s="328"/>
      <c r="U47" s="328"/>
      <c r="V47" s="328"/>
      <c r="W47" s="328"/>
      <c r="X47" s="328"/>
      <c r="Y47" s="325"/>
      <c r="Z47" s="327"/>
      <c r="AA47" s="328"/>
      <c r="AB47" s="328"/>
      <c r="AC47" s="328"/>
      <c r="AD47" s="328"/>
      <c r="AE47" s="328"/>
      <c r="AF47" s="328"/>
      <c r="AG47" s="441"/>
    </row>
    <row r="48" spans="1:33" ht="24.65" customHeight="1">
      <c r="A48" s="330"/>
      <c r="B48" s="323"/>
      <c r="C48" s="323"/>
      <c r="D48" s="323"/>
      <c r="E48" s="324"/>
      <c r="F48" s="325"/>
      <c r="G48" s="326"/>
      <c r="H48" s="326"/>
      <c r="I48" s="326"/>
      <c r="J48" s="326"/>
      <c r="K48" s="326"/>
      <c r="L48" s="326"/>
      <c r="M48" s="326"/>
      <c r="N48" s="326"/>
      <c r="O48" s="326"/>
      <c r="P48" s="326"/>
      <c r="Q48" s="326"/>
      <c r="R48" s="327"/>
      <c r="S48" s="328"/>
      <c r="T48" s="328"/>
      <c r="U48" s="328"/>
      <c r="V48" s="328"/>
      <c r="W48" s="328"/>
      <c r="X48" s="328"/>
      <c r="Y48" s="325"/>
      <c r="Z48" s="327"/>
      <c r="AA48" s="328"/>
      <c r="AB48" s="328"/>
      <c r="AC48" s="328"/>
      <c r="AD48" s="328"/>
      <c r="AE48" s="328"/>
      <c r="AF48" s="328"/>
      <c r="AG48" s="441"/>
    </row>
    <row r="49" spans="1:50" ht="24.65" customHeight="1">
      <c r="A49" s="1073"/>
      <c r="B49" s="727"/>
      <c r="C49" s="727"/>
      <c r="D49" s="727"/>
      <c r="E49" s="1074"/>
      <c r="F49" s="1072"/>
      <c r="G49" s="1071"/>
      <c r="H49" s="1071"/>
      <c r="I49" s="1071"/>
      <c r="J49" s="1071"/>
      <c r="K49" s="1071"/>
      <c r="L49" s="1071"/>
      <c r="M49" s="1071"/>
      <c r="N49" s="1071"/>
      <c r="O49" s="1071"/>
      <c r="P49" s="1071"/>
      <c r="Q49" s="1071"/>
      <c r="R49" s="735"/>
      <c r="S49" s="726"/>
      <c r="T49" s="726"/>
      <c r="U49" s="726"/>
      <c r="V49" s="726"/>
      <c r="W49" s="726"/>
      <c r="X49" s="726"/>
      <c r="Y49" s="1072"/>
      <c r="Z49" s="735"/>
      <c r="AA49" s="726"/>
      <c r="AB49" s="726"/>
      <c r="AC49" s="726"/>
      <c r="AD49" s="726"/>
      <c r="AE49" s="726"/>
      <c r="AF49" s="726"/>
      <c r="AG49" s="1070"/>
    </row>
    <row r="50" spans="1:50" ht="24.65" customHeight="1">
      <c r="A50" s="1073"/>
      <c r="B50" s="727"/>
      <c r="C50" s="727"/>
      <c r="D50" s="727"/>
      <c r="E50" s="1074"/>
      <c r="F50" s="1072"/>
      <c r="G50" s="1071"/>
      <c r="H50" s="1071"/>
      <c r="I50" s="1071"/>
      <c r="J50" s="1071"/>
      <c r="K50" s="1071"/>
      <c r="L50" s="1071"/>
      <c r="M50" s="1071"/>
      <c r="N50" s="1071"/>
      <c r="O50" s="1071"/>
      <c r="P50" s="1071"/>
      <c r="Q50" s="1071"/>
      <c r="R50" s="735"/>
      <c r="S50" s="726"/>
      <c r="T50" s="726"/>
      <c r="U50" s="726"/>
      <c r="V50" s="726"/>
      <c r="W50" s="726"/>
      <c r="X50" s="726"/>
      <c r="Y50" s="1072"/>
      <c r="Z50" s="735"/>
      <c r="AA50" s="726"/>
      <c r="AB50" s="726"/>
      <c r="AC50" s="726"/>
      <c r="AD50" s="726"/>
      <c r="AE50" s="726"/>
      <c r="AF50" s="726"/>
      <c r="AG50" s="1070"/>
    </row>
    <row r="51" spans="1:50" ht="24.65" customHeight="1">
      <c r="A51" s="330"/>
      <c r="B51" s="323"/>
      <c r="C51" s="323"/>
      <c r="D51" s="323"/>
      <c r="E51" s="324"/>
      <c r="F51" s="325"/>
      <c r="G51" s="326"/>
      <c r="H51" s="326"/>
      <c r="I51" s="326"/>
      <c r="J51" s="326"/>
      <c r="K51" s="326"/>
      <c r="L51" s="326"/>
      <c r="M51" s="326"/>
      <c r="N51" s="326"/>
      <c r="O51" s="326"/>
      <c r="P51" s="326"/>
      <c r="Q51" s="326"/>
      <c r="R51" s="327"/>
      <c r="S51" s="328"/>
      <c r="T51" s="328"/>
      <c r="U51" s="328"/>
      <c r="V51" s="328"/>
      <c r="W51" s="328"/>
      <c r="X51" s="328"/>
      <c r="Y51" s="325"/>
      <c r="Z51" s="327"/>
      <c r="AA51" s="328"/>
      <c r="AB51" s="328"/>
      <c r="AC51" s="328"/>
      <c r="AD51" s="328"/>
      <c r="AE51" s="328"/>
      <c r="AF51" s="328"/>
      <c r="AG51" s="441"/>
    </row>
    <row r="52" spans="1:50" ht="24.65" customHeight="1" thickBot="1">
      <c r="A52" s="442"/>
      <c r="B52" s="443"/>
      <c r="C52" s="443"/>
      <c r="D52" s="443"/>
      <c r="E52" s="444"/>
      <c r="F52" s="445"/>
      <c r="G52" s="446"/>
      <c r="H52" s="446"/>
      <c r="I52" s="446"/>
      <c r="J52" s="446"/>
      <c r="K52" s="446"/>
      <c r="L52" s="446"/>
      <c r="M52" s="446"/>
      <c r="N52" s="446"/>
      <c r="O52" s="446"/>
      <c r="P52" s="446"/>
      <c r="Q52" s="446"/>
      <c r="R52" s="447"/>
      <c r="S52" s="448"/>
      <c r="T52" s="448"/>
      <c r="U52" s="448"/>
      <c r="V52" s="448"/>
      <c r="W52" s="448"/>
      <c r="X52" s="448"/>
      <c r="Y52" s="445"/>
      <c r="Z52" s="447"/>
      <c r="AA52" s="448"/>
      <c r="AB52" s="448"/>
      <c r="AC52" s="448"/>
      <c r="AD52" s="448"/>
      <c r="AE52" s="448"/>
      <c r="AF52" s="448"/>
      <c r="AG52" s="449"/>
    </row>
    <row r="54" spans="1:50" ht="16" thickBot="1">
      <c r="AI54" s="337"/>
      <c r="AJ54" s="294" t="s">
        <v>95</v>
      </c>
    </row>
    <row r="55" spans="1:50">
      <c r="AH55" s="338" t="s">
        <v>144</v>
      </c>
      <c r="AI55" s="339"/>
      <c r="AJ55" s="339"/>
      <c r="AK55" s="339"/>
      <c r="AL55" s="339"/>
      <c r="AM55" s="339"/>
      <c r="AN55" s="339"/>
      <c r="AO55" s="339"/>
      <c r="AP55" s="339"/>
      <c r="AQ55" s="339"/>
      <c r="AR55" s="339"/>
      <c r="AS55" s="339"/>
      <c r="AT55" s="339"/>
      <c r="AU55" s="339"/>
      <c r="AV55" s="340"/>
      <c r="AX55" s="450"/>
    </row>
    <row r="56" spans="1:50">
      <c r="AH56" s="341" t="s">
        <v>1</v>
      </c>
      <c r="AJ56" s="342">
        <v>45352</v>
      </c>
      <c r="AK56" s="342">
        <v>45383</v>
      </c>
      <c r="AL56" s="342">
        <v>45413</v>
      </c>
      <c r="AM56" s="342">
        <v>45444</v>
      </c>
      <c r="AN56" s="342">
        <v>45474</v>
      </c>
      <c r="AO56" s="342">
        <v>45505</v>
      </c>
      <c r="AP56" s="342">
        <v>45536</v>
      </c>
      <c r="AQ56" s="342">
        <v>45566</v>
      </c>
      <c r="AR56" s="342">
        <v>45597</v>
      </c>
      <c r="AS56" s="342">
        <v>45627</v>
      </c>
      <c r="AT56" s="342">
        <v>45658</v>
      </c>
      <c r="AU56" s="342">
        <v>45689</v>
      </c>
      <c r="AV56" s="343">
        <v>45717</v>
      </c>
    </row>
    <row r="57" spans="1:50">
      <c r="AH57" s="344">
        <f>(AV57-AJ57)/12</f>
        <v>0</v>
      </c>
      <c r="AI57" s="345"/>
      <c r="AJ57" s="345">
        <f>AV57</f>
        <v>6</v>
      </c>
      <c r="AK57" s="345">
        <v>6</v>
      </c>
      <c r="AL57" s="345">
        <f t="shared" ref="AL57:AU57" si="0">AK57+$AH$57</f>
        <v>6</v>
      </c>
      <c r="AM57" s="345">
        <f t="shared" si="0"/>
        <v>6</v>
      </c>
      <c r="AN57" s="345">
        <f t="shared" si="0"/>
        <v>6</v>
      </c>
      <c r="AO57" s="345">
        <f t="shared" si="0"/>
        <v>6</v>
      </c>
      <c r="AP57" s="345">
        <f t="shared" si="0"/>
        <v>6</v>
      </c>
      <c r="AQ57" s="345">
        <f t="shared" si="0"/>
        <v>6</v>
      </c>
      <c r="AR57" s="345">
        <f t="shared" si="0"/>
        <v>6</v>
      </c>
      <c r="AS57" s="345">
        <f t="shared" si="0"/>
        <v>6</v>
      </c>
      <c r="AT57" s="345">
        <f t="shared" si="0"/>
        <v>6</v>
      </c>
      <c r="AU57" s="345">
        <f t="shared" si="0"/>
        <v>6</v>
      </c>
      <c r="AV57" s="346">
        <v>6</v>
      </c>
    </row>
    <row r="58" spans="1:50">
      <c r="AH58" s="344">
        <f>(AV58-AJ58)/12</f>
        <v>0</v>
      </c>
      <c r="AI58" s="347" t="s">
        <v>2</v>
      </c>
      <c r="AJ58" s="345">
        <f>AV57</f>
        <v>6</v>
      </c>
      <c r="AK58" s="345">
        <v>6</v>
      </c>
      <c r="AL58" s="345">
        <f t="shared" ref="AL58:AU58" si="1">AK58+$AH$58</f>
        <v>6</v>
      </c>
      <c r="AM58" s="345">
        <f t="shared" si="1"/>
        <v>6</v>
      </c>
      <c r="AN58" s="345">
        <f t="shared" si="1"/>
        <v>6</v>
      </c>
      <c r="AO58" s="345">
        <f t="shared" si="1"/>
        <v>6</v>
      </c>
      <c r="AP58" s="345">
        <f t="shared" si="1"/>
        <v>6</v>
      </c>
      <c r="AQ58" s="345">
        <f t="shared" si="1"/>
        <v>6</v>
      </c>
      <c r="AR58" s="345">
        <f t="shared" si="1"/>
        <v>6</v>
      </c>
      <c r="AS58" s="345">
        <f t="shared" si="1"/>
        <v>6</v>
      </c>
      <c r="AT58" s="345">
        <f t="shared" si="1"/>
        <v>6</v>
      </c>
      <c r="AU58" s="345">
        <f t="shared" si="1"/>
        <v>6</v>
      </c>
      <c r="AV58" s="348">
        <f>AV57-(AV57-AV60)*0.5</f>
        <v>6</v>
      </c>
    </row>
    <row r="59" spans="1:50">
      <c r="AH59" s="344">
        <f>(AV59-AJ59)/12</f>
        <v>0</v>
      </c>
      <c r="AI59" s="349" t="s">
        <v>2</v>
      </c>
      <c r="AJ59" s="345">
        <f>AV57</f>
        <v>6</v>
      </c>
      <c r="AK59" s="345">
        <v>6</v>
      </c>
      <c r="AL59" s="345">
        <f t="shared" ref="AL59:AU59" si="2">AK59+$AH$59</f>
        <v>6</v>
      </c>
      <c r="AM59" s="345">
        <f t="shared" si="2"/>
        <v>6</v>
      </c>
      <c r="AN59" s="345">
        <f t="shared" si="2"/>
        <v>6</v>
      </c>
      <c r="AO59" s="345">
        <f t="shared" si="2"/>
        <v>6</v>
      </c>
      <c r="AP59" s="345">
        <f t="shared" si="2"/>
        <v>6</v>
      </c>
      <c r="AQ59" s="345">
        <f t="shared" si="2"/>
        <v>6</v>
      </c>
      <c r="AR59" s="345">
        <f t="shared" si="2"/>
        <v>6</v>
      </c>
      <c r="AS59" s="345">
        <f t="shared" si="2"/>
        <v>6</v>
      </c>
      <c r="AT59" s="345">
        <f t="shared" si="2"/>
        <v>6</v>
      </c>
      <c r="AU59" s="345">
        <f t="shared" si="2"/>
        <v>6</v>
      </c>
      <c r="AV59" s="350">
        <f>AV57-(AV57-AV60)*0.8</f>
        <v>6</v>
      </c>
    </row>
    <row r="60" spans="1:50">
      <c r="AH60" s="344">
        <f>(AV60-AJ60)/12</f>
        <v>0</v>
      </c>
      <c r="AI60" s="351" t="s">
        <v>2</v>
      </c>
      <c r="AJ60" s="345">
        <f>AV57</f>
        <v>6</v>
      </c>
      <c r="AK60" s="345">
        <v>6</v>
      </c>
      <c r="AL60" s="345">
        <f t="shared" ref="AL60:AU60" si="3">AK60+$AH$60</f>
        <v>6</v>
      </c>
      <c r="AM60" s="345">
        <f t="shared" si="3"/>
        <v>6</v>
      </c>
      <c r="AN60" s="345">
        <f t="shared" si="3"/>
        <v>6</v>
      </c>
      <c r="AO60" s="345">
        <f t="shared" si="3"/>
        <v>6</v>
      </c>
      <c r="AP60" s="345">
        <f t="shared" si="3"/>
        <v>6</v>
      </c>
      <c r="AQ60" s="345">
        <f t="shared" si="3"/>
        <v>6</v>
      </c>
      <c r="AR60" s="345">
        <f t="shared" si="3"/>
        <v>6</v>
      </c>
      <c r="AS60" s="345">
        <f t="shared" si="3"/>
        <v>6</v>
      </c>
      <c r="AT60" s="345">
        <f t="shared" si="3"/>
        <v>6</v>
      </c>
      <c r="AU60" s="345">
        <f t="shared" si="3"/>
        <v>6</v>
      </c>
      <c r="AV60" s="352">
        <v>6</v>
      </c>
    </row>
    <row r="61" spans="1:50">
      <c r="AH61" s="721" t="s">
        <v>3</v>
      </c>
      <c r="AI61" s="722"/>
      <c r="AJ61" s="355"/>
      <c r="AK61" s="356">
        <v>0</v>
      </c>
      <c r="AL61" s="356">
        <f t="shared" ref="AL61:AV61" si="4">AK61+AL63</f>
        <v>0</v>
      </c>
      <c r="AM61" s="356">
        <f t="shared" si="4"/>
        <v>1</v>
      </c>
      <c r="AN61" s="356">
        <f t="shared" si="4"/>
        <v>1</v>
      </c>
      <c r="AO61" s="356">
        <f t="shared" si="4"/>
        <v>1</v>
      </c>
      <c r="AP61" s="356">
        <f t="shared" si="4"/>
        <v>1</v>
      </c>
      <c r="AQ61" s="356">
        <f t="shared" si="4"/>
        <v>1</v>
      </c>
      <c r="AR61" s="356">
        <f t="shared" si="4"/>
        <v>1</v>
      </c>
      <c r="AS61" s="356">
        <f t="shared" si="4"/>
        <v>1</v>
      </c>
      <c r="AT61" s="356">
        <f t="shared" si="4"/>
        <v>1</v>
      </c>
      <c r="AU61" s="356">
        <f t="shared" si="4"/>
        <v>1</v>
      </c>
      <c r="AV61" s="357">
        <f t="shared" si="4"/>
        <v>1</v>
      </c>
    </row>
    <row r="62" spans="1:50">
      <c r="AH62" s="353"/>
      <c r="AI62" s="354"/>
      <c r="AJ62" s="355"/>
      <c r="AK62" s="355"/>
      <c r="AL62" s="356"/>
      <c r="AM62" s="355"/>
      <c r="AN62" s="355"/>
      <c r="AO62" s="355"/>
      <c r="AP62" s="356"/>
      <c r="AQ62" s="356"/>
      <c r="AR62" s="356"/>
      <c r="AS62" s="356"/>
      <c r="AT62" s="356"/>
      <c r="AU62" s="356"/>
      <c r="AV62" s="357"/>
    </row>
    <row r="63" spans="1:50">
      <c r="AH63" s="721" t="s">
        <v>4</v>
      </c>
      <c r="AI63" s="722"/>
      <c r="AJ63" s="331"/>
      <c r="AK63" s="358">
        <v>0</v>
      </c>
      <c r="AL63" s="358">
        <v>0</v>
      </c>
      <c r="AM63" s="358">
        <v>1</v>
      </c>
      <c r="AN63" s="358">
        <v>0</v>
      </c>
      <c r="AO63" s="358">
        <v>0</v>
      </c>
      <c r="AP63" s="358"/>
      <c r="AQ63" s="358"/>
      <c r="AR63" s="358"/>
      <c r="AS63" s="358"/>
      <c r="AT63" s="358"/>
      <c r="AU63" s="358"/>
      <c r="AV63" s="359"/>
    </row>
    <row r="64" spans="1:50">
      <c r="AH64" s="353"/>
      <c r="AI64" s="354"/>
      <c r="AJ64" s="331"/>
      <c r="AK64" s="331">
        <v>0</v>
      </c>
      <c r="AL64" s="331">
        <f>AL63</f>
        <v>0</v>
      </c>
      <c r="AM64" s="331">
        <f>AM63</f>
        <v>1</v>
      </c>
      <c r="AN64" s="331">
        <f>AN63</f>
        <v>0</v>
      </c>
      <c r="AO64" s="331">
        <f t="shared" ref="AO64:AV64" si="5">AO63</f>
        <v>0</v>
      </c>
      <c r="AP64" s="331">
        <f t="shared" si="5"/>
        <v>0</v>
      </c>
      <c r="AQ64" s="331">
        <f t="shared" si="5"/>
        <v>0</v>
      </c>
      <c r="AR64" s="331">
        <f t="shared" si="5"/>
        <v>0</v>
      </c>
      <c r="AS64" s="331">
        <f t="shared" si="5"/>
        <v>0</v>
      </c>
      <c r="AT64" s="331">
        <f t="shared" si="5"/>
        <v>0</v>
      </c>
      <c r="AU64" s="331">
        <f t="shared" si="5"/>
        <v>0</v>
      </c>
      <c r="AV64" s="360">
        <f t="shared" si="5"/>
        <v>0</v>
      </c>
    </row>
    <row r="65" spans="33:48">
      <c r="AH65" s="721" t="s">
        <v>5</v>
      </c>
      <c r="AI65" s="722"/>
      <c r="AK65" s="361" t="e">
        <v>#DIV/0!</v>
      </c>
      <c r="AL65" s="361" t="e">
        <f t="shared" ref="AL65:AV65" si="6">(AL57-AL61)/(AL57-AL60)</f>
        <v>#DIV/0!</v>
      </c>
      <c r="AM65" s="361" t="e">
        <f t="shared" si="6"/>
        <v>#DIV/0!</v>
      </c>
      <c r="AN65" s="361" t="e">
        <f t="shared" si="6"/>
        <v>#DIV/0!</v>
      </c>
      <c r="AO65" s="361" t="e">
        <f t="shared" si="6"/>
        <v>#DIV/0!</v>
      </c>
      <c r="AP65" s="361" t="e">
        <f t="shared" si="6"/>
        <v>#DIV/0!</v>
      </c>
      <c r="AQ65" s="361" t="e">
        <f t="shared" si="6"/>
        <v>#DIV/0!</v>
      </c>
      <c r="AR65" s="361" t="e">
        <f t="shared" si="6"/>
        <v>#DIV/0!</v>
      </c>
      <c r="AS65" s="361" t="e">
        <f t="shared" si="6"/>
        <v>#DIV/0!</v>
      </c>
      <c r="AT65" s="361" t="e">
        <f t="shared" si="6"/>
        <v>#DIV/0!</v>
      </c>
      <c r="AU65" s="361" t="e">
        <f t="shared" si="6"/>
        <v>#DIV/0!</v>
      </c>
      <c r="AV65" s="362" t="e">
        <f t="shared" si="6"/>
        <v>#DIV/0!</v>
      </c>
    </row>
    <row r="66" spans="33:48">
      <c r="AH66" s="721" t="s">
        <v>6</v>
      </c>
      <c r="AI66" s="722"/>
      <c r="AK66" s="363">
        <v>1</v>
      </c>
      <c r="AL66" s="363">
        <v>1</v>
      </c>
      <c r="AM66" s="363">
        <v>1</v>
      </c>
      <c r="AN66" s="363">
        <v>1</v>
      </c>
      <c r="AO66" s="363">
        <v>1</v>
      </c>
      <c r="AP66" s="363" t="e">
        <f t="shared" ref="AP66:AU66" si="7">IF(OR(AP65&gt;=100%),100%,IF(OR(AP65&lt;=0%),0%,AVERAGE(AP65)))</f>
        <v>#DIV/0!</v>
      </c>
      <c r="AQ66" s="363" t="e">
        <f>IF(OR(AQ65&gt;=100%),100%,IF(OR(AQ65&lt;=0%),0%,AVERAGE(AQ65)))</f>
        <v>#DIV/0!</v>
      </c>
      <c r="AR66" s="363" t="e">
        <f t="shared" si="7"/>
        <v>#DIV/0!</v>
      </c>
      <c r="AS66" s="363" t="e">
        <f t="shared" si="7"/>
        <v>#DIV/0!</v>
      </c>
      <c r="AT66" s="363" t="e">
        <f t="shared" si="7"/>
        <v>#DIV/0!</v>
      </c>
      <c r="AU66" s="363" t="e">
        <f t="shared" si="7"/>
        <v>#DIV/0!</v>
      </c>
      <c r="AV66" s="364" t="e">
        <f>IF(OR(AV65&gt;=100%),100%,IF(OR(AV65&lt;=0%),0%,AVERAGE(AV65)))</f>
        <v>#DIV/0!</v>
      </c>
    </row>
    <row r="67" spans="33:48">
      <c r="AG67" s="294">
        <v>5</v>
      </c>
      <c r="AH67" s="717" t="s">
        <v>7</v>
      </c>
      <c r="AI67" s="718"/>
      <c r="AK67" s="451">
        <f>AK66*0.05</f>
        <v>0.05</v>
      </c>
      <c r="AL67" s="451">
        <f>AL66*0.05</f>
        <v>0.05</v>
      </c>
      <c r="AM67" s="451">
        <f t="shared" ref="AM67:AV67" si="8">AM66*0.05</f>
        <v>0.05</v>
      </c>
      <c r="AN67" s="451">
        <f t="shared" si="8"/>
        <v>0.05</v>
      </c>
      <c r="AO67" s="451">
        <f t="shared" si="8"/>
        <v>0.05</v>
      </c>
      <c r="AP67" s="451" t="e">
        <f t="shared" si="8"/>
        <v>#DIV/0!</v>
      </c>
      <c r="AQ67" s="451" t="e">
        <f t="shared" si="8"/>
        <v>#DIV/0!</v>
      </c>
      <c r="AR67" s="451" t="e">
        <f t="shared" si="8"/>
        <v>#DIV/0!</v>
      </c>
      <c r="AS67" s="451" t="e">
        <f t="shared" si="8"/>
        <v>#DIV/0!</v>
      </c>
      <c r="AT67" s="451" t="e">
        <f t="shared" si="8"/>
        <v>#DIV/0!</v>
      </c>
      <c r="AU67" s="451" t="e">
        <f t="shared" si="8"/>
        <v>#DIV/0!</v>
      </c>
      <c r="AV67" s="452" t="e">
        <f t="shared" si="8"/>
        <v>#DIV/0!</v>
      </c>
    </row>
    <row r="68" spans="33:48">
      <c r="AH68" s="367"/>
      <c r="AI68" s="368"/>
      <c r="AJ68" s="368"/>
      <c r="AK68" s="369"/>
      <c r="AL68" s="369"/>
      <c r="AM68" s="369"/>
      <c r="AN68" s="369"/>
      <c r="AO68" s="369"/>
      <c r="AP68" s="369"/>
      <c r="AQ68" s="369"/>
      <c r="AR68" s="369"/>
      <c r="AS68" s="369"/>
      <c r="AT68" s="369"/>
      <c r="AU68" s="369"/>
      <c r="AV68" s="370"/>
    </row>
    <row r="69" spans="33:48">
      <c r="AH69" s="367"/>
      <c r="AI69" s="368"/>
      <c r="AJ69" s="368"/>
      <c r="AK69" s="369"/>
      <c r="AL69" s="369"/>
      <c r="AM69" s="369"/>
      <c r="AN69" s="369"/>
      <c r="AO69" s="369"/>
      <c r="AP69" s="369"/>
      <c r="AQ69" s="369"/>
      <c r="AR69" s="369"/>
      <c r="AS69" s="369"/>
      <c r="AT69" s="369"/>
      <c r="AU69" s="369"/>
      <c r="AV69" s="370"/>
    </row>
    <row r="70" spans="33:48">
      <c r="AH70" s="341" t="s">
        <v>8</v>
      </c>
      <c r="AJ70" s="342">
        <v>45352</v>
      </c>
      <c r="AK70" s="342">
        <v>45383</v>
      </c>
      <c r="AL70" s="342">
        <v>45413</v>
      </c>
      <c r="AM70" s="342">
        <v>45444</v>
      </c>
      <c r="AN70" s="342">
        <v>45474</v>
      </c>
      <c r="AO70" s="342">
        <v>45505</v>
      </c>
      <c r="AP70" s="342">
        <v>45536</v>
      </c>
      <c r="AQ70" s="342">
        <v>45566</v>
      </c>
      <c r="AR70" s="342">
        <v>45597</v>
      </c>
      <c r="AS70" s="342">
        <v>45627</v>
      </c>
      <c r="AT70" s="342">
        <v>45658</v>
      </c>
      <c r="AU70" s="342">
        <v>45689</v>
      </c>
      <c r="AV70" s="343">
        <v>45717</v>
      </c>
    </row>
    <row r="71" spans="33:48">
      <c r="AH71" s="344">
        <f>(AV71-AJ71)/12</f>
        <v>0</v>
      </c>
      <c r="AI71" s="345"/>
      <c r="AJ71" s="345">
        <f>AV71</f>
        <v>3</v>
      </c>
      <c r="AK71" s="345">
        <v>6</v>
      </c>
      <c r="AL71" s="345">
        <f t="shared" ref="AL71:AU71" si="9">AK71+$AH$71</f>
        <v>6</v>
      </c>
      <c r="AM71" s="345">
        <f t="shared" si="9"/>
        <v>6</v>
      </c>
      <c r="AN71" s="345">
        <f t="shared" si="9"/>
        <v>6</v>
      </c>
      <c r="AO71" s="345">
        <f t="shared" si="9"/>
        <v>6</v>
      </c>
      <c r="AP71" s="345">
        <f t="shared" si="9"/>
        <v>6</v>
      </c>
      <c r="AQ71" s="345">
        <f t="shared" si="9"/>
        <v>6</v>
      </c>
      <c r="AR71" s="345">
        <f t="shared" si="9"/>
        <v>6</v>
      </c>
      <c r="AS71" s="345">
        <f t="shared" si="9"/>
        <v>6</v>
      </c>
      <c r="AT71" s="345">
        <f t="shared" si="9"/>
        <v>6</v>
      </c>
      <c r="AU71" s="345">
        <f t="shared" si="9"/>
        <v>6</v>
      </c>
      <c r="AV71" s="346">
        <v>3</v>
      </c>
    </row>
    <row r="72" spans="33:48">
      <c r="AH72" s="344">
        <f>(AV72-AJ72)/12</f>
        <v>0</v>
      </c>
      <c r="AI72" s="347" t="s">
        <v>2</v>
      </c>
      <c r="AJ72" s="345">
        <f>AV71</f>
        <v>3</v>
      </c>
      <c r="AK72" s="345">
        <v>6</v>
      </c>
      <c r="AL72" s="345">
        <f t="shared" ref="AL72:AU72" si="10">AK72+$AH$72</f>
        <v>6</v>
      </c>
      <c r="AM72" s="345">
        <f t="shared" si="10"/>
        <v>6</v>
      </c>
      <c r="AN72" s="345">
        <f t="shared" si="10"/>
        <v>6</v>
      </c>
      <c r="AO72" s="345">
        <f t="shared" si="10"/>
        <v>6</v>
      </c>
      <c r="AP72" s="345">
        <f t="shared" si="10"/>
        <v>6</v>
      </c>
      <c r="AQ72" s="345">
        <f t="shared" si="10"/>
        <v>6</v>
      </c>
      <c r="AR72" s="345">
        <f t="shared" si="10"/>
        <v>6</v>
      </c>
      <c r="AS72" s="345">
        <f t="shared" si="10"/>
        <v>6</v>
      </c>
      <c r="AT72" s="345">
        <f t="shared" si="10"/>
        <v>6</v>
      </c>
      <c r="AU72" s="345">
        <f t="shared" si="10"/>
        <v>6</v>
      </c>
      <c r="AV72" s="348">
        <f>AV71-(AV71-AV74)*0.5</f>
        <v>3</v>
      </c>
    </row>
    <row r="73" spans="33:48">
      <c r="AH73" s="344">
        <f>(AV73-AJ73)/12</f>
        <v>0</v>
      </c>
      <c r="AI73" s="349" t="s">
        <v>2</v>
      </c>
      <c r="AJ73" s="345">
        <f>AV71</f>
        <v>3</v>
      </c>
      <c r="AK73" s="345">
        <v>6</v>
      </c>
      <c r="AL73" s="345">
        <f t="shared" ref="AL73:AU73" si="11">AK73+$AH$73</f>
        <v>6</v>
      </c>
      <c r="AM73" s="345">
        <f t="shared" si="11"/>
        <v>6</v>
      </c>
      <c r="AN73" s="345">
        <f t="shared" si="11"/>
        <v>6</v>
      </c>
      <c r="AO73" s="345">
        <f t="shared" si="11"/>
        <v>6</v>
      </c>
      <c r="AP73" s="345">
        <f t="shared" si="11"/>
        <v>6</v>
      </c>
      <c r="AQ73" s="345">
        <f t="shared" si="11"/>
        <v>6</v>
      </c>
      <c r="AR73" s="345">
        <f t="shared" si="11"/>
        <v>6</v>
      </c>
      <c r="AS73" s="345">
        <f t="shared" si="11"/>
        <v>6</v>
      </c>
      <c r="AT73" s="345">
        <f t="shared" si="11"/>
        <v>6</v>
      </c>
      <c r="AU73" s="345">
        <f t="shared" si="11"/>
        <v>6</v>
      </c>
      <c r="AV73" s="350">
        <f>AV71-(AV71-AV74)*0.8</f>
        <v>3</v>
      </c>
    </row>
    <row r="74" spans="33:48">
      <c r="AH74" s="344">
        <f>(AV74-AJ74)/12</f>
        <v>0</v>
      </c>
      <c r="AI74" s="351" t="s">
        <v>2</v>
      </c>
      <c r="AJ74" s="345">
        <f>AV71</f>
        <v>3</v>
      </c>
      <c r="AK74" s="345">
        <v>6</v>
      </c>
      <c r="AL74" s="345">
        <f t="shared" ref="AL74:AU74" si="12">AK74+$AH$74</f>
        <v>6</v>
      </c>
      <c r="AM74" s="345">
        <f t="shared" si="12"/>
        <v>6</v>
      </c>
      <c r="AN74" s="345">
        <f t="shared" si="12"/>
        <v>6</v>
      </c>
      <c r="AO74" s="345">
        <f t="shared" si="12"/>
        <v>6</v>
      </c>
      <c r="AP74" s="345">
        <f t="shared" si="12"/>
        <v>6</v>
      </c>
      <c r="AQ74" s="345">
        <f t="shared" si="12"/>
        <v>6</v>
      </c>
      <c r="AR74" s="345">
        <f t="shared" si="12"/>
        <v>6</v>
      </c>
      <c r="AS74" s="345">
        <f t="shared" si="12"/>
        <v>6</v>
      </c>
      <c r="AT74" s="345">
        <f t="shared" si="12"/>
        <v>6</v>
      </c>
      <c r="AU74" s="345">
        <f t="shared" si="12"/>
        <v>6</v>
      </c>
      <c r="AV74" s="352">
        <v>3</v>
      </c>
    </row>
    <row r="75" spans="33:48">
      <c r="AH75" s="721" t="s">
        <v>3</v>
      </c>
      <c r="AI75" s="722"/>
      <c r="AJ75" s="355"/>
      <c r="AK75" s="356">
        <v>0</v>
      </c>
      <c r="AL75" s="356">
        <f t="shared" ref="AL75:AV75" si="13">AK75+AL77</f>
        <v>1</v>
      </c>
      <c r="AM75" s="356">
        <f t="shared" si="13"/>
        <v>2</v>
      </c>
      <c r="AN75" s="356">
        <f t="shared" si="13"/>
        <v>2</v>
      </c>
      <c r="AO75" s="356">
        <f t="shared" si="13"/>
        <v>2</v>
      </c>
      <c r="AP75" s="356">
        <f t="shared" si="13"/>
        <v>2</v>
      </c>
      <c r="AQ75" s="356">
        <f t="shared" si="13"/>
        <v>2</v>
      </c>
      <c r="AR75" s="356">
        <f t="shared" si="13"/>
        <v>2</v>
      </c>
      <c r="AS75" s="356">
        <f t="shared" si="13"/>
        <v>2</v>
      </c>
      <c r="AT75" s="356">
        <f t="shared" si="13"/>
        <v>2</v>
      </c>
      <c r="AU75" s="356">
        <f t="shared" si="13"/>
        <v>2</v>
      </c>
      <c r="AV75" s="357">
        <f t="shared" si="13"/>
        <v>2</v>
      </c>
    </row>
    <row r="76" spans="33:48">
      <c r="AH76" s="353"/>
      <c r="AI76" s="354"/>
      <c r="AJ76" s="355"/>
      <c r="AK76" s="355"/>
      <c r="AL76" s="356"/>
      <c r="AM76" s="356"/>
      <c r="AN76" s="355"/>
      <c r="AO76" s="355"/>
      <c r="AP76" s="356"/>
      <c r="AQ76" s="356"/>
      <c r="AR76" s="356"/>
      <c r="AS76" s="356"/>
      <c r="AT76" s="356"/>
      <c r="AU76" s="356"/>
      <c r="AV76" s="357"/>
    </row>
    <row r="77" spans="33:48">
      <c r="AH77" s="721" t="s">
        <v>4</v>
      </c>
      <c r="AI77" s="722"/>
      <c r="AJ77" s="331"/>
      <c r="AK77" s="358">
        <v>0</v>
      </c>
      <c r="AL77" s="358">
        <v>1</v>
      </c>
      <c r="AM77" s="358">
        <v>1</v>
      </c>
      <c r="AN77" s="358">
        <v>0</v>
      </c>
      <c r="AO77" s="358">
        <v>0</v>
      </c>
      <c r="AP77" s="358"/>
      <c r="AQ77" s="358"/>
      <c r="AR77" s="358"/>
      <c r="AS77" s="358"/>
      <c r="AT77" s="358"/>
      <c r="AU77" s="358"/>
      <c r="AV77" s="359"/>
    </row>
    <row r="78" spans="33:48">
      <c r="AH78" s="353"/>
      <c r="AI78" s="354"/>
      <c r="AJ78" s="331"/>
      <c r="AK78" s="331">
        <v>0</v>
      </c>
      <c r="AL78" s="331">
        <f>AL77</f>
        <v>1</v>
      </c>
      <c r="AM78" s="331">
        <f>AM77</f>
        <v>1</v>
      </c>
      <c r="AN78" s="331">
        <f>AN77</f>
        <v>0</v>
      </c>
      <c r="AO78" s="331">
        <f>AO77</f>
        <v>0</v>
      </c>
      <c r="AP78" s="331">
        <f t="shared" ref="AP78:AV78" si="14">AP77</f>
        <v>0</v>
      </c>
      <c r="AQ78" s="331">
        <f t="shared" si="14"/>
        <v>0</v>
      </c>
      <c r="AR78" s="331">
        <f t="shared" si="14"/>
        <v>0</v>
      </c>
      <c r="AS78" s="331">
        <f t="shared" si="14"/>
        <v>0</v>
      </c>
      <c r="AT78" s="331">
        <v>1</v>
      </c>
      <c r="AU78" s="331">
        <f t="shared" si="14"/>
        <v>0</v>
      </c>
      <c r="AV78" s="360">
        <f t="shared" si="14"/>
        <v>0</v>
      </c>
    </row>
    <row r="79" spans="33:48">
      <c r="AH79" s="721" t="s">
        <v>5</v>
      </c>
      <c r="AI79" s="722"/>
      <c r="AK79" s="361" t="e">
        <v>#DIV/0!</v>
      </c>
      <c r="AL79" s="361" t="e">
        <f t="shared" ref="AL79:AV79" si="15">(AL71-AL75)/(AL71-AL74)</f>
        <v>#DIV/0!</v>
      </c>
      <c r="AM79" s="361" t="e">
        <f t="shared" si="15"/>
        <v>#DIV/0!</v>
      </c>
      <c r="AN79" s="361" t="e">
        <f t="shared" si="15"/>
        <v>#DIV/0!</v>
      </c>
      <c r="AO79" s="361" t="e">
        <f t="shared" si="15"/>
        <v>#DIV/0!</v>
      </c>
      <c r="AP79" s="361" t="e">
        <f t="shared" si="15"/>
        <v>#DIV/0!</v>
      </c>
      <c r="AQ79" s="361" t="e">
        <f t="shared" si="15"/>
        <v>#DIV/0!</v>
      </c>
      <c r="AR79" s="361" t="e">
        <f t="shared" si="15"/>
        <v>#DIV/0!</v>
      </c>
      <c r="AS79" s="361" t="e">
        <f t="shared" si="15"/>
        <v>#DIV/0!</v>
      </c>
      <c r="AT79" s="361" t="e">
        <f t="shared" si="15"/>
        <v>#DIV/0!</v>
      </c>
      <c r="AU79" s="361" t="e">
        <f t="shared" si="15"/>
        <v>#DIV/0!</v>
      </c>
      <c r="AV79" s="362" t="e">
        <f t="shared" si="15"/>
        <v>#DIV/0!</v>
      </c>
    </row>
    <row r="80" spans="33:48">
      <c r="AH80" s="721" t="s">
        <v>6</v>
      </c>
      <c r="AI80" s="722"/>
      <c r="AK80" s="363">
        <v>1</v>
      </c>
      <c r="AL80" s="363">
        <v>0</v>
      </c>
      <c r="AM80" s="363">
        <v>0</v>
      </c>
      <c r="AN80" s="363">
        <v>0</v>
      </c>
      <c r="AO80" s="363">
        <v>0</v>
      </c>
      <c r="AP80" s="363" t="e">
        <f t="shared" ref="AP80:AV80" si="16">IF(OR(AP79&gt;=100%),100%,IF(OR(AP79&lt;=0%),0%,AVERAGE(AP79)))</f>
        <v>#DIV/0!</v>
      </c>
      <c r="AQ80" s="363" t="e">
        <f t="shared" si="16"/>
        <v>#DIV/0!</v>
      </c>
      <c r="AR80" s="363" t="e">
        <f t="shared" si="16"/>
        <v>#DIV/0!</v>
      </c>
      <c r="AS80" s="363" t="e">
        <f t="shared" si="16"/>
        <v>#DIV/0!</v>
      </c>
      <c r="AT80" s="363" t="e">
        <f t="shared" si="16"/>
        <v>#DIV/0!</v>
      </c>
      <c r="AU80" s="363" t="e">
        <f t="shared" si="16"/>
        <v>#DIV/0!</v>
      </c>
      <c r="AV80" s="364" t="e">
        <f t="shared" si="16"/>
        <v>#DIV/0!</v>
      </c>
    </row>
    <row r="81" spans="33:48">
      <c r="AG81" s="294">
        <v>5</v>
      </c>
      <c r="AH81" s="717" t="s">
        <v>7</v>
      </c>
      <c r="AI81" s="718"/>
      <c r="AK81" s="451">
        <f t="shared" ref="AK81:AV81" si="17">AK80*0.05</f>
        <v>0.05</v>
      </c>
      <c r="AL81" s="636">
        <f t="shared" si="17"/>
        <v>0</v>
      </c>
      <c r="AM81" s="636">
        <f>AM80*0.05</f>
        <v>0</v>
      </c>
      <c r="AN81" s="636">
        <f>AN80*0.05</f>
        <v>0</v>
      </c>
      <c r="AO81" s="636">
        <f t="shared" si="17"/>
        <v>0</v>
      </c>
      <c r="AP81" s="453" t="e">
        <f t="shared" si="17"/>
        <v>#DIV/0!</v>
      </c>
      <c r="AQ81" s="453" t="e">
        <f t="shared" si="17"/>
        <v>#DIV/0!</v>
      </c>
      <c r="AR81" s="453" t="e">
        <f t="shared" si="17"/>
        <v>#DIV/0!</v>
      </c>
      <c r="AS81" s="451" t="e">
        <f t="shared" si="17"/>
        <v>#DIV/0!</v>
      </c>
      <c r="AT81" s="451" t="e">
        <f t="shared" si="17"/>
        <v>#DIV/0!</v>
      </c>
      <c r="AU81" s="451" t="e">
        <f t="shared" si="17"/>
        <v>#DIV/0!</v>
      </c>
      <c r="AV81" s="452" t="e">
        <f t="shared" si="17"/>
        <v>#DIV/0!</v>
      </c>
    </row>
    <row r="82" spans="33:48">
      <c r="AH82" s="367"/>
      <c r="AI82" s="368"/>
      <c r="AJ82" s="368"/>
      <c r="AK82" s="369"/>
      <c r="AL82" s="369"/>
      <c r="AM82" s="369"/>
      <c r="AN82" s="369"/>
      <c r="AO82" s="369"/>
      <c r="AP82" s="369"/>
      <c r="AQ82" s="369"/>
      <c r="AR82" s="369"/>
      <c r="AS82" s="369"/>
      <c r="AT82" s="369"/>
      <c r="AU82" s="369"/>
      <c r="AV82" s="370"/>
    </row>
    <row r="83" spans="33:48">
      <c r="AH83" s="367"/>
      <c r="AI83" s="368"/>
      <c r="AJ83" s="368"/>
      <c r="AK83" s="369"/>
      <c r="AL83" s="369"/>
      <c r="AM83" s="369"/>
      <c r="AN83" s="369"/>
      <c r="AO83" s="369"/>
      <c r="AP83" s="369"/>
      <c r="AQ83" s="369"/>
      <c r="AR83" s="369"/>
      <c r="AS83" s="369"/>
      <c r="AT83" s="369"/>
      <c r="AU83" s="369"/>
      <c r="AV83" s="370"/>
    </row>
    <row r="84" spans="33:48" ht="14.25" customHeight="1">
      <c r="AH84" s="341" t="s">
        <v>97</v>
      </c>
      <c r="AJ84" s="342">
        <v>45352</v>
      </c>
      <c r="AK84" s="342">
        <v>45383</v>
      </c>
      <c r="AL84" s="342">
        <v>45413</v>
      </c>
      <c r="AM84" s="342">
        <v>45444</v>
      </c>
      <c r="AN84" s="342">
        <v>45474</v>
      </c>
      <c r="AO84" s="342">
        <v>45505</v>
      </c>
      <c r="AP84" s="342">
        <v>45536</v>
      </c>
      <c r="AQ84" s="342">
        <v>45566</v>
      </c>
      <c r="AR84" s="342">
        <v>45597</v>
      </c>
      <c r="AS84" s="342">
        <v>45627</v>
      </c>
      <c r="AT84" s="342">
        <v>45658</v>
      </c>
      <c r="AU84" s="342">
        <v>45689</v>
      </c>
      <c r="AV84" s="343">
        <v>45717</v>
      </c>
    </row>
    <row r="85" spans="33:48" ht="14.25" customHeight="1">
      <c r="AH85" s="344">
        <f>(AV85-AJ85)/12</f>
        <v>-0.5</v>
      </c>
      <c r="AI85" s="345"/>
      <c r="AJ85" s="345">
        <v>6</v>
      </c>
      <c r="AK85" s="345">
        <v>5.5</v>
      </c>
      <c r="AL85" s="345">
        <f t="shared" ref="AL85:AU85" si="18">AK85+$AH$85</f>
        <v>5</v>
      </c>
      <c r="AM85" s="345">
        <f t="shared" si="18"/>
        <v>4.5</v>
      </c>
      <c r="AN85" s="345">
        <f t="shared" si="18"/>
        <v>4</v>
      </c>
      <c r="AO85" s="345">
        <f t="shared" si="18"/>
        <v>3.5</v>
      </c>
      <c r="AP85" s="345">
        <f t="shared" si="18"/>
        <v>3</v>
      </c>
      <c r="AQ85" s="345">
        <f t="shared" si="18"/>
        <v>2.5</v>
      </c>
      <c r="AR85" s="345">
        <f t="shared" si="18"/>
        <v>2</v>
      </c>
      <c r="AS85" s="345">
        <f t="shared" si="18"/>
        <v>1.5</v>
      </c>
      <c r="AT85" s="345">
        <f t="shared" si="18"/>
        <v>1</v>
      </c>
      <c r="AU85" s="345">
        <f t="shared" si="18"/>
        <v>0.5</v>
      </c>
      <c r="AV85" s="346">
        <v>0</v>
      </c>
    </row>
    <row r="86" spans="33:48" ht="14.25" customHeight="1">
      <c r="AH86" s="344">
        <f>(AV86-AJ86)/12</f>
        <v>-0.375</v>
      </c>
      <c r="AI86" s="347" t="s">
        <v>2</v>
      </c>
      <c r="AJ86" s="345">
        <v>6</v>
      </c>
      <c r="AK86" s="345">
        <v>5.625</v>
      </c>
      <c r="AL86" s="345">
        <f t="shared" ref="AL86:AU86" si="19">AK86+$AH$86</f>
        <v>5.25</v>
      </c>
      <c r="AM86" s="345">
        <f t="shared" si="19"/>
        <v>4.875</v>
      </c>
      <c r="AN86" s="345">
        <f t="shared" si="19"/>
        <v>4.5</v>
      </c>
      <c r="AO86" s="345">
        <f t="shared" si="19"/>
        <v>4.125</v>
      </c>
      <c r="AP86" s="345">
        <f t="shared" si="19"/>
        <v>3.75</v>
      </c>
      <c r="AQ86" s="345">
        <f t="shared" si="19"/>
        <v>3.375</v>
      </c>
      <c r="AR86" s="345">
        <f t="shared" si="19"/>
        <v>3</v>
      </c>
      <c r="AS86" s="345">
        <f t="shared" si="19"/>
        <v>2.625</v>
      </c>
      <c r="AT86" s="345">
        <f t="shared" si="19"/>
        <v>2.25</v>
      </c>
      <c r="AU86" s="345">
        <f t="shared" si="19"/>
        <v>1.875</v>
      </c>
      <c r="AV86" s="348">
        <f>AV85-(AV85-AV88)*0.5</f>
        <v>1.5</v>
      </c>
    </row>
    <row r="87" spans="33:48" ht="14.25" customHeight="1">
      <c r="AH87" s="344">
        <f>(AV87-AJ87)/12</f>
        <v>-0.3</v>
      </c>
      <c r="AI87" s="349" t="s">
        <v>2</v>
      </c>
      <c r="AJ87" s="345">
        <v>6</v>
      </c>
      <c r="AK87" s="345">
        <v>5.7</v>
      </c>
      <c r="AL87" s="345">
        <f t="shared" ref="AL87:AU87" si="20">AK87+$AH$87</f>
        <v>5.4</v>
      </c>
      <c r="AM87" s="345">
        <f t="shared" si="20"/>
        <v>5.1000000000000005</v>
      </c>
      <c r="AN87" s="345">
        <f t="shared" si="20"/>
        <v>4.8000000000000007</v>
      </c>
      <c r="AO87" s="345">
        <f t="shared" si="20"/>
        <v>4.5000000000000009</v>
      </c>
      <c r="AP87" s="345">
        <f t="shared" si="20"/>
        <v>4.2000000000000011</v>
      </c>
      <c r="AQ87" s="345">
        <f t="shared" si="20"/>
        <v>3.9000000000000012</v>
      </c>
      <c r="AR87" s="345">
        <f t="shared" si="20"/>
        <v>3.6000000000000014</v>
      </c>
      <c r="AS87" s="345">
        <f t="shared" si="20"/>
        <v>3.3000000000000016</v>
      </c>
      <c r="AT87" s="345">
        <f t="shared" si="20"/>
        <v>3.0000000000000018</v>
      </c>
      <c r="AU87" s="345">
        <f t="shared" si="20"/>
        <v>2.700000000000002</v>
      </c>
      <c r="AV87" s="350">
        <f>AV85-(AV85-AV88)*0.8</f>
        <v>2.4000000000000004</v>
      </c>
    </row>
    <row r="88" spans="33:48" ht="14.25" customHeight="1">
      <c r="AH88" s="344">
        <f>(AV88-AJ88)/12</f>
        <v>-0.25</v>
      </c>
      <c r="AI88" s="351" t="s">
        <v>2</v>
      </c>
      <c r="AJ88" s="345">
        <v>6</v>
      </c>
      <c r="AK88" s="345">
        <v>5.75</v>
      </c>
      <c r="AL88" s="345">
        <f>AK88+$AH$88</f>
        <v>5.5</v>
      </c>
      <c r="AM88" s="345">
        <f t="shared" ref="AM88:AU88" si="21">AL88+$AH$88</f>
        <v>5.25</v>
      </c>
      <c r="AN88" s="345">
        <f t="shared" si="21"/>
        <v>5</v>
      </c>
      <c r="AO88" s="345">
        <f t="shared" si="21"/>
        <v>4.75</v>
      </c>
      <c r="AP88" s="345">
        <f t="shared" si="21"/>
        <v>4.5</v>
      </c>
      <c r="AQ88" s="345">
        <f t="shared" si="21"/>
        <v>4.25</v>
      </c>
      <c r="AR88" s="345">
        <f t="shared" si="21"/>
        <v>4</v>
      </c>
      <c r="AS88" s="345">
        <f t="shared" si="21"/>
        <v>3.75</v>
      </c>
      <c r="AT88" s="345">
        <f t="shared" si="21"/>
        <v>3.5</v>
      </c>
      <c r="AU88" s="345">
        <f t="shared" si="21"/>
        <v>3.25</v>
      </c>
      <c r="AV88" s="352">
        <v>3</v>
      </c>
    </row>
    <row r="89" spans="33:48" ht="14.25" customHeight="1">
      <c r="AH89" s="721" t="s">
        <v>3</v>
      </c>
      <c r="AI89" s="722"/>
      <c r="AJ89" s="355"/>
      <c r="AK89" s="356">
        <v>0</v>
      </c>
      <c r="AL89" s="356">
        <f t="shared" ref="AL89:AV89" si="22">AK89+AL91</f>
        <v>0</v>
      </c>
      <c r="AM89" s="356">
        <f>AL89+AM91</f>
        <v>0</v>
      </c>
      <c r="AN89" s="356">
        <f>AM89+AN91</f>
        <v>0</v>
      </c>
      <c r="AO89" s="356">
        <f>AN89+AO91</f>
        <v>0</v>
      </c>
      <c r="AP89" s="356">
        <f t="shared" si="22"/>
        <v>0</v>
      </c>
      <c r="AQ89" s="356">
        <f t="shared" si="22"/>
        <v>0</v>
      </c>
      <c r="AR89" s="356">
        <f t="shared" si="22"/>
        <v>0</v>
      </c>
      <c r="AS89" s="356">
        <f t="shared" si="22"/>
        <v>0</v>
      </c>
      <c r="AT89" s="356">
        <f t="shared" si="22"/>
        <v>0</v>
      </c>
      <c r="AU89" s="356">
        <f t="shared" si="22"/>
        <v>0</v>
      </c>
      <c r="AV89" s="357">
        <f t="shared" si="22"/>
        <v>0</v>
      </c>
    </row>
    <row r="90" spans="33:48" ht="14.25" customHeight="1">
      <c r="AH90" s="353"/>
      <c r="AI90" s="354"/>
      <c r="AJ90" s="355"/>
      <c r="AK90" s="355"/>
      <c r="AL90" s="356"/>
      <c r="AM90" s="356"/>
      <c r="AN90" s="355"/>
      <c r="AO90" s="355"/>
      <c r="AP90" s="356"/>
      <c r="AQ90" s="356"/>
      <c r="AR90" s="356"/>
      <c r="AS90" s="356"/>
      <c r="AT90" s="356"/>
      <c r="AU90" s="356"/>
      <c r="AV90" s="357"/>
    </row>
    <row r="91" spans="33:48" ht="14.25" customHeight="1">
      <c r="AH91" s="721" t="s">
        <v>4</v>
      </c>
      <c r="AI91" s="722"/>
      <c r="AJ91" s="331"/>
      <c r="AK91" s="358">
        <v>0</v>
      </c>
      <c r="AL91" s="358">
        <v>0</v>
      </c>
      <c r="AM91" s="358">
        <v>0</v>
      </c>
      <c r="AN91" s="358">
        <v>0</v>
      </c>
      <c r="AO91" s="358">
        <v>0</v>
      </c>
      <c r="AP91" s="358"/>
      <c r="AQ91" s="358"/>
      <c r="AR91" s="358"/>
      <c r="AS91" s="358"/>
      <c r="AT91" s="358"/>
      <c r="AU91" s="358"/>
      <c r="AV91" s="359"/>
    </row>
    <row r="92" spans="33:48" ht="14.25" customHeight="1">
      <c r="AH92" s="353"/>
      <c r="AI92" s="354"/>
      <c r="AJ92" s="331"/>
      <c r="AK92" s="331">
        <v>0</v>
      </c>
      <c r="AL92" s="331">
        <f>AL91</f>
        <v>0</v>
      </c>
      <c r="AM92" s="331">
        <f>AM91</f>
        <v>0</v>
      </c>
      <c r="AN92" s="331">
        <f>AN91</f>
        <v>0</v>
      </c>
      <c r="AO92" s="331">
        <f>AO91</f>
        <v>0</v>
      </c>
      <c r="AP92" s="331">
        <f t="shared" ref="AP92:AV92" si="23">AP91</f>
        <v>0</v>
      </c>
      <c r="AQ92" s="331">
        <f t="shared" si="23"/>
        <v>0</v>
      </c>
      <c r="AR92" s="331">
        <f t="shared" si="23"/>
        <v>0</v>
      </c>
      <c r="AS92" s="331">
        <f t="shared" si="23"/>
        <v>0</v>
      </c>
      <c r="AT92" s="331">
        <f t="shared" si="23"/>
        <v>0</v>
      </c>
      <c r="AU92" s="331">
        <f t="shared" si="23"/>
        <v>0</v>
      </c>
      <c r="AV92" s="360">
        <f t="shared" si="23"/>
        <v>0</v>
      </c>
    </row>
    <row r="93" spans="33:48" ht="14.25" customHeight="1">
      <c r="AH93" s="721" t="s">
        <v>5</v>
      </c>
      <c r="AI93" s="722"/>
      <c r="AK93" s="361">
        <v>-22</v>
      </c>
      <c r="AL93" s="361">
        <f t="shared" ref="AL93:AV93" si="24">(AL85-AL89)/(AL85-AL88)</f>
        <v>-10</v>
      </c>
      <c r="AM93" s="361">
        <f t="shared" si="24"/>
        <v>-6</v>
      </c>
      <c r="AN93" s="361">
        <f t="shared" si="24"/>
        <v>-4</v>
      </c>
      <c r="AO93" s="361">
        <f t="shared" si="24"/>
        <v>-2.8</v>
      </c>
      <c r="AP93" s="361">
        <f t="shared" si="24"/>
        <v>-2</v>
      </c>
      <c r="AQ93" s="361">
        <f t="shared" si="24"/>
        <v>-1.4285714285714286</v>
      </c>
      <c r="AR93" s="361">
        <f t="shared" si="24"/>
        <v>-1</v>
      </c>
      <c r="AS93" s="361">
        <f t="shared" si="24"/>
        <v>-0.66666666666666663</v>
      </c>
      <c r="AT93" s="361">
        <f t="shared" si="24"/>
        <v>-0.4</v>
      </c>
      <c r="AU93" s="361">
        <f t="shared" si="24"/>
        <v>-0.18181818181818182</v>
      </c>
      <c r="AV93" s="362">
        <f t="shared" si="24"/>
        <v>0</v>
      </c>
    </row>
    <row r="94" spans="33:48" ht="14.25" customHeight="1">
      <c r="AH94" s="721" t="s">
        <v>6</v>
      </c>
      <c r="AI94" s="722"/>
      <c r="AK94" s="363">
        <v>1</v>
      </c>
      <c r="AL94" s="363">
        <v>1</v>
      </c>
      <c r="AM94" s="454">
        <v>1</v>
      </c>
      <c r="AN94" s="363">
        <v>1</v>
      </c>
      <c r="AO94" s="363">
        <v>1</v>
      </c>
      <c r="AP94" s="363">
        <f t="shared" ref="AP94:AV94" si="25">IF(OR(AP93&gt;=100%),100%,IF(OR(AP93&lt;=0%),0%,AVERAGE(AP93)))</f>
        <v>0</v>
      </c>
      <c r="AQ94" s="363">
        <f t="shared" si="25"/>
        <v>0</v>
      </c>
      <c r="AR94" s="363">
        <f t="shared" si="25"/>
        <v>0</v>
      </c>
      <c r="AS94" s="363">
        <f t="shared" si="25"/>
        <v>0</v>
      </c>
      <c r="AT94" s="363">
        <f t="shared" si="25"/>
        <v>0</v>
      </c>
      <c r="AU94" s="363">
        <f t="shared" si="25"/>
        <v>0</v>
      </c>
      <c r="AV94" s="364">
        <f t="shared" si="25"/>
        <v>0</v>
      </c>
    </row>
    <row r="95" spans="33:48" ht="14.25" customHeight="1">
      <c r="AG95" s="294">
        <v>5</v>
      </c>
      <c r="AH95" s="717" t="s">
        <v>7</v>
      </c>
      <c r="AI95" s="718"/>
      <c r="AK95" s="451">
        <f t="shared" ref="AK95:AV95" si="26">AK94*0.05</f>
        <v>0.05</v>
      </c>
      <c r="AL95" s="451">
        <f t="shared" si="26"/>
        <v>0.05</v>
      </c>
      <c r="AM95" s="451">
        <f t="shared" si="26"/>
        <v>0.05</v>
      </c>
      <c r="AN95" s="451">
        <f t="shared" si="26"/>
        <v>0.05</v>
      </c>
      <c r="AO95" s="451">
        <f t="shared" si="26"/>
        <v>0.05</v>
      </c>
      <c r="AP95" s="451">
        <f t="shared" si="26"/>
        <v>0</v>
      </c>
      <c r="AQ95" s="451">
        <f t="shared" si="26"/>
        <v>0</v>
      </c>
      <c r="AR95" s="451">
        <f t="shared" si="26"/>
        <v>0</v>
      </c>
      <c r="AS95" s="451">
        <f t="shared" si="26"/>
        <v>0</v>
      </c>
      <c r="AT95" s="451">
        <f t="shared" si="26"/>
        <v>0</v>
      </c>
      <c r="AU95" s="451">
        <f t="shared" si="26"/>
        <v>0</v>
      </c>
      <c r="AV95" s="452">
        <f t="shared" si="26"/>
        <v>0</v>
      </c>
    </row>
    <row r="96" spans="33:48">
      <c r="AH96" s="367"/>
      <c r="AI96" s="368"/>
      <c r="AJ96" s="368"/>
      <c r="AK96" s="369"/>
      <c r="AL96" s="369"/>
      <c r="AM96" s="369"/>
      <c r="AN96" s="369"/>
      <c r="AO96" s="369"/>
      <c r="AP96" s="369"/>
      <c r="AQ96" s="369"/>
      <c r="AR96" s="369"/>
      <c r="AS96" s="369"/>
      <c r="AT96" s="369"/>
      <c r="AU96" s="369"/>
      <c r="AV96" s="370"/>
    </row>
    <row r="97" spans="33:50">
      <c r="AH97" s="367"/>
      <c r="AI97" s="368"/>
      <c r="AJ97" s="368"/>
      <c r="AK97" s="369"/>
      <c r="AL97" s="369"/>
      <c r="AM97" s="369"/>
      <c r="AN97" s="369"/>
      <c r="AO97" s="369"/>
      <c r="AP97" s="369"/>
      <c r="AQ97" s="369"/>
      <c r="AR97" s="369"/>
      <c r="AS97" s="369"/>
      <c r="AT97" s="369"/>
      <c r="AU97" s="369"/>
      <c r="AV97" s="370"/>
    </row>
    <row r="98" spans="33:50">
      <c r="AH98" s="341" t="s">
        <v>142</v>
      </c>
      <c r="AJ98" s="342">
        <v>45352</v>
      </c>
      <c r="AK98" s="342">
        <v>45383</v>
      </c>
      <c r="AL98" s="342">
        <v>45413</v>
      </c>
      <c r="AM98" s="342">
        <v>45444</v>
      </c>
      <c r="AN98" s="342">
        <v>45474</v>
      </c>
      <c r="AO98" s="342">
        <v>45505</v>
      </c>
      <c r="AP98" s="342">
        <v>45536</v>
      </c>
      <c r="AQ98" s="342">
        <v>45566</v>
      </c>
      <c r="AR98" s="342">
        <v>45597</v>
      </c>
      <c r="AS98" s="342">
        <v>45627</v>
      </c>
      <c r="AT98" s="342">
        <v>45658</v>
      </c>
      <c r="AU98" s="342">
        <v>45689</v>
      </c>
      <c r="AV98" s="343">
        <v>45717</v>
      </c>
    </row>
    <row r="99" spans="33:50">
      <c r="AH99" s="372">
        <f>(AV99-AJ99)/12</f>
        <v>-30.083333333333332</v>
      </c>
      <c r="AI99" s="373" t="s">
        <v>2</v>
      </c>
      <c r="AJ99" s="374">
        <f>$AV$102</f>
        <v>2405</v>
      </c>
      <c r="AK99" s="374">
        <v>2374.9166666666665</v>
      </c>
      <c r="AL99" s="374">
        <f t="shared" ref="AL99:AU99" si="27">++AK99+$AH$99</f>
        <v>2344.833333333333</v>
      </c>
      <c r="AM99" s="374">
        <f t="shared" si="27"/>
        <v>2314.7499999999995</v>
      </c>
      <c r="AN99" s="374">
        <f t="shared" si="27"/>
        <v>2284.6666666666661</v>
      </c>
      <c r="AO99" s="374">
        <f t="shared" si="27"/>
        <v>2254.5833333333326</v>
      </c>
      <c r="AP99" s="374">
        <f t="shared" si="27"/>
        <v>2224.4999999999991</v>
      </c>
      <c r="AQ99" s="374">
        <f t="shared" si="27"/>
        <v>2194.4166666666656</v>
      </c>
      <c r="AR99" s="374">
        <f t="shared" si="27"/>
        <v>2164.3333333333321</v>
      </c>
      <c r="AS99" s="374">
        <f t="shared" si="27"/>
        <v>2134.2499999999986</v>
      </c>
      <c r="AT99" s="374">
        <f t="shared" si="27"/>
        <v>2104.1666666666652</v>
      </c>
      <c r="AU99" s="374">
        <f t="shared" si="27"/>
        <v>2074.0833333333317</v>
      </c>
      <c r="AV99" s="375">
        <v>2044</v>
      </c>
    </row>
    <row r="100" spans="33:50">
      <c r="AH100" s="372">
        <f>(AV100-AJ100)/12</f>
        <v>-24.066666666666681</v>
      </c>
      <c r="AI100" s="376" t="s">
        <v>2</v>
      </c>
      <c r="AJ100" s="374">
        <f>$AV$102</f>
        <v>2405</v>
      </c>
      <c r="AK100" s="374">
        <v>2380.9333333333334</v>
      </c>
      <c r="AL100" s="374">
        <f t="shared" ref="AL100:AU100" si="28">++AK100+$AH$100</f>
        <v>2356.8666666666668</v>
      </c>
      <c r="AM100" s="374">
        <f t="shared" si="28"/>
        <v>2332.8000000000002</v>
      </c>
      <c r="AN100" s="374">
        <f t="shared" si="28"/>
        <v>2308.7333333333336</v>
      </c>
      <c r="AO100" s="374">
        <f t="shared" si="28"/>
        <v>2284.666666666667</v>
      </c>
      <c r="AP100" s="374">
        <f t="shared" si="28"/>
        <v>2260.6000000000004</v>
      </c>
      <c r="AQ100" s="374">
        <f t="shared" si="28"/>
        <v>2236.5333333333338</v>
      </c>
      <c r="AR100" s="374">
        <f t="shared" si="28"/>
        <v>2212.4666666666672</v>
      </c>
      <c r="AS100" s="374">
        <f t="shared" si="28"/>
        <v>2188.4000000000005</v>
      </c>
      <c r="AT100" s="374">
        <f t="shared" si="28"/>
        <v>2164.3333333333339</v>
      </c>
      <c r="AU100" s="374">
        <f t="shared" si="28"/>
        <v>2140.2666666666673</v>
      </c>
      <c r="AV100" s="377">
        <f>AV99-(AV99-AV102)*0.2</f>
        <v>2116.1999999999998</v>
      </c>
    </row>
    <row r="101" spans="33:50">
      <c r="AH101" s="372">
        <f>(AV101-AJ101)/12</f>
        <v>-15.041666666666666</v>
      </c>
      <c r="AI101" s="378" t="s">
        <v>2</v>
      </c>
      <c r="AJ101" s="374">
        <f>$AV$102</f>
        <v>2405</v>
      </c>
      <c r="AK101" s="374">
        <v>2389.9583333333335</v>
      </c>
      <c r="AL101" s="374">
        <f t="shared" ref="AL101:AU101" si="29">++AK101+$AH$101</f>
        <v>2374.916666666667</v>
      </c>
      <c r="AM101" s="374">
        <f t="shared" si="29"/>
        <v>2359.8750000000005</v>
      </c>
      <c r="AN101" s="374">
        <f t="shared" si="29"/>
        <v>2344.8333333333339</v>
      </c>
      <c r="AO101" s="374">
        <f t="shared" si="29"/>
        <v>2329.7916666666674</v>
      </c>
      <c r="AP101" s="374">
        <f t="shared" si="29"/>
        <v>2314.7500000000009</v>
      </c>
      <c r="AQ101" s="374">
        <f t="shared" si="29"/>
        <v>2299.7083333333344</v>
      </c>
      <c r="AR101" s="374">
        <f t="shared" si="29"/>
        <v>2284.6666666666679</v>
      </c>
      <c r="AS101" s="374">
        <f t="shared" si="29"/>
        <v>2269.6250000000014</v>
      </c>
      <c r="AT101" s="374">
        <f t="shared" si="29"/>
        <v>2254.5833333333348</v>
      </c>
      <c r="AU101" s="374">
        <f t="shared" si="29"/>
        <v>2239.5416666666683</v>
      </c>
      <c r="AV101" s="379">
        <f>AV99-(AV99-AV102)*0.5</f>
        <v>2224.5</v>
      </c>
    </row>
    <row r="102" spans="33:50">
      <c r="AH102" s="372">
        <f>(AV102-AJ102)/12</f>
        <v>0</v>
      </c>
      <c r="AI102" s="355"/>
      <c r="AJ102" s="374">
        <f>$AV$102</f>
        <v>2405</v>
      </c>
      <c r="AK102" s="374">
        <v>2405</v>
      </c>
      <c r="AL102" s="374">
        <f t="shared" ref="AL102:AU102" si="30">++AK102+$AH$102</f>
        <v>2405</v>
      </c>
      <c r="AM102" s="374">
        <f t="shared" si="30"/>
        <v>2405</v>
      </c>
      <c r="AN102" s="374">
        <f t="shared" si="30"/>
        <v>2405</v>
      </c>
      <c r="AO102" s="374">
        <f t="shared" si="30"/>
        <v>2405</v>
      </c>
      <c r="AP102" s="374">
        <f t="shared" si="30"/>
        <v>2405</v>
      </c>
      <c r="AQ102" s="374">
        <f t="shared" si="30"/>
        <v>2405</v>
      </c>
      <c r="AR102" s="374">
        <f t="shared" si="30"/>
        <v>2405</v>
      </c>
      <c r="AS102" s="374">
        <f t="shared" si="30"/>
        <v>2405</v>
      </c>
      <c r="AT102" s="374">
        <f t="shared" si="30"/>
        <v>2405</v>
      </c>
      <c r="AU102" s="374">
        <f t="shared" si="30"/>
        <v>2405</v>
      </c>
      <c r="AV102" s="380">
        <v>2405</v>
      </c>
    </row>
    <row r="103" spans="33:50">
      <c r="AH103" s="381" t="s">
        <v>10</v>
      </c>
      <c r="AI103" s="354"/>
      <c r="AJ103" s="382"/>
      <c r="AK103" s="383">
        <v>2328.4561956811872</v>
      </c>
      <c r="AL103" s="383">
        <f t="shared" ref="AL103:AV103" si="31">AL107/AL106*1000000</f>
        <v>1574.1389128293524</v>
      </c>
      <c r="AM103" s="383">
        <f t="shared" si="31"/>
        <v>1947.3883991084426</v>
      </c>
      <c r="AN103" s="383">
        <f t="shared" si="31"/>
        <v>2244.0346644749152</v>
      </c>
      <c r="AO103" s="383">
        <f t="shared" si="31"/>
        <v>2425.0143265615952</v>
      </c>
      <c r="AP103" s="383" t="e">
        <f t="shared" si="31"/>
        <v>#DIV/0!</v>
      </c>
      <c r="AQ103" s="383" t="e">
        <f t="shared" si="31"/>
        <v>#DIV/0!</v>
      </c>
      <c r="AR103" s="383" t="e">
        <f t="shared" si="31"/>
        <v>#DIV/0!</v>
      </c>
      <c r="AS103" s="383" t="e">
        <f t="shared" si="31"/>
        <v>#DIV/0!</v>
      </c>
      <c r="AT103" s="383" t="e">
        <f t="shared" si="31"/>
        <v>#DIV/0!</v>
      </c>
      <c r="AU103" s="383" t="e">
        <f t="shared" si="31"/>
        <v>#DIV/0!</v>
      </c>
      <c r="AV103" s="384" t="e">
        <f t="shared" si="31"/>
        <v>#DIV/0!</v>
      </c>
    </row>
    <row r="104" spans="33:50">
      <c r="AH104" s="381" t="s">
        <v>11</v>
      </c>
      <c r="AI104" s="354"/>
      <c r="AJ104" s="382"/>
      <c r="AK104" s="361">
        <v>0.99767154380431877</v>
      </c>
      <c r="AL104" s="361">
        <f t="shared" ref="AL104:AV104" si="32">AL105/AL106</f>
        <v>0.99842586108717069</v>
      </c>
      <c r="AM104" s="361">
        <f t="shared" si="32"/>
        <v>0.99805261160089154</v>
      </c>
      <c r="AN104" s="361">
        <f t="shared" si="32"/>
        <v>0.99775596533552513</v>
      </c>
      <c r="AO104" s="361">
        <f t="shared" si="32"/>
        <v>0.99757498567343839</v>
      </c>
      <c r="AP104" s="361" t="e">
        <f t="shared" si="32"/>
        <v>#DIV/0!</v>
      </c>
      <c r="AQ104" s="361" t="e">
        <f t="shared" si="32"/>
        <v>#DIV/0!</v>
      </c>
      <c r="AR104" s="361" t="e">
        <f t="shared" si="32"/>
        <v>#DIV/0!</v>
      </c>
      <c r="AS104" s="361" t="e">
        <f t="shared" si="32"/>
        <v>#DIV/0!</v>
      </c>
      <c r="AT104" s="361" t="e">
        <f t="shared" si="32"/>
        <v>#DIV/0!</v>
      </c>
      <c r="AU104" s="361" t="e">
        <f t="shared" si="32"/>
        <v>#DIV/0!</v>
      </c>
      <c r="AV104" s="362" t="e">
        <f t="shared" si="32"/>
        <v>#DIV/0!</v>
      </c>
    </row>
    <row r="105" spans="33:50">
      <c r="AH105" s="160"/>
      <c r="AI105" s="161" t="s">
        <v>12</v>
      </c>
      <c r="AJ105" s="385"/>
      <c r="AK105" s="386">
        <v>4216136</v>
      </c>
      <c r="AL105" s="455">
        <v>4151918</v>
      </c>
      <c r="AM105" s="456">
        <v>3449693</v>
      </c>
      <c r="AN105" s="457">
        <v>3524105</v>
      </c>
      <c r="AO105" s="458">
        <v>2659910</v>
      </c>
      <c r="AP105" s="459"/>
      <c r="AQ105" s="455"/>
      <c r="AR105" s="337"/>
      <c r="AS105" s="457"/>
      <c r="AT105" s="457"/>
      <c r="AU105" s="457"/>
      <c r="AV105" s="460"/>
      <c r="AX105" s="426">
        <f>SUM(AK105:AM105)</f>
        <v>11817747</v>
      </c>
    </row>
    <row r="106" spans="33:50">
      <c r="AH106" s="160"/>
      <c r="AI106" s="161" t="s">
        <v>13</v>
      </c>
      <c r="AJ106" s="369"/>
      <c r="AK106" s="386">
        <v>4225976</v>
      </c>
      <c r="AL106" s="461">
        <v>4158464</v>
      </c>
      <c r="AM106" s="456">
        <v>3456424</v>
      </c>
      <c r="AN106" s="457">
        <v>3532031</v>
      </c>
      <c r="AO106" s="458">
        <v>2666376</v>
      </c>
      <c r="AP106" s="462"/>
      <c r="AQ106" s="455"/>
      <c r="AR106" s="337"/>
      <c r="AS106" s="457"/>
      <c r="AT106" s="457"/>
      <c r="AU106" s="457"/>
      <c r="AV106" s="460"/>
      <c r="AX106" s="426">
        <f>SUM(AK106:AM106)</f>
        <v>11840864</v>
      </c>
    </row>
    <row r="107" spans="33:50">
      <c r="AH107" s="160"/>
      <c r="AI107" s="161" t="s">
        <v>14</v>
      </c>
      <c r="AJ107" s="369"/>
      <c r="AK107" s="386">
        <v>9840</v>
      </c>
      <c r="AL107" s="386">
        <v>6546</v>
      </c>
      <c r="AM107" s="386">
        <v>6731</v>
      </c>
      <c r="AN107" s="386">
        <v>7926</v>
      </c>
      <c r="AO107" s="386">
        <v>6466</v>
      </c>
      <c r="AP107" s="386"/>
      <c r="AQ107" s="386"/>
      <c r="AR107" s="337"/>
      <c r="AS107" s="457"/>
      <c r="AT107" s="457"/>
      <c r="AU107" s="457"/>
      <c r="AV107" s="460"/>
      <c r="AX107" s="426">
        <f>SUM(AK107:AM107)</f>
        <v>23117</v>
      </c>
    </row>
    <row r="108" spans="33:50">
      <c r="AH108" s="353" t="s">
        <v>5</v>
      </c>
      <c r="AI108" s="354"/>
      <c r="AK108" s="398">
        <v>2.5443923873289451</v>
      </c>
      <c r="AL108" s="398">
        <f t="shared" ref="AL108:AV108" si="33">(AL103-AL102)/(AL99-AL102)</f>
        <v>13.809325548542549</v>
      </c>
      <c r="AM108" s="398">
        <f t="shared" si="33"/>
        <v>5.070488652538006</v>
      </c>
      <c r="AN108" s="398">
        <f t="shared" si="33"/>
        <v>1.3376620680754903</v>
      </c>
      <c r="AO108" s="398">
        <f t="shared" si="33"/>
        <v>-0.13305923475852716</v>
      </c>
      <c r="AP108" s="398" t="e">
        <f t="shared" si="33"/>
        <v>#DIV/0!</v>
      </c>
      <c r="AQ108" s="398" t="e">
        <f t="shared" si="33"/>
        <v>#DIV/0!</v>
      </c>
      <c r="AR108" s="398" t="e">
        <f t="shared" si="33"/>
        <v>#DIV/0!</v>
      </c>
      <c r="AS108" s="398" t="e">
        <f t="shared" si="33"/>
        <v>#DIV/0!</v>
      </c>
      <c r="AT108" s="398" t="e">
        <f t="shared" si="33"/>
        <v>#DIV/0!</v>
      </c>
      <c r="AU108" s="398" t="e">
        <f t="shared" si="33"/>
        <v>#DIV/0!</v>
      </c>
      <c r="AV108" s="402" t="e">
        <f t="shared" si="33"/>
        <v>#DIV/0!</v>
      </c>
      <c r="AX108" s="463">
        <f>AX107/AX106*1000000</f>
        <v>1952.3068586886902</v>
      </c>
    </row>
    <row r="109" spans="33:50">
      <c r="AH109" s="390" t="s">
        <v>6</v>
      </c>
      <c r="AI109" s="354"/>
      <c r="AK109" s="363">
        <v>1</v>
      </c>
      <c r="AL109" s="363">
        <f t="shared" ref="AL109:AV109" si="34">IF(OR(AL108&gt;=100%),100%,IF(OR(AL108&lt;=0%),0%,AVERAGE(AL108)))</f>
        <v>1</v>
      </c>
      <c r="AM109" s="363">
        <f t="shared" si="34"/>
        <v>1</v>
      </c>
      <c r="AN109" s="363">
        <f t="shared" si="34"/>
        <v>1</v>
      </c>
      <c r="AO109" s="363">
        <f t="shared" si="34"/>
        <v>0</v>
      </c>
      <c r="AP109" s="363" t="e">
        <f t="shared" si="34"/>
        <v>#DIV/0!</v>
      </c>
      <c r="AQ109" s="363" t="e">
        <f t="shared" si="34"/>
        <v>#DIV/0!</v>
      </c>
      <c r="AR109" s="363" t="e">
        <f t="shared" si="34"/>
        <v>#DIV/0!</v>
      </c>
      <c r="AS109" s="363" t="e">
        <f t="shared" si="34"/>
        <v>#DIV/0!</v>
      </c>
      <c r="AT109" s="363" t="e">
        <f t="shared" si="34"/>
        <v>#DIV/0!</v>
      </c>
      <c r="AU109" s="363" t="e">
        <f t="shared" si="34"/>
        <v>#DIV/0!</v>
      </c>
      <c r="AV109" s="364" t="e">
        <f t="shared" si="34"/>
        <v>#DIV/0!</v>
      </c>
    </row>
    <row r="110" spans="33:50">
      <c r="AG110" s="294">
        <v>10</v>
      </c>
      <c r="AH110" s="717" t="s">
        <v>7</v>
      </c>
      <c r="AI110" s="718"/>
      <c r="AK110" s="451">
        <v>0.1</v>
      </c>
      <c r="AL110" s="451">
        <f t="shared" ref="AL110:AU110" si="35">AL109*0.1</f>
        <v>0.1</v>
      </c>
      <c r="AM110" s="451">
        <f t="shared" si="35"/>
        <v>0.1</v>
      </c>
      <c r="AN110" s="451">
        <f t="shared" si="35"/>
        <v>0.1</v>
      </c>
      <c r="AO110" s="636">
        <f t="shared" si="35"/>
        <v>0</v>
      </c>
      <c r="AP110" s="451" t="e">
        <f t="shared" si="35"/>
        <v>#DIV/0!</v>
      </c>
      <c r="AQ110" s="451" t="e">
        <f t="shared" si="35"/>
        <v>#DIV/0!</v>
      </c>
      <c r="AR110" s="451" t="e">
        <f t="shared" si="35"/>
        <v>#DIV/0!</v>
      </c>
      <c r="AS110" s="451" t="e">
        <f t="shared" si="35"/>
        <v>#DIV/0!</v>
      </c>
      <c r="AT110" s="451" t="e">
        <f t="shared" si="35"/>
        <v>#DIV/0!</v>
      </c>
      <c r="AU110" s="451" t="e">
        <f t="shared" si="35"/>
        <v>#DIV/0!</v>
      </c>
      <c r="AV110" s="452" t="e">
        <f t="shared" ref="AV110" si="36">AV109*0.1</f>
        <v>#DIV/0!</v>
      </c>
    </row>
    <row r="111" spans="33:50">
      <c r="AH111" s="367"/>
      <c r="AI111" s="368"/>
      <c r="AJ111" s="368"/>
      <c r="AK111" s="368"/>
      <c r="AL111" s="368"/>
      <c r="AM111" s="368"/>
      <c r="AN111" s="368"/>
      <c r="AO111" s="368"/>
      <c r="AP111" s="368"/>
      <c r="AQ111" s="368"/>
      <c r="AR111" s="368"/>
      <c r="AS111" s="368"/>
      <c r="AT111" s="368"/>
      <c r="AU111" s="368"/>
      <c r="AV111" s="391"/>
    </row>
    <row r="112" spans="33:50">
      <c r="AH112" s="367"/>
      <c r="AI112" s="368"/>
      <c r="AJ112" s="368"/>
      <c r="AK112" s="368"/>
      <c r="AL112" s="368"/>
      <c r="AM112" s="368"/>
      <c r="AN112" s="368"/>
      <c r="AO112" s="368"/>
      <c r="AP112" s="368"/>
      <c r="AQ112" s="368"/>
      <c r="AR112" s="368"/>
      <c r="AS112" s="368"/>
      <c r="AT112" s="368"/>
      <c r="AU112" s="368"/>
      <c r="AV112" s="391"/>
    </row>
    <row r="113" spans="33:50">
      <c r="AH113" s="341" t="s">
        <v>129</v>
      </c>
      <c r="AJ113" s="342">
        <v>45352</v>
      </c>
      <c r="AK113" s="342">
        <v>45383</v>
      </c>
      <c r="AL113" s="342">
        <v>45413</v>
      </c>
      <c r="AM113" s="342">
        <v>45444</v>
      </c>
      <c r="AN113" s="342">
        <v>45474</v>
      </c>
      <c r="AO113" s="342">
        <v>45505</v>
      </c>
      <c r="AP113" s="342">
        <v>45536</v>
      </c>
      <c r="AQ113" s="342">
        <v>45566</v>
      </c>
      <c r="AR113" s="342">
        <v>45597</v>
      </c>
      <c r="AS113" s="342">
        <v>45627</v>
      </c>
      <c r="AT113" s="342">
        <v>45658</v>
      </c>
      <c r="AU113" s="342">
        <v>45689</v>
      </c>
      <c r="AV113" s="343">
        <v>45717</v>
      </c>
    </row>
    <row r="114" spans="33:50">
      <c r="AH114" s="344">
        <f>(AV114-AJ114)/12</f>
        <v>4.1666666666662078E-5</v>
      </c>
      <c r="AI114" s="373" t="s">
        <v>2</v>
      </c>
      <c r="AJ114" s="392">
        <f>$AV$117</f>
        <v>0.99760000000000004</v>
      </c>
      <c r="AK114" s="392">
        <v>0.99764166666666676</v>
      </c>
      <c r="AL114" s="392">
        <f t="shared" ref="AL114:AU114" si="37">AK114+$AH$114</f>
        <v>0.99768333333333348</v>
      </c>
      <c r="AM114" s="392">
        <f t="shared" si="37"/>
        <v>0.9977250000000002</v>
      </c>
      <c r="AN114" s="392">
        <f t="shared" si="37"/>
        <v>0.99776666666666691</v>
      </c>
      <c r="AO114" s="392">
        <f t="shared" si="37"/>
        <v>0.99780833333333363</v>
      </c>
      <c r="AP114" s="392">
        <f t="shared" si="37"/>
        <v>0.99785000000000035</v>
      </c>
      <c r="AQ114" s="392">
        <f t="shared" si="37"/>
        <v>0.99789166666666707</v>
      </c>
      <c r="AR114" s="392">
        <f t="shared" si="37"/>
        <v>0.99793333333333378</v>
      </c>
      <c r="AS114" s="392">
        <f t="shared" si="37"/>
        <v>0.9979750000000005</v>
      </c>
      <c r="AT114" s="392">
        <f t="shared" si="37"/>
        <v>0.99801666666666722</v>
      </c>
      <c r="AU114" s="392">
        <f t="shared" si="37"/>
        <v>0.99805833333333394</v>
      </c>
      <c r="AV114" s="393">
        <v>0.99809999999999999</v>
      </c>
    </row>
    <row r="115" spans="33:50">
      <c r="AH115" s="344">
        <f>(AV115-AJ115)/12</f>
        <v>3.3333333333329662E-5</v>
      </c>
      <c r="AI115" s="376" t="s">
        <v>2</v>
      </c>
      <c r="AJ115" s="392">
        <f>$AV$117</f>
        <v>0.99760000000000004</v>
      </c>
      <c r="AK115" s="394">
        <v>0.99763333333333337</v>
      </c>
      <c r="AL115" s="394">
        <f t="shared" ref="AL115:AU115" si="38">AK115+$AH$115</f>
        <v>0.9976666666666667</v>
      </c>
      <c r="AM115" s="394">
        <f t="shared" si="38"/>
        <v>0.99770000000000003</v>
      </c>
      <c r="AN115" s="394">
        <f t="shared" si="38"/>
        <v>0.99773333333333336</v>
      </c>
      <c r="AO115" s="394">
        <f t="shared" si="38"/>
        <v>0.99776666666666669</v>
      </c>
      <c r="AP115" s="394">
        <f t="shared" si="38"/>
        <v>0.99780000000000002</v>
      </c>
      <c r="AQ115" s="394">
        <f t="shared" si="38"/>
        <v>0.99783333333333335</v>
      </c>
      <c r="AR115" s="394">
        <f t="shared" si="38"/>
        <v>0.99786666666666668</v>
      </c>
      <c r="AS115" s="394">
        <f t="shared" si="38"/>
        <v>0.99790000000000001</v>
      </c>
      <c r="AT115" s="394">
        <f t="shared" si="38"/>
        <v>0.99793333333333334</v>
      </c>
      <c r="AU115" s="394">
        <f t="shared" si="38"/>
        <v>0.99796666666666667</v>
      </c>
      <c r="AV115" s="395">
        <f>AV114-(AV114-AV117)*0.2</f>
        <v>0.998</v>
      </c>
    </row>
    <row r="116" spans="33:50">
      <c r="AH116" s="344">
        <f>(AV116-AJ116)/12</f>
        <v>2.0833333333331039E-5</v>
      </c>
      <c r="AI116" s="378" t="s">
        <v>2</v>
      </c>
      <c r="AJ116" s="392">
        <f>$AV$117</f>
        <v>0.99760000000000004</v>
      </c>
      <c r="AK116" s="394">
        <v>0.9976208333333334</v>
      </c>
      <c r="AL116" s="394">
        <f t="shared" ref="AL116:AU116" si="39">++AK116+$AH$116</f>
        <v>0.99764166666666676</v>
      </c>
      <c r="AM116" s="394">
        <f t="shared" si="39"/>
        <v>0.99766250000000012</v>
      </c>
      <c r="AN116" s="394">
        <f t="shared" si="39"/>
        <v>0.99768333333333348</v>
      </c>
      <c r="AO116" s="394">
        <f t="shared" si="39"/>
        <v>0.99770416666666684</v>
      </c>
      <c r="AP116" s="394">
        <f t="shared" si="39"/>
        <v>0.9977250000000002</v>
      </c>
      <c r="AQ116" s="394">
        <f t="shared" si="39"/>
        <v>0.99774583333333355</v>
      </c>
      <c r="AR116" s="394">
        <f t="shared" si="39"/>
        <v>0.99776666666666691</v>
      </c>
      <c r="AS116" s="394">
        <f t="shared" si="39"/>
        <v>0.99778750000000027</v>
      </c>
      <c r="AT116" s="394">
        <f t="shared" si="39"/>
        <v>0.99780833333333363</v>
      </c>
      <c r="AU116" s="394">
        <f t="shared" si="39"/>
        <v>0.99782916666666699</v>
      </c>
      <c r="AV116" s="396">
        <f>AV114-(AV114-AV117)*0.5</f>
        <v>0.99785000000000001</v>
      </c>
    </row>
    <row r="117" spans="33:50">
      <c r="AH117" s="344">
        <f>(AV117-AJ117)/12</f>
        <v>0</v>
      </c>
      <c r="AI117" s="355"/>
      <c r="AJ117" s="392">
        <f>$AV$117</f>
        <v>0.99760000000000004</v>
      </c>
      <c r="AK117" s="394">
        <v>0.99760000000000004</v>
      </c>
      <c r="AL117" s="394">
        <f t="shared" ref="AL117:AU117" si="40">++AK117+$AH$117</f>
        <v>0.99760000000000004</v>
      </c>
      <c r="AM117" s="394">
        <f t="shared" si="40"/>
        <v>0.99760000000000004</v>
      </c>
      <c r="AN117" s="394">
        <f t="shared" si="40"/>
        <v>0.99760000000000004</v>
      </c>
      <c r="AO117" s="394">
        <f t="shared" si="40"/>
        <v>0.99760000000000004</v>
      </c>
      <c r="AP117" s="394">
        <f t="shared" si="40"/>
        <v>0.99760000000000004</v>
      </c>
      <c r="AQ117" s="394">
        <f t="shared" si="40"/>
        <v>0.99760000000000004</v>
      </c>
      <c r="AR117" s="394">
        <f t="shared" si="40"/>
        <v>0.99760000000000004</v>
      </c>
      <c r="AS117" s="394">
        <f t="shared" si="40"/>
        <v>0.99760000000000004</v>
      </c>
      <c r="AT117" s="394">
        <f t="shared" si="40"/>
        <v>0.99760000000000004</v>
      </c>
      <c r="AU117" s="394">
        <f t="shared" si="40"/>
        <v>0.99760000000000004</v>
      </c>
      <c r="AV117" s="397">
        <v>0.99760000000000004</v>
      </c>
    </row>
    <row r="118" spans="33:50">
      <c r="AH118" s="353" t="s">
        <v>4</v>
      </c>
      <c r="AI118" s="354"/>
      <c r="AJ118" s="398"/>
      <c r="AK118" s="361">
        <v>0.99767154380431877</v>
      </c>
      <c r="AL118" s="361">
        <f t="shared" ref="AL118:AV118" si="41">AL119/AL120</f>
        <v>0.99842586108717069</v>
      </c>
      <c r="AM118" s="361">
        <f t="shared" si="41"/>
        <v>0.99805261160089154</v>
      </c>
      <c r="AN118" s="361">
        <f t="shared" si="41"/>
        <v>0.99775596533552513</v>
      </c>
      <c r="AO118" s="361">
        <f t="shared" si="41"/>
        <v>0.99757498567343839</v>
      </c>
      <c r="AP118" s="361" t="e">
        <f t="shared" si="41"/>
        <v>#DIV/0!</v>
      </c>
      <c r="AQ118" s="361" t="e">
        <f t="shared" si="41"/>
        <v>#DIV/0!</v>
      </c>
      <c r="AR118" s="361" t="e">
        <f t="shared" si="41"/>
        <v>#DIV/0!</v>
      </c>
      <c r="AS118" s="361" t="e">
        <f t="shared" si="41"/>
        <v>#DIV/0!</v>
      </c>
      <c r="AT118" s="361" t="e">
        <f t="shared" si="41"/>
        <v>#DIV/0!</v>
      </c>
      <c r="AU118" s="361" t="e">
        <f t="shared" si="41"/>
        <v>#DIV/0!</v>
      </c>
      <c r="AV118" s="362" t="e">
        <f t="shared" si="41"/>
        <v>#DIV/0!</v>
      </c>
    </row>
    <row r="119" spans="33:50">
      <c r="AH119" s="715" t="s">
        <v>16</v>
      </c>
      <c r="AI119" s="716"/>
      <c r="AJ119" s="399"/>
      <c r="AK119" s="400">
        <v>4216136</v>
      </c>
      <c r="AL119" s="400">
        <f t="shared" ref="AL119:AV120" si="42">AL105</f>
        <v>4151918</v>
      </c>
      <c r="AM119" s="400">
        <f t="shared" si="42"/>
        <v>3449693</v>
      </c>
      <c r="AN119" s="400">
        <f t="shared" si="42"/>
        <v>3524105</v>
      </c>
      <c r="AO119" s="400">
        <f t="shared" si="42"/>
        <v>2659910</v>
      </c>
      <c r="AP119" s="400">
        <f t="shared" si="42"/>
        <v>0</v>
      </c>
      <c r="AQ119" s="400">
        <f t="shared" si="42"/>
        <v>0</v>
      </c>
      <c r="AR119" s="400">
        <f t="shared" si="42"/>
        <v>0</v>
      </c>
      <c r="AS119" s="400">
        <f t="shared" si="42"/>
        <v>0</v>
      </c>
      <c r="AT119" s="400">
        <f t="shared" si="42"/>
        <v>0</v>
      </c>
      <c r="AU119" s="400">
        <f t="shared" si="42"/>
        <v>0</v>
      </c>
      <c r="AV119" s="401">
        <f t="shared" si="42"/>
        <v>0</v>
      </c>
      <c r="AX119" s="426">
        <f>SUM(AK119:AM119)</f>
        <v>11817747</v>
      </c>
    </row>
    <row r="120" spans="33:50">
      <c r="AH120" s="715" t="s">
        <v>17</v>
      </c>
      <c r="AI120" s="716"/>
      <c r="AJ120" s="399"/>
      <c r="AK120" s="400">
        <v>4225976</v>
      </c>
      <c r="AL120" s="400">
        <f t="shared" si="42"/>
        <v>4158464</v>
      </c>
      <c r="AM120" s="400">
        <f t="shared" si="42"/>
        <v>3456424</v>
      </c>
      <c r="AN120" s="400">
        <f t="shared" si="42"/>
        <v>3532031</v>
      </c>
      <c r="AO120" s="400">
        <f t="shared" si="42"/>
        <v>2666376</v>
      </c>
      <c r="AP120" s="400">
        <f t="shared" si="42"/>
        <v>0</v>
      </c>
      <c r="AQ120" s="400">
        <f t="shared" si="42"/>
        <v>0</v>
      </c>
      <c r="AR120" s="400">
        <f t="shared" si="42"/>
        <v>0</v>
      </c>
      <c r="AS120" s="400">
        <f t="shared" si="42"/>
        <v>0</v>
      </c>
      <c r="AT120" s="400">
        <f t="shared" si="42"/>
        <v>0</v>
      </c>
      <c r="AU120" s="400">
        <f t="shared" si="42"/>
        <v>0</v>
      </c>
      <c r="AV120" s="401">
        <f t="shared" si="42"/>
        <v>0</v>
      </c>
      <c r="AX120" s="426">
        <f>SUM(AK120:AM120)</f>
        <v>11840864</v>
      </c>
    </row>
    <row r="121" spans="33:50">
      <c r="AH121" s="390" t="s">
        <v>5</v>
      </c>
      <c r="AI121" s="354"/>
      <c r="AK121" s="361">
        <v>1.7170513036474209</v>
      </c>
      <c r="AL121" s="361">
        <f>(AL118-AL117)/(AL114-AL117)</f>
        <v>9.9103330460356034</v>
      </c>
      <c r="AM121" s="361">
        <f>(AM118-AM117)/(AM114-AM117)</f>
        <v>3.6208928071275337</v>
      </c>
      <c r="AN121" s="361">
        <f>(AN118-AN117)/(AN114-AN117)</f>
        <v>0.93579201314938343</v>
      </c>
      <c r="AO121" s="361">
        <f t="shared" ref="AO121:AV121" si="43">(AO118-AO117)/(AO114-AO117)</f>
        <v>-0.12006876749580433</v>
      </c>
      <c r="AP121" s="361" t="e">
        <f t="shared" si="43"/>
        <v>#DIV/0!</v>
      </c>
      <c r="AQ121" s="361" t="e">
        <f t="shared" si="43"/>
        <v>#DIV/0!</v>
      </c>
      <c r="AR121" s="361" t="e">
        <f t="shared" si="43"/>
        <v>#DIV/0!</v>
      </c>
      <c r="AS121" s="361" t="e">
        <f t="shared" si="43"/>
        <v>#DIV/0!</v>
      </c>
      <c r="AT121" s="361" t="e">
        <f t="shared" si="43"/>
        <v>#DIV/0!</v>
      </c>
      <c r="AU121" s="361" t="e">
        <f t="shared" si="43"/>
        <v>#DIV/0!</v>
      </c>
      <c r="AV121" s="362" t="e">
        <f t="shared" si="43"/>
        <v>#DIV/0!</v>
      </c>
      <c r="AX121" s="464">
        <f>AX119/AX120</f>
        <v>0.99804769314131137</v>
      </c>
    </row>
    <row r="122" spans="33:50">
      <c r="AH122" s="390" t="s">
        <v>6</v>
      </c>
      <c r="AI122" s="354"/>
      <c r="AK122" s="363">
        <v>1</v>
      </c>
      <c r="AL122" s="363">
        <f t="shared" ref="AL122:AV122" si="44">IF(OR(AL121&gt;=100%),100%,IF(OR(AL121&lt;=0%),0%,AVERAGE(AL121)))</f>
        <v>1</v>
      </c>
      <c r="AM122" s="363">
        <f t="shared" si="44"/>
        <v>1</v>
      </c>
      <c r="AN122" s="363">
        <f>IF(OR(AN121&gt;=100%),100%,IF(OR(AN121&lt;=0%),0%,AVERAGE(AN121)))</f>
        <v>0.93579201314938343</v>
      </c>
      <c r="AO122" s="363">
        <f t="shared" ref="AO122:AP122" si="45">IF(OR(AO121&gt;=100%),100%,IF(OR(AO121&lt;=0%),0%,AVERAGE(AO121)))</f>
        <v>0</v>
      </c>
      <c r="AP122" s="363" t="e">
        <f t="shared" si="45"/>
        <v>#DIV/0!</v>
      </c>
      <c r="AQ122" s="363" t="e">
        <f t="shared" si="44"/>
        <v>#DIV/0!</v>
      </c>
      <c r="AR122" s="363" t="e">
        <f t="shared" si="44"/>
        <v>#DIV/0!</v>
      </c>
      <c r="AS122" s="363" t="e">
        <f t="shared" si="44"/>
        <v>#DIV/0!</v>
      </c>
      <c r="AT122" s="363" t="e">
        <f t="shared" si="44"/>
        <v>#DIV/0!</v>
      </c>
      <c r="AU122" s="363" t="e">
        <f t="shared" si="44"/>
        <v>#DIV/0!</v>
      </c>
      <c r="AV122" s="364" t="e">
        <f t="shared" si="44"/>
        <v>#DIV/0!</v>
      </c>
    </row>
    <row r="123" spans="33:50">
      <c r="AG123" s="294">
        <v>10</v>
      </c>
      <c r="AH123" s="717" t="s">
        <v>7</v>
      </c>
      <c r="AI123" s="718"/>
      <c r="AK123" s="451">
        <f>AK122*0.1</f>
        <v>0.1</v>
      </c>
      <c r="AL123" s="451">
        <f>AL122*0.1</f>
        <v>0.1</v>
      </c>
      <c r="AM123" s="451">
        <f t="shared" ref="AM123:AU123" si="46">AM122*0.1</f>
        <v>0.1</v>
      </c>
      <c r="AN123" s="451">
        <f t="shared" si="46"/>
        <v>9.3579201314938354E-2</v>
      </c>
      <c r="AO123" s="636">
        <f t="shared" si="46"/>
        <v>0</v>
      </c>
      <c r="AP123" s="451" t="e">
        <f t="shared" si="46"/>
        <v>#DIV/0!</v>
      </c>
      <c r="AQ123" s="451" t="e">
        <f t="shared" si="46"/>
        <v>#DIV/0!</v>
      </c>
      <c r="AR123" s="451" t="e">
        <f t="shared" si="46"/>
        <v>#DIV/0!</v>
      </c>
      <c r="AS123" s="451" t="e">
        <f t="shared" si="46"/>
        <v>#DIV/0!</v>
      </c>
      <c r="AT123" s="451" t="e">
        <f t="shared" si="46"/>
        <v>#DIV/0!</v>
      </c>
      <c r="AU123" s="451" t="e">
        <f t="shared" si="46"/>
        <v>#DIV/0!</v>
      </c>
      <c r="AV123" s="452" t="e">
        <f t="shared" ref="AV123" si="47">AV122*0.1</f>
        <v>#DIV/0!</v>
      </c>
    </row>
    <row r="124" spans="33:50">
      <c r="AH124" s="465"/>
      <c r="AI124" s="466"/>
      <c r="AJ124" s="467"/>
      <c r="AK124" s="468"/>
      <c r="AL124" s="468"/>
      <c r="AM124" s="468"/>
      <c r="AN124" s="468"/>
      <c r="AO124" s="468"/>
      <c r="AP124" s="468"/>
      <c r="AQ124" s="468"/>
      <c r="AR124" s="468"/>
      <c r="AS124" s="468"/>
      <c r="AT124" s="468"/>
      <c r="AU124" s="468"/>
      <c r="AV124" s="469"/>
    </row>
    <row r="125" spans="33:50">
      <c r="AH125" s="367"/>
      <c r="AI125" s="368"/>
      <c r="AJ125" s="368"/>
      <c r="AK125" s="368"/>
      <c r="AL125" s="368"/>
      <c r="AM125" s="368"/>
      <c r="AN125" s="368"/>
      <c r="AO125" s="368"/>
      <c r="AP125" s="368"/>
      <c r="AQ125" s="368"/>
      <c r="AR125" s="368"/>
      <c r="AS125" s="368"/>
      <c r="AT125" s="368"/>
      <c r="AU125" s="368"/>
      <c r="AV125" s="391"/>
    </row>
    <row r="126" spans="33:50">
      <c r="AH126" s="341" t="s">
        <v>104</v>
      </c>
      <c r="AJ126" s="342">
        <v>45352</v>
      </c>
      <c r="AK126" s="342">
        <v>45383</v>
      </c>
      <c r="AL126" s="342">
        <v>45413</v>
      </c>
      <c r="AM126" s="342">
        <v>45444</v>
      </c>
      <c r="AN126" s="342">
        <v>45474</v>
      </c>
      <c r="AO126" s="342">
        <v>45505</v>
      </c>
      <c r="AP126" s="342">
        <v>45536</v>
      </c>
      <c r="AQ126" s="342">
        <v>45566</v>
      </c>
      <c r="AR126" s="342">
        <v>45597</v>
      </c>
      <c r="AS126" s="342">
        <v>45627</v>
      </c>
      <c r="AT126" s="342">
        <v>45658</v>
      </c>
      <c r="AU126" s="342">
        <v>45689</v>
      </c>
      <c r="AV126" s="343">
        <v>45717</v>
      </c>
    </row>
    <row r="127" spans="33:50">
      <c r="AH127" s="372">
        <f>(AV127-AJ127)/12</f>
        <v>-32</v>
      </c>
      <c r="AI127" s="373" t="s">
        <v>2</v>
      </c>
      <c r="AJ127" s="374">
        <f>$AV$130</f>
        <v>2558</v>
      </c>
      <c r="AK127" s="356">
        <v>2526</v>
      </c>
      <c r="AL127" s="356">
        <f t="shared" ref="AL127:AU127" si="48">AK127+$AH$127</f>
        <v>2494</v>
      </c>
      <c r="AM127" s="356">
        <f t="shared" si="48"/>
        <v>2462</v>
      </c>
      <c r="AN127" s="356">
        <f t="shared" si="48"/>
        <v>2430</v>
      </c>
      <c r="AO127" s="356">
        <f t="shared" si="48"/>
        <v>2398</v>
      </c>
      <c r="AP127" s="356">
        <f t="shared" si="48"/>
        <v>2366</v>
      </c>
      <c r="AQ127" s="356">
        <f t="shared" si="48"/>
        <v>2334</v>
      </c>
      <c r="AR127" s="356">
        <f t="shared" si="48"/>
        <v>2302</v>
      </c>
      <c r="AS127" s="356">
        <f t="shared" si="48"/>
        <v>2270</v>
      </c>
      <c r="AT127" s="356">
        <f t="shared" si="48"/>
        <v>2238</v>
      </c>
      <c r="AU127" s="356">
        <f t="shared" si="48"/>
        <v>2206</v>
      </c>
      <c r="AV127" s="375">
        <v>2174</v>
      </c>
    </row>
    <row r="128" spans="33:50">
      <c r="AH128" s="372">
        <f>(AV128-AJ128)/12</f>
        <v>-25.599999999999984</v>
      </c>
      <c r="AI128" s="376" t="s">
        <v>2</v>
      </c>
      <c r="AJ128" s="374">
        <f>$AV$130</f>
        <v>2558</v>
      </c>
      <c r="AK128" s="374">
        <v>2532.4</v>
      </c>
      <c r="AL128" s="374">
        <f t="shared" ref="AL128:AU128" si="49">++AK128+$AH$128</f>
        <v>2506.8000000000002</v>
      </c>
      <c r="AM128" s="374">
        <f t="shared" si="49"/>
        <v>2481.2000000000003</v>
      </c>
      <c r="AN128" s="374">
        <f t="shared" si="49"/>
        <v>2455.6000000000004</v>
      </c>
      <c r="AO128" s="374">
        <f t="shared" si="49"/>
        <v>2430.0000000000005</v>
      </c>
      <c r="AP128" s="374">
        <f t="shared" si="49"/>
        <v>2404.4000000000005</v>
      </c>
      <c r="AQ128" s="374">
        <f t="shared" si="49"/>
        <v>2378.8000000000006</v>
      </c>
      <c r="AR128" s="374">
        <f t="shared" si="49"/>
        <v>2353.2000000000007</v>
      </c>
      <c r="AS128" s="374">
        <f t="shared" si="49"/>
        <v>2327.6000000000008</v>
      </c>
      <c r="AT128" s="374">
        <f t="shared" si="49"/>
        <v>2302.0000000000009</v>
      </c>
      <c r="AU128" s="374">
        <f t="shared" si="49"/>
        <v>2276.400000000001</v>
      </c>
      <c r="AV128" s="377">
        <f>AV127-(AV127-AV130)*0.2</f>
        <v>2250.8000000000002</v>
      </c>
    </row>
    <row r="129" spans="33:50">
      <c r="AH129" s="372">
        <f>(AV129-AJ129)/12</f>
        <v>-16</v>
      </c>
      <c r="AI129" s="378" t="s">
        <v>2</v>
      </c>
      <c r="AJ129" s="374">
        <f>$AV$130</f>
        <v>2558</v>
      </c>
      <c r="AK129" s="374">
        <v>2542</v>
      </c>
      <c r="AL129" s="374">
        <f t="shared" ref="AL129:AU129" si="50">++AK129+$AH$129</f>
        <v>2526</v>
      </c>
      <c r="AM129" s="374">
        <f t="shared" si="50"/>
        <v>2510</v>
      </c>
      <c r="AN129" s="374">
        <f t="shared" si="50"/>
        <v>2494</v>
      </c>
      <c r="AO129" s="374">
        <f t="shared" si="50"/>
        <v>2478</v>
      </c>
      <c r="AP129" s="374">
        <f t="shared" si="50"/>
        <v>2462</v>
      </c>
      <c r="AQ129" s="374">
        <f t="shared" si="50"/>
        <v>2446</v>
      </c>
      <c r="AR129" s="374">
        <f t="shared" si="50"/>
        <v>2430</v>
      </c>
      <c r="AS129" s="374">
        <f t="shared" si="50"/>
        <v>2414</v>
      </c>
      <c r="AT129" s="374">
        <f t="shared" si="50"/>
        <v>2398</v>
      </c>
      <c r="AU129" s="374">
        <f t="shared" si="50"/>
        <v>2382</v>
      </c>
      <c r="AV129" s="379">
        <f>AV127-(AV127-AV130)*0.5</f>
        <v>2366</v>
      </c>
    </row>
    <row r="130" spans="33:50">
      <c r="AH130" s="372">
        <f>(AV130-AJ130)/12</f>
        <v>0</v>
      </c>
      <c r="AI130" s="355"/>
      <c r="AJ130" s="374">
        <f>$AV$130</f>
        <v>2558</v>
      </c>
      <c r="AK130" s="374">
        <v>2558</v>
      </c>
      <c r="AL130" s="374">
        <f t="shared" ref="AL130:AU130" si="51">++AK130+$AH$130</f>
        <v>2558</v>
      </c>
      <c r="AM130" s="374">
        <f t="shared" si="51"/>
        <v>2558</v>
      </c>
      <c r="AN130" s="374">
        <f t="shared" si="51"/>
        <v>2558</v>
      </c>
      <c r="AO130" s="374">
        <f t="shared" si="51"/>
        <v>2558</v>
      </c>
      <c r="AP130" s="374">
        <f t="shared" si="51"/>
        <v>2558</v>
      </c>
      <c r="AQ130" s="374">
        <f t="shared" si="51"/>
        <v>2558</v>
      </c>
      <c r="AR130" s="374">
        <f t="shared" si="51"/>
        <v>2558</v>
      </c>
      <c r="AS130" s="374">
        <f t="shared" si="51"/>
        <v>2558</v>
      </c>
      <c r="AT130" s="374">
        <f t="shared" si="51"/>
        <v>2558</v>
      </c>
      <c r="AU130" s="374">
        <f t="shared" si="51"/>
        <v>2558</v>
      </c>
      <c r="AV130" s="380">
        <v>2558</v>
      </c>
    </row>
    <row r="131" spans="33:50">
      <c r="AH131" s="381" t="s">
        <v>10</v>
      </c>
      <c r="AI131" s="354"/>
      <c r="AJ131" s="382"/>
      <c r="AK131" s="383">
        <v>1848.8477865372954</v>
      </c>
      <c r="AL131" s="383">
        <f t="shared" ref="AL131:AV131" si="52">AL135/AL134*1000000</f>
        <v>963.72087288955345</v>
      </c>
      <c r="AM131" s="383">
        <f t="shared" si="52"/>
        <v>1402.3608586332489</v>
      </c>
      <c r="AN131" s="383">
        <f t="shared" si="52"/>
        <v>1681.468296339646</v>
      </c>
      <c r="AO131" s="383">
        <f t="shared" si="52"/>
        <v>2628.3012772702273</v>
      </c>
      <c r="AP131" s="383" t="e">
        <f t="shared" si="52"/>
        <v>#DIV/0!</v>
      </c>
      <c r="AQ131" s="383" t="e">
        <f t="shared" si="52"/>
        <v>#DIV/0!</v>
      </c>
      <c r="AR131" s="383" t="e">
        <f t="shared" si="52"/>
        <v>#DIV/0!</v>
      </c>
      <c r="AS131" s="383" t="e">
        <f t="shared" si="52"/>
        <v>#DIV/0!</v>
      </c>
      <c r="AT131" s="383" t="e">
        <f t="shared" si="52"/>
        <v>#DIV/0!</v>
      </c>
      <c r="AU131" s="383" t="e">
        <f t="shared" si="52"/>
        <v>#DIV/0!</v>
      </c>
      <c r="AV131" s="384" t="e">
        <f t="shared" si="52"/>
        <v>#DIV/0!</v>
      </c>
    </row>
    <row r="132" spans="33:50">
      <c r="AH132" s="381" t="s">
        <v>11</v>
      </c>
      <c r="AI132" s="354"/>
      <c r="AJ132" s="382"/>
      <c r="AK132" s="361">
        <v>0.99815115221346273</v>
      </c>
      <c r="AL132" s="361">
        <f t="shared" ref="AL132:AV132" si="53">AL133/AL134</f>
        <v>0.99903627912711046</v>
      </c>
      <c r="AM132" s="361">
        <f t="shared" si="53"/>
        <v>0.99859763914136679</v>
      </c>
      <c r="AN132" s="361">
        <f t="shared" si="53"/>
        <v>0.99831853170366036</v>
      </c>
      <c r="AO132" s="361">
        <f t="shared" si="53"/>
        <v>0.99735339578904403</v>
      </c>
      <c r="AP132" s="361" t="e">
        <f t="shared" si="53"/>
        <v>#DIV/0!</v>
      </c>
      <c r="AQ132" s="361" t="e">
        <f t="shared" si="53"/>
        <v>#DIV/0!</v>
      </c>
      <c r="AR132" s="361" t="e">
        <f t="shared" si="53"/>
        <v>#DIV/0!</v>
      </c>
      <c r="AS132" s="361" t="e">
        <f t="shared" si="53"/>
        <v>#DIV/0!</v>
      </c>
      <c r="AT132" s="361" t="e">
        <f t="shared" si="53"/>
        <v>#DIV/0!</v>
      </c>
      <c r="AU132" s="361" t="e">
        <f t="shared" si="53"/>
        <v>#DIV/0!</v>
      </c>
      <c r="AV132" s="362" t="e">
        <f t="shared" si="53"/>
        <v>#DIV/0!</v>
      </c>
    </row>
    <row r="133" spans="33:50">
      <c r="AH133" s="160"/>
      <c r="AI133" s="161" t="s">
        <v>12</v>
      </c>
      <c r="AJ133" s="385"/>
      <c r="AK133" s="386">
        <v>2633522</v>
      </c>
      <c r="AL133" s="455">
        <v>2787538</v>
      </c>
      <c r="AM133" s="470">
        <v>2139098</v>
      </c>
      <c r="AN133" s="457">
        <v>1682004</v>
      </c>
      <c r="AO133" s="471">
        <v>1089829</v>
      </c>
      <c r="AP133" s="459"/>
      <c r="AQ133" s="455"/>
      <c r="AR133" s="337"/>
      <c r="AS133" s="455"/>
      <c r="AT133" s="457"/>
      <c r="AU133" s="457"/>
      <c r="AV133" s="460"/>
      <c r="AX133" s="426">
        <f>SUM(AK133:AM133)</f>
        <v>7560158</v>
      </c>
    </row>
    <row r="134" spans="33:50">
      <c r="AH134" s="160"/>
      <c r="AI134" s="161" t="s">
        <v>13</v>
      </c>
      <c r="AJ134" s="369"/>
      <c r="AK134" s="386">
        <v>2638400</v>
      </c>
      <c r="AL134" s="461">
        <v>2790227</v>
      </c>
      <c r="AM134" s="470">
        <v>2142102</v>
      </c>
      <c r="AN134" s="457">
        <v>1684837</v>
      </c>
      <c r="AO134" s="471">
        <v>1092721</v>
      </c>
      <c r="AP134" s="462"/>
      <c r="AQ134" s="455"/>
      <c r="AR134" s="337"/>
      <c r="AS134" s="455"/>
      <c r="AT134" s="457"/>
      <c r="AU134" s="457"/>
      <c r="AV134" s="460"/>
      <c r="AX134" s="426">
        <f>SUM(AK134:AM134)</f>
        <v>7570729</v>
      </c>
    </row>
    <row r="135" spans="33:50">
      <c r="AH135" s="160"/>
      <c r="AI135" s="161" t="s">
        <v>14</v>
      </c>
      <c r="AJ135" s="369"/>
      <c r="AK135" s="386">
        <v>4878</v>
      </c>
      <c r="AL135" s="386">
        <v>2689</v>
      </c>
      <c r="AM135" s="386">
        <v>3004</v>
      </c>
      <c r="AN135" s="386">
        <v>2833</v>
      </c>
      <c r="AO135" s="386">
        <v>2872</v>
      </c>
      <c r="AP135" s="386"/>
      <c r="AQ135" s="386"/>
      <c r="AR135" s="337"/>
      <c r="AS135" s="455"/>
      <c r="AT135" s="457"/>
      <c r="AU135" s="457"/>
      <c r="AV135" s="460"/>
      <c r="AX135" s="426">
        <f>SUM(AK135:AM135)</f>
        <v>10571</v>
      </c>
    </row>
    <row r="136" spans="33:50">
      <c r="AH136" s="353" t="s">
        <v>5</v>
      </c>
      <c r="AI136" s="354"/>
      <c r="AK136" s="398">
        <v>22.161006670709519</v>
      </c>
      <c r="AL136" s="398">
        <f t="shared" ref="AL136:AV136" si="54">(AL131-AL130)/(AL127-AL130)</f>
        <v>24.910611361100727</v>
      </c>
      <c r="AM136" s="398">
        <f t="shared" si="54"/>
        <v>12.037907722570324</v>
      </c>
      <c r="AN136" s="398">
        <f t="shared" si="54"/>
        <v>6.8479039348465154</v>
      </c>
      <c r="AO136" s="398">
        <f t="shared" si="54"/>
        <v>-0.43938298293892047</v>
      </c>
      <c r="AP136" s="398" t="e">
        <f t="shared" si="54"/>
        <v>#DIV/0!</v>
      </c>
      <c r="AQ136" s="398" t="e">
        <f t="shared" si="54"/>
        <v>#DIV/0!</v>
      </c>
      <c r="AR136" s="398" t="e">
        <f t="shared" si="54"/>
        <v>#DIV/0!</v>
      </c>
      <c r="AS136" s="398" t="e">
        <f t="shared" si="54"/>
        <v>#DIV/0!</v>
      </c>
      <c r="AT136" s="398" t="e">
        <f t="shared" si="54"/>
        <v>#DIV/0!</v>
      </c>
      <c r="AU136" s="398" t="e">
        <f t="shared" si="54"/>
        <v>#DIV/0!</v>
      </c>
      <c r="AV136" s="402" t="e">
        <f t="shared" si="54"/>
        <v>#DIV/0!</v>
      </c>
      <c r="AX136" s="463">
        <f>AX135/AX134*1000000</f>
        <v>1396.2988240630459</v>
      </c>
    </row>
    <row r="137" spans="33:50">
      <c r="AH137" s="390" t="s">
        <v>6</v>
      </c>
      <c r="AI137" s="354"/>
      <c r="AK137" s="472">
        <f>IF(OR(AK136&gt;=100%),100%,IF(OR(AK136&lt;=0%),0%,AVERAGE(AK136)))</f>
        <v>1</v>
      </c>
      <c r="AL137" s="472">
        <f>IF(OR(AL136&gt;=100%),100%,IF(OR(AL136&lt;=0%),0%,AVERAGE(AL136)))</f>
        <v>1</v>
      </c>
      <c r="AM137" s="363">
        <f t="shared" ref="AM137:AV137" si="55">IF(OR(AM136&gt;=100%),100%,IF(OR(AM136&lt;=0%),0%,AVERAGE(AM136)))</f>
        <v>1</v>
      </c>
      <c r="AN137" s="363">
        <f t="shared" si="55"/>
        <v>1</v>
      </c>
      <c r="AO137" s="363">
        <f t="shared" si="55"/>
        <v>0</v>
      </c>
      <c r="AP137" s="363" t="e">
        <f t="shared" si="55"/>
        <v>#DIV/0!</v>
      </c>
      <c r="AQ137" s="363" t="e">
        <f t="shared" si="55"/>
        <v>#DIV/0!</v>
      </c>
      <c r="AR137" s="363" t="e">
        <f t="shared" si="55"/>
        <v>#DIV/0!</v>
      </c>
      <c r="AS137" s="363" t="e">
        <f t="shared" si="55"/>
        <v>#DIV/0!</v>
      </c>
      <c r="AT137" s="363" t="e">
        <f t="shared" si="55"/>
        <v>#DIV/0!</v>
      </c>
      <c r="AU137" s="363" t="e">
        <f t="shared" si="55"/>
        <v>#DIV/0!</v>
      </c>
      <c r="AV137" s="364" t="e">
        <f t="shared" si="55"/>
        <v>#DIV/0!</v>
      </c>
    </row>
    <row r="138" spans="33:50">
      <c r="AG138" s="294">
        <v>10</v>
      </c>
      <c r="AH138" s="717" t="s">
        <v>7</v>
      </c>
      <c r="AI138" s="718"/>
      <c r="AK138" s="451">
        <f>AK137*0.1</f>
        <v>0.1</v>
      </c>
      <c r="AL138" s="451">
        <f t="shared" ref="AL138:AU138" si="56">AL137*0.1</f>
        <v>0.1</v>
      </c>
      <c r="AM138" s="451">
        <f t="shared" si="56"/>
        <v>0.1</v>
      </c>
      <c r="AN138" s="451">
        <f t="shared" si="56"/>
        <v>0.1</v>
      </c>
      <c r="AO138" s="636">
        <f t="shared" si="56"/>
        <v>0</v>
      </c>
      <c r="AP138" s="451" t="e">
        <f t="shared" si="56"/>
        <v>#DIV/0!</v>
      </c>
      <c r="AQ138" s="451" t="e">
        <f t="shared" si="56"/>
        <v>#DIV/0!</v>
      </c>
      <c r="AR138" s="451" t="e">
        <f t="shared" si="56"/>
        <v>#DIV/0!</v>
      </c>
      <c r="AS138" s="451" t="e">
        <f t="shared" si="56"/>
        <v>#DIV/0!</v>
      </c>
      <c r="AT138" s="451" t="e">
        <f t="shared" si="56"/>
        <v>#DIV/0!</v>
      </c>
      <c r="AU138" s="451" t="e">
        <f t="shared" si="56"/>
        <v>#DIV/0!</v>
      </c>
      <c r="AV138" s="452" t="e">
        <f t="shared" ref="AV138" si="57">AV137*0.1</f>
        <v>#DIV/0!</v>
      </c>
    </row>
    <row r="139" spans="33:50">
      <c r="AH139" s="367"/>
      <c r="AI139" s="368"/>
      <c r="AJ139" s="368"/>
      <c r="AK139" s="368"/>
      <c r="AL139" s="368"/>
      <c r="AM139" s="368"/>
      <c r="AN139" s="368"/>
      <c r="AO139" s="368"/>
      <c r="AP139" s="368"/>
      <c r="AQ139" s="368"/>
      <c r="AR139" s="368"/>
      <c r="AS139" s="368"/>
      <c r="AT139" s="368"/>
      <c r="AU139" s="368"/>
      <c r="AV139" s="391"/>
    </row>
    <row r="140" spans="33:50">
      <c r="AH140" s="367"/>
      <c r="AI140" s="368"/>
      <c r="AJ140" s="368"/>
      <c r="AK140" s="368"/>
      <c r="AL140" s="368"/>
      <c r="AM140" s="368"/>
      <c r="AN140" s="368"/>
      <c r="AO140" s="368"/>
      <c r="AP140" s="368"/>
      <c r="AQ140" s="368"/>
      <c r="AR140" s="368"/>
      <c r="AS140" s="368"/>
      <c r="AT140" s="368"/>
      <c r="AU140" s="368"/>
      <c r="AV140" s="391"/>
    </row>
    <row r="141" spans="33:50">
      <c r="AH141" s="341" t="s">
        <v>105</v>
      </c>
      <c r="AJ141" s="342">
        <v>45352</v>
      </c>
      <c r="AK141" s="342">
        <v>45383</v>
      </c>
      <c r="AL141" s="342">
        <v>45413</v>
      </c>
      <c r="AM141" s="342">
        <v>45444</v>
      </c>
      <c r="AN141" s="342">
        <v>45474</v>
      </c>
      <c r="AO141" s="342">
        <v>45505</v>
      </c>
      <c r="AP141" s="342">
        <v>45536</v>
      </c>
      <c r="AQ141" s="342">
        <v>45566</v>
      </c>
      <c r="AR141" s="342">
        <v>45597</v>
      </c>
      <c r="AS141" s="342">
        <v>45627</v>
      </c>
      <c r="AT141" s="342">
        <v>45658</v>
      </c>
      <c r="AU141" s="342">
        <v>45689</v>
      </c>
      <c r="AV141" s="343">
        <v>45717</v>
      </c>
    </row>
    <row r="142" spans="33:50">
      <c r="AH142" s="344">
        <f>(AV142-AJ142)/12</f>
        <v>8.3333333333333412E-5</v>
      </c>
      <c r="AI142" s="373" t="s">
        <v>2</v>
      </c>
      <c r="AJ142" s="392">
        <f>$AV$145</f>
        <v>0.99739999999999995</v>
      </c>
      <c r="AK142" s="394">
        <v>0.99748333333333328</v>
      </c>
      <c r="AL142" s="394">
        <f t="shared" ref="AL142:AU142" si="58">AK142+$AH$142</f>
        <v>0.9975666666666666</v>
      </c>
      <c r="AM142" s="394">
        <f t="shared" si="58"/>
        <v>0.99764999999999993</v>
      </c>
      <c r="AN142" s="394">
        <f t="shared" si="58"/>
        <v>0.99773333333333325</v>
      </c>
      <c r="AO142" s="394">
        <f t="shared" si="58"/>
        <v>0.99781666666666657</v>
      </c>
      <c r="AP142" s="394">
        <f t="shared" si="58"/>
        <v>0.9978999999999999</v>
      </c>
      <c r="AQ142" s="394">
        <f t="shared" si="58"/>
        <v>0.99798333333333322</v>
      </c>
      <c r="AR142" s="394">
        <f t="shared" si="58"/>
        <v>0.99806666666666655</v>
      </c>
      <c r="AS142" s="394">
        <f t="shared" si="58"/>
        <v>0.99814999999999987</v>
      </c>
      <c r="AT142" s="394">
        <f t="shared" si="58"/>
        <v>0.99823333333333319</v>
      </c>
      <c r="AU142" s="394">
        <f t="shared" si="58"/>
        <v>0.99831666666666652</v>
      </c>
      <c r="AV142" s="393">
        <v>0.99839999999999995</v>
      </c>
    </row>
    <row r="143" spans="33:50">
      <c r="AH143" s="344">
        <f>(AV143-AJ143)/12</f>
        <v>6.6666666666668581E-5</v>
      </c>
      <c r="AI143" s="376" t="s">
        <v>2</v>
      </c>
      <c r="AJ143" s="392">
        <f>$AV$145</f>
        <v>0.99739999999999995</v>
      </c>
      <c r="AK143" s="394">
        <v>0.99746666666666661</v>
      </c>
      <c r="AL143" s="394">
        <f t="shared" ref="AL143:AU143" si="59">AK143+$AH$143</f>
        <v>0.99753333333333327</v>
      </c>
      <c r="AM143" s="394">
        <f t="shared" si="59"/>
        <v>0.99759999999999993</v>
      </c>
      <c r="AN143" s="394">
        <f t="shared" si="59"/>
        <v>0.99766666666666659</v>
      </c>
      <c r="AO143" s="394">
        <f t="shared" si="59"/>
        <v>0.99773333333333325</v>
      </c>
      <c r="AP143" s="394">
        <f t="shared" si="59"/>
        <v>0.99779999999999991</v>
      </c>
      <c r="AQ143" s="394">
        <f t="shared" si="59"/>
        <v>0.99786666666666657</v>
      </c>
      <c r="AR143" s="394">
        <f t="shared" si="59"/>
        <v>0.99793333333333323</v>
      </c>
      <c r="AS143" s="394">
        <f t="shared" si="59"/>
        <v>0.99799999999999989</v>
      </c>
      <c r="AT143" s="394">
        <f t="shared" si="59"/>
        <v>0.99806666666666655</v>
      </c>
      <c r="AU143" s="394">
        <f t="shared" si="59"/>
        <v>0.99813333333333321</v>
      </c>
      <c r="AV143" s="395">
        <f>AV142-(AV142-AV145)*0.2</f>
        <v>0.99819999999999998</v>
      </c>
    </row>
    <row r="144" spans="33:50">
      <c r="AH144" s="344">
        <f>(AV144-AJ144)/12</f>
        <v>4.1666666666671327E-5</v>
      </c>
      <c r="AI144" s="378" t="s">
        <v>2</v>
      </c>
      <c r="AJ144" s="392">
        <f>$AV$145</f>
        <v>0.99739999999999995</v>
      </c>
      <c r="AK144" s="394">
        <v>0.99744166666666667</v>
      </c>
      <c r="AL144" s="394">
        <f t="shared" ref="AL144:AU144" si="60">++AK144+$AH$144</f>
        <v>0.99748333333333339</v>
      </c>
      <c r="AM144" s="394">
        <f t="shared" si="60"/>
        <v>0.99752500000000011</v>
      </c>
      <c r="AN144" s="394">
        <f t="shared" si="60"/>
        <v>0.99756666666666682</v>
      </c>
      <c r="AO144" s="394">
        <f t="shared" si="60"/>
        <v>0.99760833333333354</v>
      </c>
      <c r="AP144" s="394">
        <f t="shared" si="60"/>
        <v>0.99765000000000026</v>
      </c>
      <c r="AQ144" s="394">
        <f t="shared" si="60"/>
        <v>0.99769166666666698</v>
      </c>
      <c r="AR144" s="394">
        <f t="shared" si="60"/>
        <v>0.99773333333333369</v>
      </c>
      <c r="AS144" s="394">
        <f t="shared" si="60"/>
        <v>0.99777500000000041</v>
      </c>
      <c r="AT144" s="394">
        <f t="shared" si="60"/>
        <v>0.99781666666666713</v>
      </c>
      <c r="AU144" s="394">
        <f t="shared" si="60"/>
        <v>0.99785833333333385</v>
      </c>
      <c r="AV144" s="396">
        <f>AV142-(AV142-AV145)*0.5</f>
        <v>0.99790000000000001</v>
      </c>
    </row>
    <row r="145" spans="33:50">
      <c r="AH145" s="344">
        <f>(AV145-AJ145)/12</f>
        <v>0</v>
      </c>
      <c r="AI145" s="355"/>
      <c r="AJ145" s="392">
        <f>$AV$145</f>
        <v>0.99739999999999995</v>
      </c>
      <c r="AK145" s="392">
        <v>0.99739999999999995</v>
      </c>
      <c r="AL145" s="392">
        <f t="shared" ref="AL145:AU145" si="61">$AV$145</f>
        <v>0.99739999999999995</v>
      </c>
      <c r="AM145" s="392">
        <f t="shared" si="61"/>
        <v>0.99739999999999995</v>
      </c>
      <c r="AN145" s="392">
        <f t="shared" si="61"/>
        <v>0.99739999999999995</v>
      </c>
      <c r="AO145" s="392">
        <f t="shared" si="61"/>
        <v>0.99739999999999995</v>
      </c>
      <c r="AP145" s="392">
        <f t="shared" si="61"/>
        <v>0.99739999999999995</v>
      </c>
      <c r="AQ145" s="392">
        <f t="shared" si="61"/>
        <v>0.99739999999999995</v>
      </c>
      <c r="AR145" s="392">
        <f t="shared" si="61"/>
        <v>0.99739999999999995</v>
      </c>
      <c r="AS145" s="392">
        <f t="shared" si="61"/>
        <v>0.99739999999999995</v>
      </c>
      <c r="AT145" s="392">
        <f t="shared" si="61"/>
        <v>0.99739999999999995</v>
      </c>
      <c r="AU145" s="392">
        <f t="shared" si="61"/>
        <v>0.99739999999999995</v>
      </c>
      <c r="AV145" s="397">
        <v>0.99739999999999995</v>
      </c>
    </row>
    <row r="146" spans="33:50">
      <c r="AH146" s="353" t="s">
        <v>4</v>
      </c>
      <c r="AI146" s="354"/>
      <c r="AJ146" s="398"/>
      <c r="AK146" s="361">
        <v>0.99815115221346273</v>
      </c>
      <c r="AL146" s="361">
        <f t="shared" ref="AL146:AU146" si="62">AL147/AL148</f>
        <v>0.99903627912711046</v>
      </c>
      <c r="AM146" s="361">
        <f t="shared" si="62"/>
        <v>0.99859763914136679</v>
      </c>
      <c r="AN146" s="361">
        <f t="shared" si="62"/>
        <v>0.99831853170366036</v>
      </c>
      <c r="AO146" s="361">
        <f t="shared" si="62"/>
        <v>0.99735339578904403</v>
      </c>
      <c r="AP146" s="361" t="e">
        <f t="shared" si="62"/>
        <v>#DIV/0!</v>
      </c>
      <c r="AQ146" s="361" t="e">
        <f t="shared" si="62"/>
        <v>#DIV/0!</v>
      </c>
      <c r="AR146" s="361" t="e">
        <f t="shared" si="62"/>
        <v>#DIV/0!</v>
      </c>
      <c r="AS146" s="361" t="e">
        <f t="shared" si="62"/>
        <v>#DIV/0!</v>
      </c>
      <c r="AT146" s="361" t="e">
        <f t="shared" si="62"/>
        <v>#DIV/0!</v>
      </c>
      <c r="AU146" s="361" t="e">
        <f t="shared" si="62"/>
        <v>#DIV/0!</v>
      </c>
      <c r="AV146" s="362" t="e">
        <f>AV147/AV148</f>
        <v>#DIV/0!</v>
      </c>
    </row>
    <row r="147" spans="33:50">
      <c r="AH147" s="715" t="s">
        <v>16</v>
      </c>
      <c r="AI147" s="716"/>
      <c r="AJ147" s="399"/>
      <c r="AK147" s="400">
        <v>2633522</v>
      </c>
      <c r="AL147" s="400">
        <f>+AL133</f>
        <v>2787538</v>
      </c>
      <c r="AM147" s="400">
        <f>+AM133</f>
        <v>2139098</v>
      </c>
      <c r="AN147" s="400">
        <f t="shared" ref="AN147:AP147" si="63">+AN133</f>
        <v>1682004</v>
      </c>
      <c r="AO147" s="400">
        <f t="shared" si="63"/>
        <v>1089829</v>
      </c>
      <c r="AP147" s="400">
        <f t="shared" si="63"/>
        <v>0</v>
      </c>
      <c r="AQ147" s="473">
        <f t="shared" ref="AQ147:AV148" si="64">AQ133</f>
        <v>0</v>
      </c>
      <c r="AR147" s="400">
        <f t="shared" si="64"/>
        <v>0</v>
      </c>
      <c r="AS147" s="400">
        <f t="shared" si="64"/>
        <v>0</v>
      </c>
      <c r="AT147" s="400">
        <f t="shared" si="64"/>
        <v>0</v>
      </c>
      <c r="AU147" s="400">
        <f t="shared" si="64"/>
        <v>0</v>
      </c>
      <c r="AV147" s="401">
        <f>AV133</f>
        <v>0</v>
      </c>
      <c r="AX147" s="426">
        <f>SUM(AK147:AM147)</f>
        <v>7560158</v>
      </c>
    </row>
    <row r="148" spans="33:50">
      <c r="AH148" s="715" t="s">
        <v>17</v>
      </c>
      <c r="AI148" s="716"/>
      <c r="AJ148" s="399"/>
      <c r="AK148" s="400">
        <v>2638400</v>
      </c>
      <c r="AL148" s="400">
        <f>+AL134</f>
        <v>2790227</v>
      </c>
      <c r="AM148" s="400">
        <f t="shared" ref="AM148:AO148" si="65">+AM134</f>
        <v>2142102</v>
      </c>
      <c r="AN148" s="400">
        <f t="shared" si="65"/>
        <v>1684837</v>
      </c>
      <c r="AO148" s="400">
        <f t="shared" si="65"/>
        <v>1092721</v>
      </c>
      <c r="AP148" s="400">
        <f>+AP134</f>
        <v>0</v>
      </c>
      <c r="AQ148" s="473">
        <f t="shared" si="64"/>
        <v>0</v>
      </c>
      <c r="AR148" s="400">
        <f t="shared" si="64"/>
        <v>0</v>
      </c>
      <c r="AS148" s="400">
        <f t="shared" si="64"/>
        <v>0</v>
      </c>
      <c r="AT148" s="400">
        <f t="shared" si="64"/>
        <v>0</v>
      </c>
      <c r="AU148" s="400">
        <f t="shared" si="64"/>
        <v>0</v>
      </c>
      <c r="AV148" s="401">
        <f t="shared" si="64"/>
        <v>0</v>
      </c>
      <c r="AX148" s="426">
        <f>SUM(AK148:AM148)</f>
        <v>7570729</v>
      </c>
    </row>
    <row r="149" spans="33:50">
      <c r="AH149" s="390" t="s">
        <v>5</v>
      </c>
      <c r="AI149" s="354"/>
      <c r="AK149" s="361">
        <f>(AK146-AK145)/(AK142-AK145)</f>
        <v>9.0138265615543549</v>
      </c>
      <c r="AL149" s="361">
        <f>(AL146-AL145)/(AL142-AL145)</f>
        <v>9.8176747626641241</v>
      </c>
      <c r="AM149" s="361">
        <f>(AM146-AM145)/(AM142-AM145)</f>
        <v>4.7905565654678686</v>
      </c>
      <c r="AN149" s="361">
        <f>(AN146-AN145)/(AN142-AN145)</f>
        <v>2.7555951109815271</v>
      </c>
      <c r="AO149" s="361">
        <f t="shared" ref="AO149:AV149" si="66">(AO146-AO145)/(AO142-AO145)</f>
        <v>-0.11185010629423242</v>
      </c>
      <c r="AP149" s="361" t="e">
        <f t="shared" si="66"/>
        <v>#DIV/0!</v>
      </c>
      <c r="AQ149" s="361" t="e">
        <f t="shared" si="66"/>
        <v>#DIV/0!</v>
      </c>
      <c r="AR149" s="361" t="e">
        <f t="shared" si="66"/>
        <v>#DIV/0!</v>
      </c>
      <c r="AS149" s="361" t="e">
        <f t="shared" si="66"/>
        <v>#DIV/0!</v>
      </c>
      <c r="AT149" s="361" t="e">
        <f t="shared" si="66"/>
        <v>#DIV/0!</v>
      </c>
      <c r="AU149" s="361" t="e">
        <f t="shared" si="66"/>
        <v>#DIV/0!</v>
      </c>
      <c r="AV149" s="362" t="e">
        <f t="shared" si="66"/>
        <v>#DIV/0!</v>
      </c>
      <c r="AX149" s="464">
        <f>AX147/AX148</f>
        <v>0.998603701175937</v>
      </c>
    </row>
    <row r="150" spans="33:50">
      <c r="AH150" s="390" t="s">
        <v>6</v>
      </c>
      <c r="AI150" s="354"/>
      <c r="AK150" s="363">
        <f t="shared" ref="AK150:AV150" si="67">IF(OR(AK149&gt;=100%),100%,IF(OR(AK149&lt;=0%),0%,AVERAGE(AK149)))</f>
        <v>1</v>
      </c>
      <c r="AL150" s="363">
        <f t="shared" si="67"/>
        <v>1</v>
      </c>
      <c r="AM150" s="363">
        <f t="shared" si="67"/>
        <v>1</v>
      </c>
      <c r="AN150" s="363">
        <f t="shared" si="67"/>
        <v>1</v>
      </c>
      <c r="AO150" s="363">
        <f t="shared" si="67"/>
        <v>0</v>
      </c>
      <c r="AP150" s="363" t="e">
        <f t="shared" si="67"/>
        <v>#DIV/0!</v>
      </c>
      <c r="AQ150" s="363" t="e">
        <f t="shared" si="67"/>
        <v>#DIV/0!</v>
      </c>
      <c r="AR150" s="363" t="e">
        <f t="shared" si="67"/>
        <v>#DIV/0!</v>
      </c>
      <c r="AS150" s="363" t="e">
        <f t="shared" si="67"/>
        <v>#DIV/0!</v>
      </c>
      <c r="AT150" s="363" t="e">
        <f t="shared" si="67"/>
        <v>#DIV/0!</v>
      </c>
      <c r="AU150" s="363" t="e">
        <f t="shared" si="67"/>
        <v>#DIV/0!</v>
      </c>
      <c r="AV150" s="364" t="e">
        <f t="shared" si="67"/>
        <v>#DIV/0!</v>
      </c>
    </row>
    <row r="151" spans="33:50">
      <c r="AG151" s="294">
        <v>10</v>
      </c>
      <c r="AH151" s="717" t="s">
        <v>7</v>
      </c>
      <c r="AI151" s="718"/>
      <c r="AK151" s="451">
        <f t="shared" ref="AK151:AU151" si="68">AK150*0.1</f>
        <v>0.1</v>
      </c>
      <c r="AL151" s="451">
        <f t="shared" si="68"/>
        <v>0.1</v>
      </c>
      <c r="AM151" s="451">
        <f t="shared" si="68"/>
        <v>0.1</v>
      </c>
      <c r="AN151" s="451">
        <f t="shared" si="68"/>
        <v>0.1</v>
      </c>
      <c r="AO151" s="636">
        <f t="shared" si="68"/>
        <v>0</v>
      </c>
      <c r="AP151" s="451" t="e">
        <f t="shared" si="68"/>
        <v>#DIV/0!</v>
      </c>
      <c r="AQ151" s="451" t="e">
        <f t="shared" si="68"/>
        <v>#DIV/0!</v>
      </c>
      <c r="AR151" s="451" t="e">
        <f t="shared" si="68"/>
        <v>#DIV/0!</v>
      </c>
      <c r="AS151" s="451" t="e">
        <f t="shared" si="68"/>
        <v>#DIV/0!</v>
      </c>
      <c r="AT151" s="451" t="e">
        <f t="shared" si="68"/>
        <v>#DIV/0!</v>
      </c>
      <c r="AU151" s="451" t="e">
        <f t="shared" si="68"/>
        <v>#DIV/0!</v>
      </c>
      <c r="AV151" s="452" t="e">
        <f t="shared" ref="AV151" si="69">AV150*0.1</f>
        <v>#DIV/0!</v>
      </c>
    </row>
    <row r="152" spans="33:50">
      <c r="AH152" s="367"/>
      <c r="AI152" s="368"/>
      <c r="AJ152" s="368"/>
      <c r="AK152" s="368"/>
      <c r="AL152" s="368"/>
      <c r="AM152" s="368"/>
      <c r="AN152" s="368"/>
      <c r="AO152" s="368"/>
      <c r="AP152" s="368"/>
      <c r="AQ152" s="368"/>
      <c r="AR152" s="368"/>
      <c r="AS152" s="368"/>
      <c r="AT152" s="368"/>
      <c r="AU152" s="368"/>
      <c r="AV152" s="391"/>
    </row>
    <row r="153" spans="33:50">
      <c r="AH153" s="717" t="s">
        <v>26</v>
      </c>
      <c r="AI153" s="718"/>
      <c r="AJ153" s="403"/>
      <c r="AK153" s="474">
        <v>2.83</v>
      </c>
      <c r="AL153" s="475">
        <v>2.8</v>
      </c>
      <c r="AM153" s="475">
        <v>2.71</v>
      </c>
      <c r="AN153" s="475">
        <v>4.03</v>
      </c>
      <c r="AO153" s="476">
        <f>2890.12/1000</f>
        <v>2.89012</v>
      </c>
      <c r="AP153" s="476"/>
      <c r="AQ153" s="476"/>
      <c r="AR153" s="337"/>
      <c r="AS153" s="476"/>
      <c r="AT153" s="476"/>
      <c r="AU153" s="476"/>
      <c r="AV153" s="477"/>
    </row>
    <row r="154" spans="33:50">
      <c r="AH154" s="405"/>
      <c r="AL154" s="368"/>
      <c r="AV154" s="406"/>
    </row>
    <row r="155" spans="33:50">
      <c r="AH155" s="405"/>
      <c r="AL155" s="368"/>
      <c r="AV155" s="406"/>
    </row>
    <row r="156" spans="33:50">
      <c r="AH156" s="341" t="s">
        <v>106</v>
      </c>
      <c r="AJ156" s="342">
        <v>45352</v>
      </c>
      <c r="AK156" s="342">
        <v>45383</v>
      </c>
      <c r="AL156" s="342">
        <v>45413</v>
      </c>
      <c r="AM156" s="342">
        <v>45444</v>
      </c>
      <c r="AN156" s="342">
        <v>45474</v>
      </c>
      <c r="AO156" s="342">
        <v>45505</v>
      </c>
      <c r="AP156" s="342">
        <v>45536</v>
      </c>
      <c r="AQ156" s="342">
        <v>45566</v>
      </c>
      <c r="AR156" s="342">
        <v>45597</v>
      </c>
      <c r="AS156" s="342">
        <v>45627</v>
      </c>
      <c r="AT156" s="342">
        <v>45658</v>
      </c>
      <c r="AU156" s="342">
        <v>45689</v>
      </c>
      <c r="AV156" s="343">
        <v>45717</v>
      </c>
    </row>
    <row r="157" spans="33:50">
      <c r="AH157" s="372">
        <f>(AV157-AJ157)/12</f>
        <v>0</v>
      </c>
      <c r="AI157" s="355"/>
      <c r="AJ157" s="392">
        <f>$AV$157</f>
        <v>2.3E-3</v>
      </c>
      <c r="AK157" s="392">
        <v>2.3E-3</v>
      </c>
      <c r="AL157" s="392">
        <f t="shared" ref="AL157:AU157" si="70">++AK157+$AH$157</f>
        <v>2.3E-3</v>
      </c>
      <c r="AM157" s="392">
        <f t="shared" si="70"/>
        <v>2.3E-3</v>
      </c>
      <c r="AN157" s="392">
        <f t="shared" si="70"/>
        <v>2.3E-3</v>
      </c>
      <c r="AO157" s="392">
        <f t="shared" si="70"/>
        <v>2.3E-3</v>
      </c>
      <c r="AP157" s="392">
        <f t="shared" si="70"/>
        <v>2.3E-3</v>
      </c>
      <c r="AQ157" s="392">
        <f t="shared" si="70"/>
        <v>2.3E-3</v>
      </c>
      <c r="AR157" s="392">
        <f t="shared" si="70"/>
        <v>2.3E-3</v>
      </c>
      <c r="AS157" s="392">
        <f t="shared" si="70"/>
        <v>2.3E-3</v>
      </c>
      <c r="AT157" s="392">
        <f t="shared" si="70"/>
        <v>2.3E-3</v>
      </c>
      <c r="AU157" s="392">
        <f t="shared" si="70"/>
        <v>2.3E-3</v>
      </c>
      <c r="AV157" s="362">
        <v>2.3E-3</v>
      </c>
    </row>
    <row r="158" spans="33:50">
      <c r="AH158" s="372">
        <f>(AV158-AJ158)/12</f>
        <v>-1.6666666666666674E-5</v>
      </c>
      <c r="AI158" s="378" t="s">
        <v>2</v>
      </c>
      <c r="AJ158" s="392">
        <f>$AV$157</f>
        <v>2.3E-3</v>
      </c>
      <c r="AK158" s="392">
        <v>2.2833333333333334E-3</v>
      </c>
      <c r="AL158" s="392">
        <f t="shared" ref="AL158:AU158" si="71">++AK158+$AH$158</f>
        <v>2.2666666666666668E-3</v>
      </c>
      <c r="AM158" s="392">
        <f t="shared" si="71"/>
        <v>2.2500000000000003E-3</v>
      </c>
      <c r="AN158" s="392">
        <f t="shared" si="71"/>
        <v>2.2333333333333337E-3</v>
      </c>
      <c r="AO158" s="392">
        <f t="shared" si="71"/>
        <v>2.2166666666666671E-3</v>
      </c>
      <c r="AP158" s="392">
        <f t="shared" si="71"/>
        <v>2.2000000000000006E-3</v>
      </c>
      <c r="AQ158" s="392">
        <f t="shared" si="71"/>
        <v>2.183333333333334E-3</v>
      </c>
      <c r="AR158" s="392">
        <f t="shared" si="71"/>
        <v>2.1666666666666674E-3</v>
      </c>
      <c r="AS158" s="392">
        <f t="shared" si="71"/>
        <v>2.1500000000000009E-3</v>
      </c>
      <c r="AT158" s="392">
        <f t="shared" si="71"/>
        <v>2.1333333333333343E-3</v>
      </c>
      <c r="AU158" s="392">
        <f t="shared" si="71"/>
        <v>2.1166666666666677E-3</v>
      </c>
      <c r="AV158" s="407">
        <f>AV157-(AV157-AV160)*0.5</f>
        <v>2.0999999999999999E-3</v>
      </c>
    </row>
    <row r="159" spans="33:50">
      <c r="AH159" s="372">
        <f>(AV159-AJ159)/12</f>
        <v>-2.6666666666666663E-5</v>
      </c>
      <c r="AI159" s="376" t="s">
        <v>2</v>
      </c>
      <c r="AJ159" s="392">
        <f>$AV$157</f>
        <v>2.3E-3</v>
      </c>
      <c r="AK159" s="392">
        <v>2.2733333333333334E-3</v>
      </c>
      <c r="AL159" s="392">
        <f t="shared" ref="AL159:AU159" si="72">++AK159+$AH$159</f>
        <v>2.2466666666666668E-3</v>
      </c>
      <c r="AM159" s="392">
        <f t="shared" si="72"/>
        <v>2.2200000000000002E-3</v>
      </c>
      <c r="AN159" s="392">
        <f t="shared" si="72"/>
        <v>2.1933333333333336E-3</v>
      </c>
      <c r="AO159" s="392">
        <f t="shared" si="72"/>
        <v>2.166666666666667E-3</v>
      </c>
      <c r="AP159" s="392">
        <f t="shared" si="72"/>
        <v>2.1400000000000004E-3</v>
      </c>
      <c r="AQ159" s="392">
        <f t="shared" si="72"/>
        <v>2.1133333333333338E-3</v>
      </c>
      <c r="AR159" s="392">
        <f t="shared" si="72"/>
        <v>2.0866666666666672E-3</v>
      </c>
      <c r="AS159" s="392">
        <f t="shared" si="72"/>
        <v>2.0600000000000006E-3</v>
      </c>
      <c r="AT159" s="392">
        <f t="shared" si="72"/>
        <v>2.033333333333334E-3</v>
      </c>
      <c r="AU159" s="392">
        <f t="shared" si="72"/>
        <v>2.0066666666666674E-3</v>
      </c>
      <c r="AV159" s="408">
        <f>AV157-(AV157-AV160)*0.8</f>
        <v>1.98E-3</v>
      </c>
    </row>
    <row r="160" spans="33:50">
      <c r="AH160" s="372">
        <f>(AV160-AJ160)/12</f>
        <v>-3.3333333333333328E-5</v>
      </c>
      <c r="AI160" s="373" t="s">
        <v>2</v>
      </c>
      <c r="AJ160" s="392">
        <f>$AV$157</f>
        <v>2.3E-3</v>
      </c>
      <c r="AK160" s="392">
        <v>2.2666666666666668E-3</v>
      </c>
      <c r="AL160" s="392">
        <f t="shared" ref="AL160:AU160" si="73">++AK160+$AH$160</f>
        <v>2.2333333333333337E-3</v>
      </c>
      <c r="AM160" s="392">
        <f t="shared" si="73"/>
        <v>2.2000000000000006E-3</v>
      </c>
      <c r="AN160" s="392">
        <f t="shared" si="73"/>
        <v>2.1666666666666674E-3</v>
      </c>
      <c r="AO160" s="392">
        <f t="shared" si="73"/>
        <v>2.1333333333333343E-3</v>
      </c>
      <c r="AP160" s="392">
        <f t="shared" si="73"/>
        <v>2.1000000000000012E-3</v>
      </c>
      <c r="AQ160" s="392">
        <f t="shared" si="73"/>
        <v>2.066666666666668E-3</v>
      </c>
      <c r="AR160" s="392">
        <f t="shared" si="73"/>
        <v>2.0333333333333349E-3</v>
      </c>
      <c r="AS160" s="392">
        <f t="shared" si="73"/>
        <v>2.0000000000000018E-3</v>
      </c>
      <c r="AT160" s="392">
        <f t="shared" si="73"/>
        <v>1.9666666666666686E-3</v>
      </c>
      <c r="AU160" s="392">
        <f t="shared" si="73"/>
        <v>1.9333333333333353E-3</v>
      </c>
      <c r="AV160" s="409">
        <v>1.9E-3</v>
      </c>
    </row>
    <row r="161" spans="33:50">
      <c r="AH161" s="353" t="s">
        <v>4</v>
      </c>
      <c r="AI161" s="354"/>
      <c r="AJ161" s="361"/>
      <c r="AK161" s="361">
        <f>AK153/(AK162/1000)</f>
        <v>1.7721569717782438E-3</v>
      </c>
      <c r="AL161" s="361">
        <f>AL153/(AL162/1000)</f>
        <v>1.7123435742038521E-3</v>
      </c>
      <c r="AM161" s="361">
        <f>AM153/(AM162/1000)</f>
        <v>1.9093408066388584E-3</v>
      </c>
      <c r="AN161" s="361">
        <f>AN153/(AN162/1000)</f>
        <v>1.964027563192063E-3</v>
      </c>
      <c r="AO161" s="361">
        <f t="shared" ref="AO161:AV161" si="74">AO153/(AO162/1000)</f>
        <v>1.7657428439307964E-3</v>
      </c>
      <c r="AP161" s="361" t="e">
        <f t="shared" si="74"/>
        <v>#DIV/0!</v>
      </c>
      <c r="AQ161" s="361" t="e">
        <f t="shared" si="74"/>
        <v>#DIV/0!</v>
      </c>
      <c r="AR161" s="361" t="e">
        <f t="shared" si="74"/>
        <v>#DIV/0!</v>
      </c>
      <c r="AS161" s="361" t="e">
        <f t="shared" si="74"/>
        <v>#DIV/0!</v>
      </c>
      <c r="AT161" s="361" t="e">
        <f t="shared" si="74"/>
        <v>#DIV/0!</v>
      </c>
      <c r="AU161" s="361" t="e">
        <f t="shared" si="74"/>
        <v>#DIV/0!</v>
      </c>
      <c r="AV161" s="362" t="e">
        <f t="shared" si="74"/>
        <v>#DIV/0!</v>
      </c>
    </row>
    <row r="162" spans="33:50">
      <c r="AH162" s="353" t="s">
        <v>145</v>
      </c>
      <c r="AI162" s="354"/>
      <c r="AJ162" s="368"/>
      <c r="AK162" s="478">
        <v>1596924</v>
      </c>
      <c r="AL162" s="475">
        <v>1635185.86</v>
      </c>
      <c r="AM162" s="475">
        <v>1419338.02</v>
      </c>
      <c r="AN162" s="475">
        <v>2051906.03</v>
      </c>
      <c r="AO162" s="475">
        <v>1636772.88</v>
      </c>
      <c r="AP162" s="475"/>
      <c r="AQ162" s="475"/>
      <c r="AR162" s="475"/>
      <c r="AS162" s="475"/>
      <c r="AT162" s="475"/>
      <c r="AU162" s="475"/>
      <c r="AV162" s="477"/>
      <c r="AX162" s="479">
        <f>SUM(AK162:AM162)</f>
        <v>4651447.8800000008</v>
      </c>
    </row>
    <row r="163" spans="33:50">
      <c r="AH163" s="353" t="s">
        <v>5</v>
      </c>
      <c r="AI163" s="354"/>
      <c r="AK163" s="361">
        <v>15.83529084665278</v>
      </c>
      <c r="AL163" s="361">
        <f t="shared" ref="AL163:AV163" si="75">(AL157-AL161)/(AL157-AL160)</f>
        <v>8.8148463869422713</v>
      </c>
      <c r="AM163" s="361">
        <f t="shared" si="75"/>
        <v>3.9065919336114394</v>
      </c>
      <c r="AN163" s="361">
        <f t="shared" si="75"/>
        <v>2.5197932760595423</v>
      </c>
      <c r="AO163" s="361">
        <f t="shared" si="75"/>
        <v>3.2055429364152408</v>
      </c>
      <c r="AP163" s="361" t="e">
        <f t="shared" si="75"/>
        <v>#DIV/0!</v>
      </c>
      <c r="AQ163" s="361" t="e">
        <f t="shared" si="75"/>
        <v>#DIV/0!</v>
      </c>
      <c r="AR163" s="361" t="e">
        <f t="shared" si="75"/>
        <v>#DIV/0!</v>
      </c>
      <c r="AS163" s="361" t="e">
        <f t="shared" si="75"/>
        <v>#DIV/0!</v>
      </c>
      <c r="AT163" s="361" t="e">
        <f t="shared" si="75"/>
        <v>#DIV/0!</v>
      </c>
      <c r="AU163" s="361" t="e">
        <f t="shared" si="75"/>
        <v>#DIV/0!</v>
      </c>
      <c r="AV163" s="362" t="e">
        <f t="shared" si="75"/>
        <v>#DIV/0!</v>
      </c>
      <c r="AX163" s="480">
        <f>SUM(AK153:AM153)</f>
        <v>8.34</v>
      </c>
    </row>
    <row r="164" spans="33:50">
      <c r="AH164" s="390" t="s">
        <v>6</v>
      </c>
      <c r="AI164" s="354"/>
      <c r="AK164" s="363">
        <f>IF(OR(AK163&gt;=100%),100%,IF(OR(AK163&lt;=0%),0%,AVERAGE(AK163)))</f>
        <v>1</v>
      </c>
      <c r="AL164" s="363">
        <f>IF(OR(AL163&gt;=100%),100%,IF(OR(AL163&lt;=0%),0%,AVERAGE(AL163)))</f>
        <v>1</v>
      </c>
      <c r="AM164" s="363">
        <f t="shared" ref="AM164:AV164" si="76">IF(OR(AM163&gt;=100%),100%,IF(OR(AM163&lt;=0%),0%,AVERAGE(AM163)))</f>
        <v>1</v>
      </c>
      <c r="AN164" s="363">
        <f t="shared" si="76"/>
        <v>1</v>
      </c>
      <c r="AO164" s="363">
        <f t="shared" si="76"/>
        <v>1</v>
      </c>
      <c r="AP164" s="363" t="e">
        <f t="shared" si="76"/>
        <v>#DIV/0!</v>
      </c>
      <c r="AQ164" s="363" t="e">
        <f t="shared" si="76"/>
        <v>#DIV/0!</v>
      </c>
      <c r="AR164" s="363" t="e">
        <f t="shared" si="76"/>
        <v>#DIV/0!</v>
      </c>
      <c r="AS164" s="363" t="e">
        <f t="shared" si="76"/>
        <v>#DIV/0!</v>
      </c>
      <c r="AT164" s="363" t="e">
        <f t="shared" si="76"/>
        <v>#DIV/0!</v>
      </c>
      <c r="AU164" s="363" t="e">
        <f t="shared" si="76"/>
        <v>#DIV/0!</v>
      </c>
      <c r="AV164" s="364" t="e">
        <f t="shared" si="76"/>
        <v>#DIV/0!</v>
      </c>
      <c r="AX164" s="464">
        <f>AX163/(AX162/1000)</f>
        <v>1.7929901001062058E-3</v>
      </c>
    </row>
    <row r="165" spans="33:50">
      <c r="AG165" s="294">
        <v>15</v>
      </c>
      <c r="AH165" s="717" t="s">
        <v>7</v>
      </c>
      <c r="AI165" s="718"/>
      <c r="AK165" s="451">
        <f>AK164*0.15</f>
        <v>0.15</v>
      </c>
      <c r="AL165" s="451">
        <f t="shared" ref="AL165:AU165" si="77">AL164*0.15</f>
        <v>0.15</v>
      </c>
      <c r="AM165" s="451">
        <f t="shared" si="77"/>
        <v>0.15</v>
      </c>
      <c r="AN165" s="451">
        <f t="shared" si="77"/>
        <v>0.15</v>
      </c>
      <c r="AO165" s="451">
        <f t="shared" si="77"/>
        <v>0.15</v>
      </c>
      <c r="AP165" s="451" t="e">
        <f t="shared" si="77"/>
        <v>#DIV/0!</v>
      </c>
      <c r="AQ165" s="451" t="e">
        <f t="shared" si="77"/>
        <v>#DIV/0!</v>
      </c>
      <c r="AR165" s="451" t="e">
        <f t="shared" si="77"/>
        <v>#DIV/0!</v>
      </c>
      <c r="AS165" s="451" t="e">
        <f t="shared" si="77"/>
        <v>#DIV/0!</v>
      </c>
      <c r="AT165" s="451" t="e">
        <f t="shared" si="77"/>
        <v>#DIV/0!</v>
      </c>
      <c r="AU165" s="451" t="e">
        <f t="shared" si="77"/>
        <v>#DIV/0!</v>
      </c>
      <c r="AV165" s="452" t="e">
        <f t="shared" ref="AV165" si="78">AV164*0.15</f>
        <v>#DIV/0!</v>
      </c>
    </row>
    <row r="166" spans="33:50">
      <c r="AH166" s="405"/>
      <c r="AL166" s="368"/>
      <c r="AV166" s="406"/>
    </row>
    <row r="167" spans="33:50">
      <c r="AH167" s="412"/>
      <c r="AI167" s="413"/>
      <c r="AK167" s="363"/>
      <c r="AL167" s="363"/>
      <c r="AM167" s="363"/>
      <c r="AN167" s="363"/>
      <c r="AO167" s="363"/>
      <c r="AP167" s="363"/>
      <c r="AQ167" s="363"/>
      <c r="AR167" s="363"/>
      <c r="AS167" s="363"/>
      <c r="AT167" s="363"/>
      <c r="AU167" s="363"/>
      <c r="AV167" s="364"/>
    </row>
    <row r="168" spans="33:50">
      <c r="AH168" s="341" t="s">
        <v>107</v>
      </c>
      <c r="AJ168" s="342">
        <v>45352</v>
      </c>
      <c r="AK168" s="342">
        <v>45383</v>
      </c>
      <c r="AL168" s="342">
        <v>45413</v>
      </c>
      <c r="AM168" s="342">
        <v>45444</v>
      </c>
      <c r="AN168" s="342">
        <v>45474</v>
      </c>
      <c r="AO168" s="342">
        <v>45505</v>
      </c>
      <c r="AP168" s="342">
        <v>45536</v>
      </c>
      <c r="AQ168" s="342">
        <v>45566</v>
      </c>
      <c r="AR168" s="342">
        <v>45597</v>
      </c>
      <c r="AS168" s="342">
        <v>45627</v>
      </c>
      <c r="AT168" s="342">
        <v>45658</v>
      </c>
      <c r="AU168" s="342">
        <v>45689</v>
      </c>
      <c r="AV168" s="343">
        <v>45717</v>
      </c>
    </row>
    <row r="169" spans="33:50">
      <c r="AH169" s="344">
        <f>(AV169-AJ169)/12</f>
        <v>3.3333333333329662E-5</v>
      </c>
      <c r="AI169" s="373" t="s">
        <v>2</v>
      </c>
      <c r="AJ169" s="392">
        <f>$AV$172</f>
        <v>0.999</v>
      </c>
      <c r="AK169" s="394">
        <v>0.99903333333333333</v>
      </c>
      <c r="AL169" s="394">
        <f t="shared" ref="AL169:AU169" si="79">++AK169+$AH$169</f>
        <v>0.99906666666666666</v>
      </c>
      <c r="AM169" s="394">
        <f t="shared" si="79"/>
        <v>0.99909999999999999</v>
      </c>
      <c r="AN169" s="394">
        <f t="shared" si="79"/>
        <v>0.99913333333333332</v>
      </c>
      <c r="AO169" s="394">
        <f t="shared" si="79"/>
        <v>0.99916666666666665</v>
      </c>
      <c r="AP169" s="394">
        <f t="shared" si="79"/>
        <v>0.99919999999999998</v>
      </c>
      <c r="AQ169" s="394">
        <f t="shared" si="79"/>
        <v>0.99923333333333331</v>
      </c>
      <c r="AR169" s="394">
        <f t="shared" si="79"/>
        <v>0.99926666666666664</v>
      </c>
      <c r="AS169" s="394">
        <f t="shared" si="79"/>
        <v>0.99929999999999997</v>
      </c>
      <c r="AT169" s="394">
        <f t="shared" si="79"/>
        <v>0.9993333333333333</v>
      </c>
      <c r="AU169" s="394">
        <f t="shared" si="79"/>
        <v>0.99936666666666663</v>
      </c>
      <c r="AV169" s="393">
        <v>0.99939999999999996</v>
      </c>
    </row>
    <row r="170" spans="33:50">
      <c r="AH170" s="344">
        <f>(AV170-AJ170)/12</f>
        <v>2.6666666666665579E-5</v>
      </c>
      <c r="AI170" s="376" t="s">
        <v>2</v>
      </c>
      <c r="AJ170" s="392">
        <f>$AV$172</f>
        <v>0.999</v>
      </c>
      <c r="AK170" s="394">
        <v>0.99902666666666662</v>
      </c>
      <c r="AL170" s="394">
        <f t="shared" ref="AL170:AU170" si="80">++AK170+$AH$170</f>
        <v>0.99905333333333324</v>
      </c>
      <c r="AM170" s="394">
        <f t="shared" si="80"/>
        <v>0.99907999999999986</v>
      </c>
      <c r="AN170" s="394">
        <f t="shared" si="80"/>
        <v>0.99910666666666648</v>
      </c>
      <c r="AO170" s="394">
        <f t="shared" si="80"/>
        <v>0.9991333333333331</v>
      </c>
      <c r="AP170" s="394">
        <f t="shared" si="80"/>
        <v>0.99915999999999972</v>
      </c>
      <c r="AQ170" s="394">
        <f t="shared" si="80"/>
        <v>0.99918666666666633</v>
      </c>
      <c r="AR170" s="394">
        <f t="shared" si="80"/>
        <v>0.99921333333333295</v>
      </c>
      <c r="AS170" s="394">
        <f t="shared" si="80"/>
        <v>0.99923999999999957</v>
      </c>
      <c r="AT170" s="394">
        <f t="shared" si="80"/>
        <v>0.99926666666666619</v>
      </c>
      <c r="AU170" s="394">
        <f t="shared" si="80"/>
        <v>0.99929333333333281</v>
      </c>
      <c r="AV170" s="395">
        <f>AV169-(AV169-AV172)*0.2</f>
        <v>0.99931999999999999</v>
      </c>
    </row>
    <row r="171" spans="33:50">
      <c r="AH171" s="344">
        <f>(AV171-AJ171)/12</f>
        <v>1.6666666666664831E-5</v>
      </c>
      <c r="AI171" s="378" t="s">
        <v>2</v>
      </c>
      <c r="AJ171" s="392">
        <f>$AV$172</f>
        <v>0.999</v>
      </c>
      <c r="AK171" s="394">
        <v>0.99901666666666666</v>
      </c>
      <c r="AL171" s="394">
        <f t="shared" ref="AL171:AU171" si="81">++AK171+$AH$171</f>
        <v>0.99903333333333333</v>
      </c>
      <c r="AM171" s="394">
        <f t="shared" si="81"/>
        <v>0.99904999999999999</v>
      </c>
      <c r="AN171" s="394">
        <f t="shared" si="81"/>
        <v>0.99906666666666666</v>
      </c>
      <c r="AO171" s="394">
        <f t="shared" si="81"/>
        <v>0.99908333333333332</v>
      </c>
      <c r="AP171" s="394">
        <f t="shared" si="81"/>
        <v>0.99909999999999999</v>
      </c>
      <c r="AQ171" s="394">
        <f t="shared" si="81"/>
        <v>0.99911666666666665</v>
      </c>
      <c r="AR171" s="394">
        <f t="shared" si="81"/>
        <v>0.99913333333333332</v>
      </c>
      <c r="AS171" s="394">
        <f t="shared" si="81"/>
        <v>0.99914999999999998</v>
      </c>
      <c r="AT171" s="394">
        <f t="shared" si="81"/>
        <v>0.99916666666666665</v>
      </c>
      <c r="AU171" s="394">
        <f t="shared" si="81"/>
        <v>0.99918333333333331</v>
      </c>
      <c r="AV171" s="396">
        <f>AV169-(AV169-AV172)*0.5</f>
        <v>0.99919999999999998</v>
      </c>
    </row>
    <row r="172" spans="33:50">
      <c r="AH172" s="344">
        <f>(AV172-AJ172)/12</f>
        <v>0</v>
      </c>
      <c r="AI172" s="355"/>
      <c r="AJ172" s="392">
        <f>$AV$172</f>
        <v>0.999</v>
      </c>
      <c r="AK172" s="392">
        <v>0.999</v>
      </c>
      <c r="AL172" s="392">
        <f t="shared" ref="AL172:AU172" si="82">$AV$172</f>
        <v>0.999</v>
      </c>
      <c r="AM172" s="392">
        <f t="shared" si="82"/>
        <v>0.999</v>
      </c>
      <c r="AN172" s="392">
        <f t="shared" si="82"/>
        <v>0.999</v>
      </c>
      <c r="AO172" s="392">
        <f t="shared" si="82"/>
        <v>0.999</v>
      </c>
      <c r="AP172" s="392">
        <f t="shared" si="82"/>
        <v>0.999</v>
      </c>
      <c r="AQ172" s="392">
        <f t="shared" si="82"/>
        <v>0.999</v>
      </c>
      <c r="AR172" s="392">
        <f t="shared" si="82"/>
        <v>0.999</v>
      </c>
      <c r="AS172" s="392">
        <f t="shared" si="82"/>
        <v>0.999</v>
      </c>
      <c r="AT172" s="392">
        <f t="shared" si="82"/>
        <v>0.999</v>
      </c>
      <c r="AU172" s="392">
        <f t="shared" si="82"/>
        <v>0.999</v>
      </c>
      <c r="AV172" s="397">
        <v>0.999</v>
      </c>
    </row>
    <row r="173" spans="33:50">
      <c r="AH173" s="353" t="s">
        <v>4</v>
      </c>
      <c r="AI173" s="354"/>
      <c r="AJ173" s="398"/>
      <c r="AK173" s="361">
        <v>0.99750623441396513</v>
      </c>
      <c r="AL173" s="361">
        <f t="shared" ref="AL173:AV173" si="83">AL175/AL174</f>
        <v>0.99962063732928674</v>
      </c>
      <c r="AM173" s="361">
        <f t="shared" si="83"/>
        <v>0.9996014348345954</v>
      </c>
      <c r="AN173" s="361">
        <f t="shared" si="83"/>
        <v>0.99907521578298397</v>
      </c>
      <c r="AO173" s="361">
        <f t="shared" si="83"/>
        <v>0.99849737039819686</v>
      </c>
      <c r="AP173" s="361" t="e">
        <f t="shared" si="83"/>
        <v>#DIV/0!</v>
      </c>
      <c r="AQ173" s="361" t="e">
        <f t="shared" si="83"/>
        <v>#DIV/0!</v>
      </c>
      <c r="AR173" s="361" t="e">
        <f t="shared" si="83"/>
        <v>#DIV/0!</v>
      </c>
      <c r="AS173" s="361" t="e">
        <f t="shared" si="83"/>
        <v>#DIV/0!</v>
      </c>
      <c r="AT173" s="361" t="e">
        <f t="shared" si="83"/>
        <v>#DIV/0!</v>
      </c>
      <c r="AU173" s="361" t="e">
        <f t="shared" si="83"/>
        <v>#DIV/0!</v>
      </c>
      <c r="AV173" s="362" t="e">
        <f t="shared" si="83"/>
        <v>#DIV/0!</v>
      </c>
    </row>
    <row r="174" spans="33:50">
      <c r="AH174" s="715" t="s">
        <v>21</v>
      </c>
      <c r="AI174" s="716"/>
      <c r="AJ174" s="399"/>
      <c r="AK174" s="414">
        <v>2807</v>
      </c>
      <c r="AL174" s="481">
        <v>2636</v>
      </c>
      <c r="AM174" s="482">
        <v>2509</v>
      </c>
      <c r="AN174" s="457">
        <v>3244</v>
      </c>
      <c r="AO174" s="483">
        <v>2662</v>
      </c>
      <c r="AP174" s="337"/>
      <c r="AQ174" s="337"/>
      <c r="AR174" s="337"/>
      <c r="AS174" s="386"/>
      <c r="AT174" s="337"/>
      <c r="AU174" s="386"/>
      <c r="AV174" s="484"/>
      <c r="AX174" s="426">
        <f>SUM(AK174:AM174)</f>
        <v>7952</v>
      </c>
    </row>
    <row r="175" spans="33:50">
      <c r="AH175" s="715" t="s">
        <v>22</v>
      </c>
      <c r="AI175" s="716"/>
      <c r="AJ175" s="399"/>
      <c r="AK175" s="414">
        <v>2800</v>
      </c>
      <c r="AL175" s="481">
        <v>2635</v>
      </c>
      <c r="AM175" s="482">
        <v>2508</v>
      </c>
      <c r="AN175" s="457">
        <v>3241</v>
      </c>
      <c r="AO175" s="483">
        <v>2658</v>
      </c>
      <c r="AP175" s="462"/>
      <c r="AQ175" s="462"/>
      <c r="AR175" s="337"/>
      <c r="AS175" s="386"/>
      <c r="AT175" s="386"/>
      <c r="AU175" s="386"/>
      <c r="AV175" s="387"/>
      <c r="AX175" s="426">
        <f>SUM(AK175:AM175)</f>
        <v>7943</v>
      </c>
    </row>
    <row r="176" spans="33:50">
      <c r="AH176" s="390" t="s">
        <v>5</v>
      </c>
      <c r="AI176" s="354"/>
      <c r="AK176" s="361">
        <f>(AK173-AK172)/(AK169-AK172)</f>
        <v>-44.812967581050962</v>
      </c>
      <c r="AL176" s="361">
        <f>(AL173-AL172)/(AL169-AL172)</f>
        <v>9.3095599393021846</v>
      </c>
      <c r="AM176" s="361">
        <f>(AM173-AM172)/(AM169-AM172)</f>
        <v>6.0143483459547085</v>
      </c>
      <c r="AN176" s="361">
        <f>(AN173-AN172)/(AN169-AN172)</f>
        <v>0.56411837237985818</v>
      </c>
      <c r="AO176" s="361">
        <f t="shared" ref="AO176:AV176" si="84">(AO173-AO172)/(AO169-AO172)</f>
        <v>-3.0157776108191694</v>
      </c>
      <c r="AP176" s="361" t="e">
        <f t="shared" si="84"/>
        <v>#DIV/0!</v>
      </c>
      <c r="AQ176" s="361" t="e">
        <f t="shared" si="84"/>
        <v>#DIV/0!</v>
      </c>
      <c r="AR176" s="361" t="e">
        <f t="shared" si="84"/>
        <v>#DIV/0!</v>
      </c>
      <c r="AS176" s="361" t="e">
        <f t="shared" si="84"/>
        <v>#DIV/0!</v>
      </c>
      <c r="AT176" s="361" t="e">
        <f t="shared" si="84"/>
        <v>#DIV/0!</v>
      </c>
      <c r="AU176" s="361" t="e">
        <f t="shared" si="84"/>
        <v>#DIV/0!</v>
      </c>
      <c r="AV176" s="362" t="e">
        <f t="shared" si="84"/>
        <v>#DIV/0!</v>
      </c>
      <c r="AX176" s="464">
        <f>AX175/AX174</f>
        <v>0.99886820925553321</v>
      </c>
    </row>
    <row r="177" spans="33:50">
      <c r="AH177" s="390" t="s">
        <v>6</v>
      </c>
      <c r="AI177" s="354"/>
      <c r="AK177" s="363">
        <v>1</v>
      </c>
      <c r="AL177" s="363">
        <f t="shared" ref="AL177:AV177" si="85">IF(OR(AL176&gt;=100%),100%,IF(OR(AL176&lt;=0%),0%,AVERAGE(AL176)))</f>
        <v>1</v>
      </c>
      <c r="AM177" s="363">
        <f t="shared" si="85"/>
        <v>1</v>
      </c>
      <c r="AN177" s="363">
        <f t="shared" si="85"/>
        <v>0.56411837237985818</v>
      </c>
      <c r="AO177" s="363">
        <f t="shared" si="85"/>
        <v>0</v>
      </c>
      <c r="AP177" s="363" t="e">
        <f t="shared" si="85"/>
        <v>#DIV/0!</v>
      </c>
      <c r="AQ177" s="363" t="e">
        <f t="shared" si="85"/>
        <v>#DIV/0!</v>
      </c>
      <c r="AR177" s="363" t="e">
        <f t="shared" si="85"/>
        <v>#DIV/0!</v>
      </c>
      <c r="AS177" s="363" t="e">
        <f t="shared" si="85"/>
        <v>#DIV/0!</v>
      </c>
      <c r="AT177" s="363" t="e">
        <f t="shared" si="85"/>
        <v>#DIV/0!</v>
      </c>
      <c r="AU177" s="363" t="e">
        <f t="shared" si="85"/>
        <v>#DIV/0!</v>
      </c>
      <c r="AV177" s="364" t="e">
        <f t="shared" si="85"/>
        <v>#DIV/0!</v>
      </c>
    </row>
    <row r="178" spans="33:50">
      <c r="AG178" s="294">
        <v>5</v>
      </c>
      <c r="AH178" s="717" t="s">
        <v>7</v>
      </c>
      <c r="AI178" s="718"/>
      <c r="AK178" s="451">
        <f t="shared" ref="AK178:AU178" si="86">AK177*0.05</f>
        <v>0.05</v>
      </c>
      <c r="AL178" s="451">
        <f t="shared" si="86"/>
        <v>0.05</v>
      </c>
      <c r="AM178" s="451">
        <f t="shared" si="86"/>
        <v>0.05</v>
      </c>
      <c r="AN178" s="451">
        <f t="shared" si="86"/>
        <v>2.8205918618992909E-2</v>
      </c>
      <c r="AO178" s="636">
        <f t="shared" si="86"/>
        <v>0</v>
      </c>
      <c r="AP178" s="451" t="e">
        <f t="shared" si="86"/>
        <v>#DIV/0!</v>
      </c>
      <c r="AQ178" s="451" t="e">
        <f t="shared" si="86"/>
        <v>#DIV/0!</v>
      </c>
      <c r="AR178" s="451" t="e">
        <f t="shared" si="86"/>
        <v>#DIV/0!</v>
      </c>
      <c r="AS178" s="451" t="e">
        <f t="shared" si="86"/>
        <v>#DIV/0!</v>
      </c>
      <c r="AT178" s="451" t="e">
        <f t="shared" si="86"/>
        <v>#DIV/0!</v>
      </c>
      <c r="AU178" s="451" t="e">
        <f t="shared" si="86"/>
        <v>#DIV/0!</v>
      </c>
      <c r="AV178" s="452" t="e">
        <f t="shared" ref="AV178" si="87">AV177*0.05</f>
        <v>#DIV/0!</v>
      </c>
    </row>
    <row r="179" spans="33:50">
      <c r="AH179" s="412"/>
      <c r="AI179" s="413"/>
      <c r="AK179" s="363"/>
      <c r="AL179" s="363"/>
      <c r="AM179" s="363"/>
      <c r="AN179" s="363"/>
      <c r="AO179" s="363"/>
      <c r="AP179" s="363"/>
      <c r="AQ179" s="363"/>
      <c r="AR179" s="363"/>
      <c r="AS179" s="363"/>
      <c r="AT179" s="363"/>
      <c r="AU179" s="363"/>
      <c r="AV179" s="364"/>
    </row>
    <row r="180" spans="33:50">
      <c r="AH180" s="412"/>
      <c r="AI180" s="413"/>
      <c r="AK180" s="363"/>
      <c r="AL180" s="363"/>
      <c r="AM180" s="363"/>
      <c r="AN180" s="363"/>
      <c r="AO180" s="363"/>
      <c r="AP180" s="363"/>
      <c r="AQ180" s="363"/>
      <c r="AR180" s="363"/>
      <c r="AS180" s="363"/>
      <c r="AT180" s="363"/>
      <c r="AU180" s="363"/>
      <c r="AV180" s="364"/>
    </row>
    <row r="181" spans="33:50">
      <c r="AH181" s="341" t="s">
        <v>108</v>
      </c>
      <c r="AJ181" s="342">
        <v>45352</v>
      </c>
      <c r="AK181" s="342">
        <v>45383</v>
      </c>
      <c r="AL181" s="342">
        <v>45413</v>
      </c>
      <c r="AM181" s="342">
        <v>45444</v>
      </c>
      <c r="AN181" s="342">
        <v>45474</v>
      </c>
      <c r="AO181" s="342">
        <v>45505</v>
      </c>
      <c r="AP181" s="342">
        <v>45536</v>
      </c>
      <c r="AQ181" s="342">
        <v>45566</v>
      </c>
      <c r="AR181" s="342">
        <v>45597</v>
      </c>
      <c r="AS181" s="342">
        <v>45627</v>
      </c>
      <c r="AT181" s="342">
        <v>45658</v>
      </c>
      <c r="AU181" s="342">
        <v>45689</v>
      </c>
      <c r="AV181" s="343">
        <v>45717</v>
      </c>
    </row>
    <row r="182" spans="33:50">
      <c r="AH182" s="372">
        <f>(AV182-AJ182)/12</f>
        <v>0</v>
      </c>
      <c r="AI182" s="355"/>
      <c r="AJ182" s="374">
        <f>$AV$182</f>
        <v>3</v>
      </c>
      <c r="AK182" s="374">
        <v>3</v>
      </c>
      <c r="AL182" s="374">
        <f t="shared" ref="AL182:AU182" si="88">$AV$182</f>
        <v>3</v>
      </c>
      <c r="AM182" s="374">
        <f t="shared" si="88"/>
        <v>3</v>
      </c>
      <c r="AN182" s="374">
        <f t="shared" si="88"/>
        <v>3</v>
      </c>
      <c r="AO182" s="374">
        <f t="shared" si="88"/>
        <v>3</v>
      </c>
      <c r="AP182" s="374">
        <f t="shared" si="88"/>
        <v>3</v>
      </c>
      <c r="AQ182" s="374">
        <f t="shared" si="88"/>
        <v>3</v>
      </c>
      <c r="AR182" s="374">
        <f t="shared" si="88"/>
        <v>3</v>
      </c>
      <c r="AS182" s="374">
        <f t="shared" si="88"/>
        <v>3</v>
      </c>
      <c r="AT182" s="374">
        <f t="shared" si="88"/>
        <v>3</v>
      </c>
      <c r="AU182" s="374">
        <f t="shared" si="88"/>
        <v>3</v>
      </c>
      <c r="AV182" s="384">
        <v>3</v>
      </c>
    </row>
    <row r="183" spans="33:50">
      <c r="AH183" s="372">
        <f>(AV183-AJ183)/12</f>
        <v>1.2499999999999992E-2</v>
      </c>
      <c r="AI183" s="378" t="s">
        <v>2</v>
      </c>
      <c r="AJ183" s="374">
        <f>$AV$182</f>
        <v>3</v>
      </c>
      <c r="AK183" s="374">
        <v>3.0125000000000002</v>
      </c>
      <c r="AL183" s="374">
        <f t="shared" ref="AL183:AU183" si="89">++AK183+$AH$183</f>
        <v>3.0250000000000004</v>
      </c>
      <c r="AM183" s="374">
        <f t="shared" si="89"/>
        <v>3.0375000000000005</v>
      </c>
      <c r="AN183" s="374">
        <f t="shared" si="89"/>
        <v>3.0500000000000007</v>
      </c>
      <c r="AO183" s="374">
        <f t="shared" si="89"/>
        <v>3.0625000000000009</v>
      </c>
      <c r="AP183" s="374">
        <f t="shared" si="89"/>
        <v>3.0750000000000011</v>
      </c>
      <c r="AQ183" s="374">
        <f t="shared" si="89"/>
        <v>3.0875000000000012</v>
      </c>
      <c r="AR183" s="374">
        <f t="shared" si="89"/>
        <v>3.1000000000000014</v>
      </c>
      <c r="AS183" s="374">
        <f t="shared" si="89"/>
        <v>3.1125000000000016</v>
      </c>
      <c r="AT183" s="374">
        <f t="shared" si="89"/>
        <v>3.1250000000000018</v>
      </c>
      <c r="AU183" s="374">
        <f t="shared" si="89"/>
        <v>3.137500000000002</v>
      </c>
      <c r="AV183" s="379">
        <f>AV182-(AV182-AV185)*0.5</f>
        <v>3.15</v>
      </c>
    </row>
    <row r="184" spans="33:50">
      <c r="AH184" s="372">
        <f>(AV184-AJ184)/12</f>
        <v>1.999999999999998E-2</v>
      </c>
      <c r="AI184" s="376" t="s">
        <v>2</v>
      </c>
      <c r="AJ184" s="374">
        <f>$AV$182</f>
        <v>3</v>
      </c>
      <c r="AK184" s="374">
        <v>3.02</v>
      </c>
      <c r="AL184" s="374">
        <f t="shared" ref="AL184:AU184" si="90">++AK184+$AH$184</f>
        <v>3.04</v>
      </c>
      <c r="AM184" s="374">
        <f t="shared" si="90"/>
        <v>3.06</v>
      </c>
      <c r="AN184" s="374">
        <f t="shared" si="90"/>
        <v>3.08</v>
      </c>
      <c r="AO184" s="374">
        <f t="shared" si="90"/>
        <v>3.1</v>
      </c>
      <c r="AP184" s="374">
        <f t="shared" si="90"/>
        <v>3.12</v>
      </c>
      <c r="AQ184" s="374">
        <f t="shared" si="90"/>
        <v>3.14</v>
      </c>
      <c r="AR184" s="374">
        <f t="shared" si="90"/>
        <v>3.16</v>
      </c>
      <c r="AS184" s="374">
        <f t="shared" si="90"/>
        <v>3.18</v>
      </c>
      <c r="AT184" s="374">
        <f t="shared" si="90"/>
        <v>3.2</v>
      </c>
      <c r="AU184" s="374">
        <f t="shared" si="90"/>
        <v>3.22</v>
      </c>
      <c r="AV184" s="377">
        <f>AV182-(AV182-AV185)*0.8</f>
        <v>3.2399999999999998</v>
      </c>
    </row>
    <row r="185" spans="33:50">
      <c r="AH185" s="372">
        <f>(AV185-AJ185)/12</f>
        <v>2.4999999999999984E-2</v>
      </c>
      <c r="AI185" s="373" t="s">
        <v>2</v>
      </c>
      <c r="AJ185" s="374">
        <f>$AV$182</f>
        <v>3</v>
      </c>
      <c r="AK185" s="374">
        <v>3.0249999999999999</v>
      </c>
      <c r="AL185" s="374">
        <f t="shared" ref="AL185:AU185" si="91">++AK185+$AH$185</f>
        <v>3.05</v>
      </c>
      <c r="AM185" s="374">
        <f t="shared" si="91"/>
        <v>3.0749999999999997</v>
      </c>
      <c r="AN185" s="374">
        <f t="shared" si="91"/>
        <v>3.0999999999999996</v>
      </c>
      <c r="AO185" s="374">
        <f t="shared" si="91"/>
        <v>3.1249999999999996</v>
      </c>
      <c r="AP185" s="374">
        <f t="shared" si="91"/>
        <v>3.1499999999999995</v>
      </c>
      <c r="AQ185" s="374">
        <f t="shared" si="91"/>
        <v>3.1749999999999994</v>
      </c>
      <c r="AR185" s="374">
        <f t="shared" si="91"/>
        <v>3.1999999999999993</v>
      </c>
      <c r="AS185" s="374">
        <f t="shared" si="91"/>
        <v>3.2249999999999992</v>
      </c>
      <c r="AT185" s="374">
        <f t="shared" si="91"/>
        <v>3.2499999999999991</v>
      </c>
      <c r="AU185" s="374">
        <f t="shared" si="91"/>
        <v>3.274999999999999</v>
      </c>
      <c r="AV185" s="591">
        <v>3.3</v>
      </c>
    </row>
    <row r="186" spans="33:50">
      <c r="AH186" s="353" t="s">
        <v>4</v>
      </c>
      <c r="AI186" s="354"/>
      <c r="AJ186" s="383"/>
      <c r="AK186" s="383">
        <v>12.428712456410731</v>
      </c>
      <c r="AL186" s="383">
        <f t="shared" ref="AL186:AU186" si="92">AL188/AL187*1000000</f>
        <v>1.9447345340124347</v>
      </c>
      <c r="AM186" s="383">
        <f t="shared" si="92"/>
        <v>1.7484901787306661</v>
      </c>
      <c r="AN186" s="383">
        <f t="shared" si="92"/>
        <v>4.3587925563446586</v>
      </c>
      <c r="AO186" s="383">
        <f t="shared" si="92"/>
        <v>7.2548802672697885</v>
      </c>
      <c r="AP186" s="383" t="e">
        <f t="shared" si="92"/>
        <v>#DIV/0!</v>
      </c>
      <c r="AQ186" s="383" t="e">
        <f t="shared" si="92"/>
        <v>#DIV/0!</v>
      </c>
      <c r="AR186" s="383" t="e">
        <f t="shared" si="92"/>
        <v>#DIV/0!</v>
      </c>
      <c r="AS186" s="383" t="e">
        <f t="shared" si="92"/>
        <v>#DIV/0!</v>
      </c>
      <c r="AT186" s="383" t="e">
        <f t="shared" si="92"/>
        <v>#DIV/0!</v>
      </c>
      <c r="AU186" s="383" t="e">
        <f t="shared" si="92"/>
        <v>#DIV/0!</v>
      </c>
      <c r="AV186" s="384" t="e">
        <f>AV188/AV187*1000000</f>
        <v>#DIV/0!</v>
      </c>
    </row>
    <row r="187" spans="33:50">
      <c r="AH187" s="719" t="s">
        <v>24</v>
      </c>
      <c r="AI187" s="720"/>
      <c r="AJ187" s="383"/>
      <c r="AK187" s="416">
        <v>563212</v>
      </c>
      <c r="AL187" s="485">
        <v>514209</v>
      </c>
      <c r="AM187" s="486">
        <v>571922</v>
      </c>
      <c r="AN187" s="487">
        <v>688264</v>
      </c>
      <c r="AO187" s="488">
        <v>551353</v>
      </c>
      <c r="AP187" s="489"/>
      <c r="AQ187" s="489"/>
      <c r="AR187" s="337"/>
      <c r="AS187" s="490"/>
      <c r="AT187" s="490"/>
      <c r="AU187" s="489"/>
      <c r="AV187" s="491"/>
      <c r="AX187" s="426">
        <f>SUM(AK187:AM187)</f>
        <v>1649343</v>
      </c>
    </row>
    <row r="188" spans="33:50">
      <c r="AH188" s="160"/>
      <c r="AI188" s="161" t="s">
        <v>14</v>
      </c>
      <c r="AJ188" s="383"/>
      <c r="AK188" s="416">
        <v>7</v>
      </c>
      <c r="AL188" s="485">
        <v>1</v>
      </c>
      <c r="AM188" s="486">
        <v>1</v>
      </c>
      <c r="AN188" s="487">
        <v>3</v>
      </c>
      <c r="AO188" s="488">
        <v>4</v>
      </c>
      <c r="AP188" s="489"/>
      <c r="AQ188" s="489"/>
      <c r="AR188" s="337"/>
      <c r="AS188" s="490"/>
      <c r="AT188" s="490"/>
      <c r="AU188" s="489"/>
      <c r="AV188" s="491"/>
      <c r="AX188" s="426">
        <f>SUM(AK188:AM188)</f>
        <v>9</v>
      </c>
    </row>
    <row r="189" spans="33:50">
      <c r="AH189" s="353"/>
      <c r="AI189" s="354"/>
      <c r="AJ189" s="418"/>
      <c r="AK189" s="419"/>
      <c r="AL189" s="331"/>
      <c r="AM189" s="331"/>
      <c r="AN189" s="331"/>
      <c r="AO189" s="331"/>
      <c r="AP189" s="418"/>
      <c r="AQ189" s="331"/>
      <c r="AR189" s="331"/>
      <c r="AS189" s="331"/>
      <c r="AT189" s="331"/>
      <c r="AU189" s="331"/>
      <c r="AV189" s="360"/>
      <c r="AX189" s="463">
        <f>AX188/AX187*1000000</f>
        <v>5.4567182205278097</v>
      </c>
    </row>
    <row r="190" spans="33:50">
      <c r="AH190" s="353" t="s">
        <v>5</v>
      </c>
      <c r="AI190" s="354"/>
      <c r="AK190" s="361">
        <f t="shared" ref="AK190:AV190" si="93">(AK182-AK186)/(AK182-AK185)</f>
        <v>377.14849825643057</v>
      </c>
      <c r="AL190" s="361">
        <f t="shared" si="93"/>
        <v>-21.105309319751381</v>
      </c>
      <c r="AM190" s="361">
        <f>(AM182-AM186)/(AM182-AM185)</f>
        <v>-16.686797616924512</v>
      </c>
      <c r="AN190" s="361">
        <f>(AN182-AN186)/(AN182-AN185)</f>
        <v>13.587925563446634</v>
      </c>
      <c r="AO190" s="361">
        <f t="shared" si="93"/>
        <v>34.039042138158429</v>
      </c>
      <c r="AP190" s="361" t="e">
        <f t="shared" si="93"/>
        <v>#DIV/0!</v>
      </c>
      <c r="AQ190" s="361" t="e">
        <f t="shared" si="93"/>
        <v>#DIV/0!</v>
      </c>
      <c r="AR190" s="361" t="e">
        <f t="shared" si="93"/>
        <v>#DIV/0!</v>
      </c>
      <c r="AS190" s="361" t="e">
        <f t="shared" si="93"/>
        <v>#DIV/0!</v>
      </c>
      <c r="AT190" s="361" t="e">
        <f t="shared" si="93"/>
        <v>#DIV/0!</v>
      </c>
      <c r="AU190" s="361" t="e">
        <f t="shared" si="93"/>
        <v>#DIV/0!</v>
      </c>
      <c r="AV190" s="362" t="e">
        <f t="shared" si="93"/>
        <v>#DIV/0!</v>
      </c>
    </row>
    <row r="191" spans="33:50">
      <c r="AH191" s="390" t="s">
        <v>6</v>
      </c>
      <c r="AI191" s="354"/>
      <c r="AK191" s="363">
        <f>IF(OR(AK190&gt;=100%),100%,IF(OR(AK190&lt;=0%),0%,AVERAGE(AK190)))</f>
        <v>1</v>
      </c>
      <c r="AL191" s="363">
        <v>1</v>
      </c>
      <c r="AM191" s="363">
        <v>1</v>
      </c>
      <c r="AN191" s="363">
        <v>0</v>
      </c>
      <c r="AO191" s="363">
        <v>0</v>
      </c>
      <c r="AP191" s="363" t="e">
        <f t="shared" ref="AP191:AV191" si="94">IF(OR(AP190&gt;=100%),100%,IF(OR(AP190&lt;=0%),0%,AVERAGE(AP190)))</f>
        <v>#DIV/0!</v>
      </c>
      <c r="AQ191" s="363" t="e">
        <f t="shared" si="94"/>
        <v>#DIV/0!</v>
      </c>
      <c r="AR191" s="363" t="e">
        <f t="shared" si="94"/>
        <v>#DIV/0!</v>
      </c>
      <c r="AS191" s="363" t="e">
        <f t="shared" si="94"/>
        <v>#DIV/0!</v>
      </c>
      <c r="AT191" s="363" t="e">
        <f t="shared" si="94"/>
        <v>#DIV/0!</v>
      </c>
      <c r="AU191" s="363" t="e">
        <f t="shared" si="94"/>
        <v>#DIV/0!</v>
      </c>
      <c r="AV191" s="364" t="e">
        <f t="shared" si="94"/>
        <v>#DIV/0!</v>
      </c>
    </row>
    <row r="192" spans="33:50">
      <c r="AG192" s="294">
        <v>10</v>
      </c>
      <c r="AH192" s="717" t="s">
        <v>7</v>
      </c>
      <c r="AI192" s="718"/>
      <c r="AK192" s="451">
        <f t="shared" ref="AK192:AV192" si="95">AK191*0.1</f>
        <v>0.1</v>
      </c>
      <c r="AL192" s="451">
        <f t="shared" si="95"/>
        <v>0.1</v>
      </c>
      <c r="AM192" s="451">
        <f t="shared" si="95"/>
        <v>0.1</v>
      </c>
      <c r="AN192" s="636">
        <f t="shared" si="95"/>
        <v>0</v>
      </c>
      <c r="AO192" s="636">
        <f t="shared" si="95"/>
        <v>0</v>
      </c>
      <c r="AP192" s="451" t="e">
        <f t="shared" si="95"/>
        <v>#DIV/0!</v>
      </c>
      <c r="AQ192" s="451" t="e">
        <f t="shared" si="95"/>
        <v>#DIV/0!</v>
      </c>
      <c r="AR192" s="451" t="e">
        <f t="shared" si="95"/>
        <v>#DIV/0!</v>
      </c>
      <c r="AS192" s="451" t="e">
        <f t="shared" si="95"/>
        <v>#DIV/0!</v>
      </c>
      <c r="AT192" s="451" t="e">
        <f t="shared" si="95"/>
        <v>#DIV/0!</v>
      </c>
      <c r="AU192" s="451" t="e">
        <f t="shared" si="95"/>
        <v>#DIV/0!</v>
      </c>
      <c r="AV192" s="452" t="e">
        <f t="shared" si="95"/>
        <v>#DIV/0!</v>
      </c>
    </row>
    <row r="193" spans="33:50">
      <c r="AH193" s="412"/>
      <c r="AI193" s="413"/>
      <c r="AK193" s="363"/>
      <c r="AL193" s="363"/>
      <c r="AM193" s="363"/>
      <c r="AN193" s="363"/>
      <c r="AO193" s="363"/>
      <c r="AP193" s="363"/>
      <c r="AQ193" s="363"/>
      <c r="AR193" s="363"/>
      <c r="AS193" s="363"/>
      <c r="AT193" s="363"/>
      <c r="AU193" s="363"/>
      <c r="AV193" s="364"/>
    </row>
    <row r="194" spans="33:50">
      <c r="AH194" s="341" t="s">
        <v>109</v>
      </c>
      <c r="AJ194" s="342">
        <v>45352</v>
      </c>
      <c r="AK194" s="342">
        <v>45383</v>
      </c>
      <c r="AL194" s="342">
        <v>45413</v>
      </c>
      <c r="AM194" s="342">
        <v>45444</v>
      </c>
      <c r="AN194" s="342">
        <v>45474</v>
      </c>
      <c r="AO194" s="342">
        <v>45505</v>
      </c>
      <c r="AP194" s="342">
        <v>45536</v>
      </c>
      <c r="AQ194" s="342">
        <v>45566</v>
      </c>
      <c r="AR194" s="342">
        <v>45597</v>
      </c>
      <c r="AS194" s="342">
        <v>45627</v>
      </c>
      <c r="AT194" s="342">
        <v>45658</v>
      </c>
      <c r="AU194" s="342">
        <v>45689</v>
      </c>
      <c r="AV194" s="343">
        <v>45717</v>
      </c>
    </row>
    <row r="195" spans="33:50">
      <c r="AH195" s="344">
        <f>(AV195-AJ195)/12</f>
        <v>-4.1666666666671327E-5</v>
      </c>
      <c r="AI195" s="373" t="s">
        <v>2</v>
      </c>
      <c r="AJ195" s="392">
        <f>$AV$198</f>
        <v>0.99960000000000004</v>
      </c>
      <c r="AK195" s="394">
        <v>0.99955833333333333</v>
      </c>
      <c r="AL195" s="394">
        <f>++AK195+$AH$195</f>
        <v>0.99951666666666661</v>
      </c>
      <c r="AM195" s="394">
        <f>++AL195+$AH$195</f>
        <v>0.99947499999999989</v>
      </c>
      <c r="AN195" s="394">
        <f t="shared" ref="AN195:AU195" si="96">++AM195+$AH$195</f>
        <v>0.99943333333333317</v>
      </c>
      <c r="AO195" s="394">
        <f t="shared" si="96"/>
        <v>0.99939166666666646</v>
      </c>
      <c r="AP195" s="394">
        <f t="shared" si="96"/>
        <v>0.99934999999999974</v>
      </c>
      <c r="AQ195" s="394">
        <f t="shared" si="96"/>
        <v>0.99930833333333302</v>
      </c>
      <c r="AR195" s="394">
        <f t="shared" si="96"/>
        <v>0.9992666666666663</v>
      </c>
      <c r="AS195" s="394">
        <f t="shared" si="96"/>
        <v>0.99922499999999959</v>
      </c>
      <c r="AT195" s="394">
        <f t="shared" si="96"/>
        <v>0.99918333333333287</v>
      </c>
      <c r="AU195" s="394">
        <f t="shared" si="96"/>
        <v>0.99914166666666615</v>
      </c>
      <c r="AV195" s="393">
        <v>0.99909999999999999</v>
      </c>
    </row>
    <row r="196" spans="33:50">
      <c r="AH196" s="344">
        <f>(AV196-AJ196)/12</f>
        <v>-3.3333333333338912E-5</v>
      </c>
      <c r="AI196" s="376" t="s">
        <v>2</v>
      </c>
      <c r="AJ196" s="392">
        <f>$AV$198</f>
        <v>0.99960000000000004</v>
      </c>
      <c r="AK196" s="394">
        <v>0.99956666666666671</v>
      </c>
      <c r="AL196" s="394">
        <f t="shared" ref="AL196:AU196" si="97">++AK196+$AH$196</f>
        <v>0.99953333333333338</v>
      </c>
      <c r="AM196" s="394">
        <f t="shared" si="97"/>
        <v>0.99950000000000006</v>
      </c>
      <c r="AN196" s="394">
        <f t="shared" si="97"/>
        <v>0.99946666666666673</v>
      </c>
      <c r="AO196" s="394">
        <f t="shared" si="97"/>
        <v>0.9994333333333334</v>
      </c>
      <c r="AP196" s="394">
        <f t="shared" si="97"/>
        <v>0.99940000000000007</v>
      </c>
      <c r="AQ196" s="394">
        <f t="shared" si="97"/>
        <v>0.99936666666666674</v>
      </c>
      <c r="AR196" s="394">
        <f t="shared" si="97"/>
        <v>0.99933333333333341</v>
      </c>
      <c r="AS196" s="394">
        <f t="shared" si="97"/>
        <v>0.99930000000000008</v>
      </c>
      <c r="AT196" s="394">
        <f t="shared" si="97"/>
        <v>0.99926666666666675</v>
      </c>
      <c r="AU196" s="394">
        <f t="shared" si="97"/>
        <v>0.99923333333333342</v>
      </c>
      <c r="AV196" s="395">
        <f>AV195-(AV195-AV198)*0.2</f>
        <v>0.99919999999999998</v>
      </c>
    </row>
    <row r="197" spans="33:50">
      <c r="AH197" s="344">
        <f>(AV197-AJ197)/12</f>
        <v>-2.0833333333340292E-5</v>
      </c>
      <c r="AI197" s="378" t="s">
        <v>2</v>
      </c>
      <c r="AJ197" s="392">
        <f>$AV$198</f>
        <v>0.99960000000000004</v>
      </c>
      <c r="AK197" s="394">
        <v>0.99957916666666669</v>
      </c>
      <c r="AL197" s="394">
        <f t="shared" ref="AL197:AU197" si="98">++AK197+$AH$197</f>
        <v>0.99955833333333333</v>
      </c>
      <c r="AM197" s="394">
        <f t="shared" si="98"/>
        <v>0.99953749999999997</v>
      </c>
      <c r="AN197" s="394">
        <f t="shared" si="98"/>
        <v>0.99951666666666661</v>
      </c>
      <c r="AO197" s="394">
        <f t="shared" si="98"/>
        <v>0.99949583333333325</v>
      </c>
      <c r="AP197" s="394">
        <f t="shared" si="98"/>
        <v>0.99947499999999989</v>
      </c>
      <c r="AQ197" s="394">
        <f t="shared" si="98"/>
        <v>0.99945416666666653</v>
      </c>
      <c r="AR197" s="394">
        <f t="shared" si="98"/>
        <v>0.99943333333333317</v>
      </c>
      <c r="AS197" s="394">
        <f t="shared" si="98"/>
        <v>0.99941249999999981</v>
      </c>
      <c r="AT197" s="394">
        <f t="shared" si="98"/>
        <v>0.99939166666666646</v>
      </c>
      <c r="AU197" s="394">
        <f t="shared" si="98"/>
        <v>0.9993708333333331</v>
      </c>
      <c r="AV197" s="396">
        <f>AV195-(AV195-AV198)*0.5</f>
        <v>0.99934999999999996</v>
      </c>
    </row>
    <row r="198" spans="33:50">
      <c r="AH198" s="344">
        <f>(AV198-AJ198)/12</f>
        <v>0</v>
      </c>
      <c r="AI198" s="355"/>
      <c r="AJ198" s="392">
        <f>$AV$198</f>
        <v>0.99960000000000004</v>
      </c>
      <c r="AK198" s="392">
        <v>0.99960000000000004</v>
      </c>
      <c r="AL198" s="392">
        <f t="shared" ref="AL198:AU198" si="99">$AV$198</f>
        <v>0.99960000000000004</v>
      </c>
      <c r="AM198" s="392">
        <f t="shared" si="99"/>
        <v>0.99960000000000004</v>
      </c>
      <c r="AN198" s="392">
        <f t="shared" si="99"/>
        <v>0.99960000000000004</v>
      </c>
      <c r="AO198" s="392">
        <f t="shared" si="99"/>
        <v>0.99960000000000004</v>
      </c>
      <c r="AP198" s="392">
        <f t="shared" si="99"/>
        <v>0.99960000000000004</v>
      </c>
      <c r="AQ198" s="392">
        <f t="shared" si="99"/>
        <v>0.99960000000000004</v>
      </c>
      <c r="AR198" s="392">
        <f t="shared" si="99"/>
        <v>0.99960000000000004</v>
      </c>
      <c r="AS198" s="392">
        <f t="shared" si="99"/>
        <v>0.99960000000000004</v>
      </c>
      <c r="AT198" s="392">
        <f t="shared" si="99"/>
        <v>0.99960000000000004</v>
      </c>
      <c r="AU198" s="392">
        <f t="shared" si="99"/>
        <v>0.99960000000000004</v>
      </c>
      <c r="AV198" s="397">
        <v>0.99960000000000004</v>
      </c>
    </row>
    <row r="199" spans="33:50">
      <c r="AH199" s="353" t="s">
        <v>4</v>
      </c>
      <c r="AI199" s="354"/>
      <c r="AJ199" s="398"/>
      <c r="AK199" s="361">
        <v>1</v>
      </c>
      <c r="AL199" s="361">
        <f t="shared" ref="AL199:AV199" si="100">AL201/AL200</f>
        <v>1</v>
      </c>
      <c r="AM199" s="361">
        <f t="shared" si="100"/>
        <v>1</v>
      </c>
      <c r="AN199" s="361">
        <f t="shared" si="100"/>
        <v>1</v>
      </c>
      <c r="AO199" s="361">
        <f t="shared" si="100"/>
        <v>0.99527559055118109</v>
      </c>
      <c r="AP199" s="361" t="e">
        <f t="shared" si="100"/>
        <v>#DIV/0!</v>
      </c>
      <c r="AQ199" s="361" t="e">
        <f t="shared" si="100"/>
        <v>#DIV/0!</v>
      </c>
      <c r="AR199" s="361" t="e">
        <f t="shared" si="100"/>
        <v>#DIV/0!</v>
      </c>
      <c r="AS199" s="361" t="e">
        <f t="shared" si="100"/>
        <v>#DIV/0!</v>
      </c>
      <c r="AT199" s="361" t="e">
        <f t="shared" si="100"/>
        <v>#DIV/0!</v>
      </c>
      <c r="AU199" s="361" t="e">
        <f t="shared" si="100"/>
        <v>#DIV/0!</v>
      </c>
      <c r="AV199" s="362" t="e">
        <f t="shared" si="100"/>
        <v>#DIV/0!</v>
      </c>
    </row>
    <row r="200" spans="33:50">
      <c r="AH200" s="715" t="s">
        <v>21</v>
      </c>
      <c r="AI200" s="716"/>
      <c r="AJ200" s="399"/>
      <c r="AK200" s="414">
        <v>1058</v>
      </c>
      <c r="AL200" s="481">
        <v>1042</v>
      </c>
      <c r="AM200" s="492">
        <v>1029</v>
      </c>
      <c r="AN200" s="457">
        <v>682</v>
      </c>
      <c r="AO200" s="493">
        <v>635</v>
      </c>
      <c r="AP200" s="337"/>
      <c r="AQ200" s="337"/>
      <c r="AR200" s="337"/>
      <c r="AS200" s="386"/>
      <c r="AT200" s="337"/>
      <c r="AU200" s="386"/>
      <c r="AV200" s="484"/>
      <c r="AX200" s="426">
        <f>SUM(AK200:AM200)</f>
        <v>3129</v>
      </c>
    </row>
    <row r="201" spans="33:50">
      <c r="AH201" s="715" t="s">
        <v>22</v>
      </c>
      <c r="AI201" s="716"/>
      <c r="AJ201" s="399"/>
      <c r="AK201" s="414">
        <v>1058</v>
      </c>
      <c r="AL201" s="481">
        <v>1042</v>
      </c>
      <c r="AM201" s="492">
        <v>1029</v>
      </c>
      <c r="AN201" s="457">
        <v>682</v>
      </c>
      <c r="AO201" s="493">
        <v>632</v>
      </c>
      <c r="AP201" s="462"/>
      <c r="AQ201" s="462"/>
      <c r="AR201" s="337"/>
      <c r="AS201" s="386"/>
      <c r="AT201" s="386"/>
      <c r="AU201" s="386"/>
      <c r="AV201" s="387"/>
      <c r="AX201" s="426">
        <f>SUM(AK201:AM201)</f>
        <v>3129</v>
      </c>
    </row>
    <row r="202" spans="33:50">
      <c r="AH202" s="390" t="s">
        <v>5</v>
      </c>
      <c r="AI202" s="354"/>
      <c r="AK202" s="361">
        <v>-9.5999999999872099</v>
      </c>
      <c r="AL202" s="361">
        <f>(AL199-AL198)/(AL195-AL198)</f>
        <v>-4.7999999999936049</v>
      </c>
      <c r="AM202" s="361">
        <f>(AM199-AM198)/(AM195-AM198)</f>
        <v>-3.1999999999957369</v>
      </c>
      <c r="AN202" s="361">
        <f>(AN199-AN198)/(AN195-AN198)</f>
        <v>-2.3999999999968025</v>
      </c>
      <c r="AO202" s="361">
        <f t="shared" ref="AO202:AV202" si="101">(AO199-AO198)/(AO195-AO198)</f>
        <v>20.75716535430562</v>
      </c>
      <c r="AP202" s="361" t="e">
        <f t="shared" si="101"/>
        <v>#DIV/0!</v>
      </c>
      <c r="AQ202" s="361" t="e">
        <f t="shared" si="101"/>
        <v>#DIV/0!</v>
      </c>
      <c r="AR202" s="361" t="e">
        <f t="shared" si="101"/>
        <v>#DIV/0!</v>
      </c>
      <c r="AS202" s="361" t="e">
        <f t="shared" si="101"/>
        <v>#DIV/0!</v>
      </c>
      <c r="AT202" s="361" t="e">
        <f t="shared" si="101"/>
        <v>#DIV/0!</v>
      </c>
      <c r="AU202" s="361" t="e">
        <f t="shared" si="101"/>
        <v>#DIV/0!</v>
      </c>
      <c r="AV202" s="362" t="e">
        <f t="shared" si="101"/>
        <v>#DIV/0!</v>
      </c>
      <c r="AX202" s="464">
        <f>AX201/AX200</f>
        <v>1</v>
      </c>
    </row>
    <row r="203" spans="33:50">
      <c r="AH203" s="390" t="s">
        <v>6</v>
      </c>
      <c r="AI203" s="354"/>
      <c r="AK203" s="363">
        <v>1</v>
      </c>
      <c r="AL203" s="363">
        <v>1</v>
      </c>
      <c r="AM203" s="363">
        <v>1</v>
      </c>
      <c r="AN203" s="363">
        <v>1</v>
      </c>
      <c r="AO203" s="363">
        <v>0</v>
      </c>
      <c r="AP203" s="363" t="e">
        <f t="shared" ref="AP203:AV203" si="102">IF(OR(AP202&gt;=100%),100%,IF(OR(AP202&lt;=0%),0%,AVERAGE(AP202)))</f>
        <v>#DIV/0!</v>
      </c>
      <c r="AQ203" s="363" t="e">
        <f t="shared" si="102"/>
        <v>#DIV/0!</v>
      </c>
      <c r="AR203" s="363" t="e">
        <f t="shared" si="102"/>
        <v>#DIV/0!</v>
      </c>
      <c r="AS203" s="363" t="e">
        <f t="shared" si="102"/>
        <v>#DIV/0!</v>
      </c>
      <c r="AT203" s="363" t="e">
        <f t="shared" si="102"/>
        <v>#DIV/0!</v>
      </c>
      <c r="AU203" s="363" t="e">
        <f t="shared" si="102"/>
        <v>#DIV/0!</v>
      </c>
      <c r="AV203" s="364" t="e">
        <f t="shared" si="102"/>
        <v>#DIV/0!</v>
      </c>
    </row>
    <row r="204" spans="33:50">
      <c r="AG204" s="294">
        <v>5</v>
      </c>
      <c r="AH204" s="717" t="s">
        <v>7</v>
      </c>
      <c r="AI204" s="718"/>
      <c r="AK204" s="451">
        <f t="shared" ref="AK204:AV204" si="103">AK203*0.05</f>
        <v>0.05</v>
      </c>
      <c r="AL204" s="451">
        <f t="shared" si="103"/>
        <v>0.05</v>
      </c>
      <c r="AM204" s="451">
        <f t="shared" si="103"/>
        <v>0.05</v>
      </c>
      <c r="AN204" s="451">
        <f t="shared" si="103"/>
        <v>0.05</v>
      </c>
      <c r="AO204" s="636">
        <f t="shared" si="103"/>
        <v>0</v>
      </c>
      <c r="AP204" s="451" t="e">
        <f t="shared" si="103"/>
        <v>#DIV/0!</v>
      </c>
      <c r="AQ204" s="451" t="e">
        <f t="shared" si="103"/>
        <v>#DIV/0!</v>
      </c>
      <c r="AR204" s="451" t="e">
        <f t="shared" si="103"/>
        <v>#DIV/0!</v>
      </c>
      <c r="AS204" s="451" t="e">
        <f t="shared" si="103"/>
        <v>#DIV/0!</v>
      </c>
      <c r="AT204" s="451" t="e">
        <f t="shared" si="103"/>
        <v>#DIV/0!</v>
      </c>
      <c r="AU204" s="451" t="e">
        <f t="shared" si="103"/>
        <v>#DIV/0!</v>
      </c>
      <c r="AV204" s="452" t="e">
        <f t="shared" si="103"/>
        <v>#DIV/0!</v>
      </c>
    </row>
    <row r="205" spans="33:50">
      <c r="AH205" s="412"/>
      <c r="AI205" s="413"/>
      <c r="AK205" s="363"/>
      <c r="AL205" s="363"/>
      <c r="AM205" s="363"/>
      <c r="AN205" s="363"/>
      <c r="AO205" s="363"/>
      <c r="AP205" s="363"/>
      <c r="AQ205" s="363"/>
      <c r="AR205" s="363"/>
      <c r="AS205" s="363"/>
      <c r="AT205" s="363"/>
      <c r="AU205" s="363"/>
      <c r="AV205" s="364"/>
    </row>
    <row r="206" spans="33:50">
      <c r="AH206" s="412"/>
      <c r="AI206" s="413"/>
      <c r="AK206" s="363"/>
      <c r="AL206" s="363"/>
      <c r="AM206" s="363"/>
      <c r="AN206" s="363"/>
      <c r="AO206" s="363"/>
      <c r="AP206" s="363"/>
      <c r="AQ206" s="363"/>
      <c r="AR206" s="363"/>
      <c r="AS206" s="363"/>
      <c r="AT206" s="363"/>
      <c r="AU206" s="363"/>
      <c r="AV206" s="364"/>
    </row>
    <row r="207" spans="33:50">
      <c r="AH207" s="341" t="s">
        <v>110</v>
      </c>
      <c r="AJ207" s="342">
        <v>45352</v>
      </c>
      <c r="AK207" s="342">
        <v>45383</v>
      </c>
      <c r="AL207" s="342">
        <v>45413</v>
      </c>
      <c r="AM207" s="342">
        <v>45444</v>
      </c>
      <c r="AN207" s="342">
        <v>45474</v>
      </c>
      <c r="AO207" s="342">
        <v>45505</v>
      </c>
      <c r="AP207" s="342">
        <v>45536</v>
      </c>
      <c r="AQ207" s="342">
        <v>45566</v>
      </c>
      <c r="AR207" s="342">
        <v>45597</v>
      </c>
      <c r="AS207" s="342">
        <v>45627</v>
      </c>
      <c r="AT207" s="342">
        <v>45658</v>
      </c>
      <c r="AU207" s="342">
        <v>45689</v>
      </c>
      <c r="AV207" s="343">
        <v>45717</v>
      </c>
    </row>
    <row r="208" spans="33:50">
      <c r="AH208" s="372">
        <f>(AV208-AJ208)/12</f>
        <v>0</v>
      </c>
      <c r="AI208" s="355"/>
      <c r="AJ208" s="374">
        <f>$AV$208</f>
        <v>2</v>
      </c>
      <c r="AK208" s="374">
        <v>2</v>
      </c>
      <c r="AL208" s="374">
        <f t="shared" ref="AL208:AU208" si="104">$AV$208</f>
        <v>2</v>
      </c>
      <c r="AM208" s="374">
        <f t="shared" si="104"/>
        <v>2</v>
      </c>
      <c r="AN208" s="374">
        <f t="shared" si="104"/>
        <v>2</v>
      </c>
      <c r="AO208" s="374">
        <f t="shared" si="104"/>
        <v>2</v>
      </c>
      <c r="AP208" s="374">
        <f t="shared" si="104"/>
        <v>2</v>
      </c>
      <c r="AQ208" s="374">
        <f t="shared" si="104"/>
        <v>2</v>
      </c>
      <c r="AR208" s="374">
        <f t="shared" si="104"/>
        <v>2</v>
      </c>
      <c r="AS208" s="374">
        <f t="shared" si="104"/>
        <v>2</v>
      </c>
      <c r="AT208" s="374">
        <f t="shared" si="104"/>
        <v>2</v>
      </c>
      <c r="AU208" s="374">
        <f t="shared" si="104"/>
        <v>2</v>
      </c>
      <c r="AV208" s="384">
        <v>2</v>
      </c>
    </row>
    <row r="209" spans="33:50">
      <c r="AH209" s="372">
        <f>(AV209-AJ209)/12</f>
        <v>-8.3333333333333329E-2</v>
      </c>
      <c r="AI209" s="378" t="s">
        <v>2</v>
      </c>
      <c r="AJ209" s="374">
        <f>$AV$208</f>
        <v>2</v>
      </c>
      <c r="AK209" s="374">
        <v>1.9166666666666667</v>
      </c>
      <c r="AL209" s="374">
        <f t="shared" ref="AL209:AU209" si="105">++AK209+$AH$209</f>
        <v>1.8333333333333335</v>
      </c>
      <c r="AM209" s="374">
        <f t="shared" si="105"/>
        <v>1.7500000000000002</v>
      </c>
      <c r="AN209" s="374">
        <f t="shared" si="105"/>
        <v>1.666666666666667</v>
      </c>
      <c r="AO209" s="374">
        <f t="shared" si="105"/>
        <v>1.5833333333333337</v>
      </c>
      <c r="AP209" s="374">
        <f t="shared" si="105"/>
        <v>1.5000000000000004</v>
      </c>
      <c r="AQ209" s="374">
        <f t="shared" si="105"/>
        <v>1.4166666666666672</v>
      </c>
      <c r="AR209" s="374">
        <f t="shared" si="105"/>
        <v>1.3333333333333339</v>
      </c>
      <c r="AS209" s="374">
        <f t="shared" si="105"/>
        <v>1.2500000000000007</v>
      </c>
      <c r="AT209" s="374">
        <f t="shared" si="105"/>
        <v>1.1666666666666674</v>
      </c>
      <c r="AU209" s="374">
        <f t="shared" si="105"/>
        <v>1.0833333333333341</v>
      </c>
      <c r="AV209" s="379">
        <f>AV208-(AV208-AV211)*0.5</f>
        <v>1</v>
      </c>
    </row>
    <row r="210" spans="33:50">
      <c r="AH210" s="372">
        <f>(AV210-AJ210)/12</f>
        <v>-0.13333333333333333</v>
      </c>
      <c r="AI210" s="376" t="s">
        <v>2</v>
      </c>
      <c r="AJ210" s="374">
        <f>$AV$208</f>
        <v>2</v>
      </c>
      <c r="AK210" s="374">
        <v>1.8666666666666667</v>
      </c>
      <c r="AL210" s="374">
        <f t="shared" ref="AL210:AU210" si="106">++AK210+$AH$210</f>
        <v>1.7333333333333334</v>
      </c>
      <c r="AM210" s="374">
        <f t="shared" si="106"/>
        <v>1.6</v>
      </c>
      <c r="AN210" s="374">
        <f t="shared" si="106"/>
        <v>1.4666666666666668</v>
      </c>
      <c r="AO210" s="374">
        <f t="shared" si="106"/>
        <v>1.3333333333333335</v>
      </c>
      <c r="AP210" s="374">
        <f t="shared" si="106"/>
        <v>1.2000000000000002</v>
      </c>
      <c r="AQ210" s="374">
        <f t="shared" si="106"/>
        <v>1.0666666666666669</v>
      </c>
      <c r="AR210" s="374">
        <f t="shared" si="106"/>
        <v>0.93333333333333357</v>
      </c>
      <c r="AS210" s="374">
        <f t="shared" si="106"/>
        <v>0.80000000000000027</v>
      </c>
      <c r="AT210" s="374">
        <f t="shared" si="106"/>
        <v>0.66666666666666696</v>
      </c>
      <c r="AU210" s="374">
        <f t="shared" si="106"/>
        <v>0.53333333333333366</v>
      </c>
      <c r="AV210" s="377">
        <f>AV208-(AV208-AV211)*0.8</f>
        <v>0.39999999999999991</v>
      </c>
    </row>
    <row r="211" spans="33:50">
      <c r="AH211" s="372">
        <f>(AV211-AJ211)/12</f>
        <v>-0.16666666666666666</v>
      </c>
      <c r="AI211" s="373" t="s">
        <v>2</v>
      </c>
      <c r="AJ211" s="374">
        <f>$AV$208</f>
        <v>2</v>
      </c>
      <c r="AK211" s="374">
        <v>1.8333333333333333</v>
      </c>
      <c r="AL211" s="374">
        <f t="shared" ref="AL211:AU211" si="107">++AK211+$AH$211</f>
        <v>1.6666666666666665</v>
      </c>
      <c r="AM211" s="374">
        <f t="shared" si="107"/>
        <v>1.4999999999999998</v>
      </c>
      <c r="AN211" s="374">
        <f t="shared" si="107"/>
        <v>1.333333333333333</v>
      </c>
      <c r="AO211" s="374">
        <f t="shared" si="107"/>
        <v>1.1666666666666663</v>
      </c>
      <c r="AP211" s="374">
        <f t="shared" si="107"/>
        <v>0.99999999999999967</v>
      </c>
      <c r="AQ211" s="374">
        <f t="shared" si="107"/>
        <v>0.83333333333333304</v>
      </c>
      <c r="AR211" s="374">
        <f t="shared" si="107"/>
        <v>0.66666666666666641</v>
      </c>
      <c r="AS211" s="374">
        <f t="shared" si="107"/>
        <v>0.49999999999999978</v>
      </c>
      <c r="AT211" s="374">
        <f t="shared" si="107"/>
        <v>0.33333333333333315</v>
      </c>
      <c r="AU211" s="374">
        <f t="shared" si="107"/>
        <v>0.16666666666666649</v>
      </c>
      <c r="AV211" s="375">
        <v>0</v>
      </c>
    </row>
    <row r="212" spans="33:50">
      <c r="AH212" s="353" t="s">
        <v>4</v>
      </c>
      <c r="AI212" s="354"/>
      <c r="AJ212" s="383"/>
      <c r="AK212" s="383">
        <v>0</v>
      </c>
      <c r="AL212" s="383">
        <f t="shared" ref="AL212:AU212" si="108">AL214/AL213*1000000</f>
        <v>0</v>
      </c>
      <c r="AM212" s="383">
        <f t="shared" si="108"/>
        <v>0</v>
      </c>
      <c r="AN212" s="383">
        <f t="shared" si="108"/>
        <v>0</v>
      </c>
      <c r="AO212" s="383">
        <f t="shared" si="108"/>
        <v>20.624368378718405</v>
      </c>
      <c r="AP212" s="383" t="e">
        <f t="shared" si="108"/>
        <v>#DIV/0!</v>
      </c>
      <c r="AQ212" s="383" t="e">
        <f t="shared" si="108"/>
        <v>#DIV/0!</v>
      </c>
      <c r="AR212" s="383" t="e">
        <f t="shared" si="108"/>
        <v>#DIV/0!</v>
      </c>
      <c r="AS212" s="383" t="e">
        <f t="shared" si="108"/>
        <v>#DIV/0!</v>
      </c>
      <c r="AT212" s="383" t="e">
        <f t="shared" si="108"/>
        <v>#DIV/0!</v>
      </c>
      <c r="AU212" s="383" t="e">
        <f t="shared" si="108"/>
        <v>#DIV/0!</v>
      </c>
      <c r="AV212" s="384" t="e">
        <f>AV214/AV213*1000000</f>
        <v>#DIV/0!</v>
      </c>
    </row>
    <row r="213" spans="33:50">
      <c r="AH213" s="719" t="s">
        <v>24</v>
      </c>
      <c r="AI213" s="720"/>
      <c r="AJ213" s="383"/>
      <c r="AK213" s="416">
        <v>193809</v>
      </c>
      <c r="AL213" s="485">
        <v>149199</v>
      </c>
      <c r="AM213" s="494">
        <v>158184</v>
      </c>
      <c r="AN213" s="487">
        <v>141270</v>
      </c>
      <c r="AO213" s="495">
        <v>145459</v>
      </c>
      <c r="AP213" s="489"/>
      <c r="AQ213" s="489"/>
      <c r="AR213" s="337"/>
      <c r="AS213" s="490"/>
      <c r="AT213" s="490"/>
      <c r="AU213" s="489"/>
      <c r="AV213" s="491"/>
      <c r="AX213" s="426">
        <f>SUM(AK213:AM213)</f>
        <v>501192</v>
      </c>
    </row>
    <row r="214" spans="33:50">
      <c r="AH214" s="160"/>
      <c r="AI214" s="161" t="s">
        <v>14</v>
      </c>
      <c r="AJ214" s="383"/>
      <c r="AK214" s="416">
        <v>0</v>
      </c>
      <c r="AL214" s="485">
        <v>0</v>
      </c>
      <c r="AM214" s="494">
        <v>0</v>
      </c>
      <c r="AN214" s="487">
        <v>0</v>
      </c>
      <c r="AO214" s="495">
        <v>3</v>
      </c>
      <c r="AP214" s="489"/>
      <c r="AQ214" s="489"/>
      <c r="AR214" s="337"/>
      <c r="AS214" s="490"/>
      <c r="AT214" s="490"/>
      <c r="AU214" s="489"/>
      <c r="AV214" s="491"/>
      <c r="AX214" s="426">
        <f>SUM(AK214:AM214)</f>
        <v>0</v>
      </c>
    </row>
    <row r="215" spans="33:50">
      <c r="AH215" s="353"/>
      <c r="AI215" s="354"/>
      <c r="AJ215" s="418"/>
      <c r="AK215" s="419"/>
      <c r="AL215" s="331"/>
      <c r="AM215" s="331"/>
      <c r="AN215" s="331"/>
      <c r="AO215" s="331"/>
      <c r="AP215" s="418"/>
      <c r="AQ215" s="331"/>
      <c r="AR215" s="331"/>
      <c r="AS215" s="331"/>
      <c r="AT215" s="331"/>
      <c r="AU215" s="331"/>
      <c r="AV215" s="360"/>
      <c r="AX215" s="463">
        <f>AX214/AX213*1000000</f>
        <v>0</v>
      </c>
    </row>
    <row r="216" spans="33:50">
      <c r="AH216" s="353" t="s">
        <v>5</v>
      </c>
      <c r="AI216" s="354"/>
      <c r="AK216" s="361">
        <v>11.999999999999995</v>
      </c>
      <c r="AL216" s="361">
        <f>(AL208-AL212)/(AL208-AL211)</f>
        <v>5.9999999999999973</v>
      </c>
      <c r="AM216" s="361">
        <f>(AM208-AM212)/(AM208-AM211)</f>
        <v>3.9999999999999982</v>
      </c>
      <c r="AN216" s="361">
        <f>(AN208-AN212)/(AN208-AN211)</f>
        <v>2.9999999999999987</v>
      </c>
      <c r="AO216" s="361">
        <f t="shared" ref="AO216:AV216" si="109">(AO208-AO212)/(AO208-AO211)</f>
        <v>-22.349242054462074</v>
      </c>
      <c r="AP216" s="361" t="e">
        <f t="shared" si="109"/>
        <v>#DIV/0!</v>
      </c>
      <c r="AQ216" s="361" t="e">
        <f t="shared" si="109"/>
        <v>#DIV/0!</v>
      </c>
      <c r="AR216" s="361" t="e">
        <f t="shared" si="109"/>
        <v>#DIV/0!</v>
      </c>
      <c r="AS216" s="361" t="e">
        <f t="shared" si="109"/>
        <v>#DIV/0!</v>
      </c>
      <c r="AT216" s="361" t="e">
        <f t="shared" si="109"/>
        <v>#DIV/0!</v>
      </c>
      <c r="AU216" s="361" t="e">
        <f t="shared" si="109"/>
        <v>#DIV/0!</v>
      </c>
      <c r="AV216" s="362" t="e">
        <f t="shared" si="109"/>
        <v>#DIV/0!</v>
      </c>
    </row>
    <row r="217" spans="33:50">
      <c r="AH217" s="390" t="s">
        <v>6</v>
      </c>
      <c r="AI217" s="354"/>
      <c r="AK217" s="363">
        <f t="shared" ref="AK217:AV217" si="110">IF(OR(AK216&gt;=100%),100%,IF(OR(AK216&lt;=0%),0%,AVERAGE(AK216)))</f>
        <v>1</v>
      </c>
      <c r="AL217" s="363">
        <f t="shared" si="110"/>
        <v>1</v>
      </c>
      <c r="AM217" s="363">
        <f t="shared" si="110"/>
        <v>1</v>
      </c>
      <c r="AN217" s="363">
        <f t="shared" si="110"/>
        <v>1</v>
      </c>
      <c r="AO217" s="363">
        <f t="shared" si="110"/>
        <v>0</v>
      </c>
      <c r="AP217" s="363" t="e">
        <f t="shared" si="110"/>
        <v>#DIV/0!</v>
      </c>
      <c r="AQ217" s="363" t="e">
        <f t="shared" si="110"/>
        <v>#DIV/0!</v>
      </c>
      <c r="AR217" s="363" t="e">
        <f t="shared" si="110"/>
        <v>#DIV/0!</v>
      </c>
      <c r="AS217" s="363" t="e">
        <f t="shared" si="110"/>
        <v>#DIV/0!</v>
      </c>
      <c r="AT217" s="363" t="e">
        <f t="shared" si="110"/>
        <v>#DIV/0!</v>
      </c>
      <c r="AU217" s="363" t="e">
        <f t="shared" si="110"/>
        <v>#DIV/0!</v>
      </c>
      <c r="AV217" s="364" t="e">
        <f t="shared" si="110"/>
        <v>#DIV/0!</v>
      </c>
    </row>
    <row r="218" spans="33:50">
      <c r="AG218" s="294">
        <v>10</v>
      </c>
      <c r="AH218" s="717" t="s">
        <v>7</v>
      </c>
      <c r="AI218" s="718"/>
      <c r="AK218" s="451">
        <f t="shared" ref="AK218:AV218" si="111">AK217*0.1</f>
        <v>0.1</v>
      </c>
      <c r="AL218" s="451">
        <f t="shared" si="111"/>
        <v>0.1</v>
      </c>
      <c r="AM218" s="451">
        <f t="shared" si="111"/>
        <v>0.1</v>
      </c>
      <c r="AN218" s="451">
        <f t="shared" si="111"/>
        <v>0.1</v>
      </c>
      <c r="AO218" s="636">
        <f t="shared" si="111"/>
        <v>0</v>
      </c>
      <c r="AP218" s="451" t="e">
        <f t="shared" si="111"/>
        <v>#DIV/0!</v>
      </c>
      <c r="AQ218" s="451" t="e">
        <f t="shared" si="111"/>
        <v>#DIV/0!</v>
      </c>
      <c r="AR218" s="451" t="e">
        <f t="shared" si="111"/>
        <v>#DIV/0!</v>
      </c>
      <c r="AS218" s="451" t="e">
        <f t="shared" si="111"/>
        <v>#DIV/0!</v>
      </c>
      <c r="AT218" s="451" t="e">
        <f t="shared" si="111"/>
        <v>#DIV/0!</v>
      </c>
      <c r="AU218" s="451" t="e">
        <f t="shared" si="111"/>
        <v>#DIV/0!</v>
      </c>
      <c r="AV218" s="452" t="e">
        <f t="shared" si="111"/>
        <v>#DIV/0!</v>
      </c>
    </row>
    <row r="219" spans="33:50">
      <c r="AH219" s="412"/>
      <c r="AI219" s="413"/>
      <c r="AK219" s="363"/>
      <c r="AL219" s="363"/>
      <c r="AM219" s="363"/>
      <c r="AN219" s="363"/>
      <c r="AO219" s="363"/>
      <c r="AP219" s="363"/>
      <c r="AQ219" s="363"/>
      <c r="AR219" s="363"/>
      <c r="AS219" s="363"/>
      <c r="AT219" s="363"/>
      <c r="AU219" s="363"/>
      <c r="AV219" s="364"/>
    </row>
    <row r="220" spans="33:50" ht="16" thickBot="1">
      <c r="AH220" s="424" t="s">
        <v>25</v>
      </c>
      <c r="AI220" s="190"/>
      <c r="AJ220" s="191"/>
      <c r="AK220" s="619">
        <f>SUM(AK67,AK81,AK95,AK110,AK123,AK138,AK151,AK165,AK178,AK192,AK204,AK218)</f>
        <v>1</v>
      </c>
      <c r="AL220" s="619">
        <f t="shared" ref="AL220:AU220" si="112">SUM(AL67,AL81,AL95,AL110,AL123,AL138,AL151,AL165,AL178,AL192,AL204,AL218)</f>
        <v>0.95000000000000007</v>
      </c>
      <c r="AM220" s="619">
        <f>SUM(AM67,AM81,AM95,AM110,AM123,AM138,AM151,AM165,AM178,AM192,AM204,AM218)</f>
        <v>0.95000000000000007</v>
      </c>
      <c r="AN220" s="619">
        <f>SUM(AN67,AN81,AN95,AN110,AN123,AN138,AN151,AN165,AN178,AN192,AN204,AN218)</f>
        <v>0.82178511993393133</v>
      </c>
      <c r="AO220" s="658">
        <f t="shared" si="112"/>
        <v>0.25</v>
      </c>
      <c r="AP220" s="496" t="e">
        <f t="shared" si="112"/>
        <v>#DIV/0!</v>
      </c>
      <c r="AQ220" s="496" t="e">
        <f t="shared" si="112"/>
        <v>#DIV/0!</v>
      </c>
      <c r="AR220" s="496" t="e">
        <f t="shared" si="112"/>
        <v>#DIV/0!</v>
      </c>
      <c r="AS220" s="496" t="e">
        <f t="shared" si="112"/>
        <v>#DIV/0!</v>
      </c>
      <c r="AT220" s="496" t="e">
        <f t="shared" si="112"/>
        <v>#DIV/0!</v>
      </c>
      <c r="AU220" s="496" t="e">
        <f t="shared" si="112"/>
        <v>#DIV/0!</v>
      </c>
      <c r="AV220" s="497" t="e">
        <f>SUM(AV67,AV81,AV95,AV110,AV123,AV138,AV151,AV165,AV178,AV192,AV204,AV218)</f>
        <v>#DIV/0!</v>
      </c>
    </row>
  </sheetData>
  <mergeCells count="275">
    <mergeCell ref="AA18:AG18"/>
    <mergeCell ref="A2:A3"/>
    <mergeCell ref="B2:D2"/>
    <mergeCell ref="E2:H2"/>
    <mergeCell ref="I2:Q2"/>
    <mergeCell ref="R2:S2"/>
    <mergeCell ref="T2:Y2"/>
    <mergeCell ref="R4:S4"/>
    <mergeCell ref="T4:Y4"/>
    <mergeCell ref="A5:A12"/>
    <mergeCell ref="B5:D5"/>
    <mergeCell ref="E5:H5"/>
    <mergeCell ref="I5:Q5"/>
    <mergeCell ref="R5:S5"/>
    <mergeCell ref="B6:D12"/>
    <mergeCell ref="E6:H12"/>
    <mergeCell ref="I6:Q6"/>
    <mergeCell ref="I7:Q7"/>
    <mergeCell ref="B13:D13"/>
    <mergeCell ref="R13:Y13"/>
    <mergeCell ref="Z2:AG2"/>
    <mergeCell ref="B3:D3"/>
    <mergeCell ref="E3:H3"/>
    <mergeCell ref="I3:Q3"/>
    <mergeCell ref="R3:S3"/>
    <mergeCell ref="Z3:AG4"/>
    <mergeCell ref="B4:D4"/>
    <mergeCell ref="E4:H4"/>
    <mergeCell ref="I4:Q4"/>
    <mergeCell ref="T3:Y3"/>
    <mergeCell ref="AD5:AE5"/>
    <mergeCell ref="AF5:AG5"/>
    <mergeCell ref="R7:R9"/>
    <mergeCell ref="S7:S9"/>
    <mergeCell ref="T7:T9"/>
    <mergeCell ref="Z5:AA5"/>
    <mergeCell ref="AB5:AC5"/>
    <mergeCell ref="V5:W5"/>
    <mergeCell ref="I12:Q12"/>
    <mergeCell ref="U10:U12"/>
    <mergeCell ref="V10:V12"/>
    <mergeCell ref="I10:Q10"/>
    <mergeCell ref="I9:Q9"/>
    <mergeCell ref="X5:Y5"/>
    <mergeCell ref="I8:Q8"/>
    <mergeCell ref="X10:X12"/>
    <mergeCell ref="AC7:AC12"/>
    <mergeCell ref="Z7:Z9"/>
    <mergeCell ref="W10:W12"/>
    <mergeCell ref="AB7:AB12"/>
    <mergeCell ref="Y7:Y9"/>
    <mergeCell ref="T5:U5"/>
    <mergeCell ref="R10:R12"/>
    <mergeCell ref="S10:S12"/>
    <mergeCell ref="U7:U9"/>
    <mergeCell ref="AG7:AG12"/>
    <mergeCell ref="Y10:Y12"/>
    <mergeCell ref="Z10:Z12"/>
    <mergeCell ref="AA10:AA12"/>
    <mergeCell ref="V7:V9"/>
    <mergeCell ref="W7:W9"/>
    <mergeCell ref="T10:T12"/>
    <mergeCell ref="AA7:AA9"/>
    <mergeCell ref="S21:Y21"/>
    <mergeCell ref="AA21:AG21"/>
    <mergeCell ref="AF7:AF12"/>
    <mergeCell ref="AD7:AD12"/>
    <mergeCell ref="AE7:AE12"/>
    <mergeCell ref="X7:X9"/>
    <mergeCell ref="Z13:AG13"/>
    <mergeCell ref="S15:Y15"/>
    <mergeCell ref="AA15:AG15"/>
    <mergeCell ref="S16:Y16"/>
    <mergeCell ref="AA16:AG16"/>
    <mergeCell ref="S14:Y14"/>
    <mergeCell ref="AA14:AG14"/>
    <mergeCell ref="S17:Y17"/>
    <mergeCell ref="AA17:AG17"/>
    <mergeCell ref="S18:Y18"/>
    <mergeCell ref="S22:Y22"/>
    <mergeCell ref="AA22:AG22"/>
    <mergeCell ref="S19:Y19"/>
    <mergeCell ref="AA19:AG19"/>
    <mergeCell ref="AA20:AG20"/>
    <mergeCell ref="B25:D25"/>
    <mergeCell ref="AA25:AG25"/>
    <mergeCell ref="S20:Y20"/>
    <mergeCell ref="S23:Y23"/>
    <mergeCell ref="B23:D23"/>
    <mergeCell ref="AA23:AG23"/>
    <mergeCell ref="AA24:AG24"/>
    <mergeCell ref="B24:D24"/>
    <mergeCell ref="S24:Y24"/>
    <mergeCell ref="S25:Y25"/>
    <mergeCell ref="P26:P27"/>
    <mergeCell ref="Q26:Q27"/>
    <mergeCell ref="R26:R27"/>
    <mergeCell ref="S26:Y27"/>
    <mergeCell ref="Z26:Z27"/>
    <mergeCell ref="A26:A27"/>
    <mergeCell ref="B26:D27"/>
    <mergeCell ref="E26:E27"/>
    <mergeCell ref="F26:F27"/>
    <mergeCell ref="G26:G27"/>
    <mergeCell ref="H26:H27"/>
    <mergeCell ref="I26:I27"/>
    <mergeCell ref="J26:J27"/>
    <mergeCell ref="K26:K27"/>
    <mergeCell ref="AA26:AG27"/>
    <mergeCell ref="A28:A29"/>
    <mergeCell ref="B28:D29"/>
    <mergeCell ref="E28:E29"/>
    <mergeCell ref="F28:F29"/>
    <mergeCell ref="G28:G29"/>
    <mergeCell ref="H28:H29"/>
    <mergeCell ref="I28:I29"/>
    <mergeCell ref="J28:J29"/>
    <mergeCell ref="K28:K29"/>
    <mergeCell ref="L28:L29"/>
    <mergeCell ref="M28:M29"/>
    <mergeCell ref="N28:N29"/>
    <mergeCell ref="O28:O29"/>
    <mergeCell ref="P28:P29"/>
    <mergeCell ref="Q28:Q29"/>
    <mergeCell ref="R28:R29"/>
    <mergeCell ref="S28:Y29"/>
    <mergeCell ref="Z28:Z29"/>
    <mergeCell ref="AA28:AG29"/>
    <mergeCell ref="L26:L27"/>
    <mergeCell ref="M26:M27"/>
    <mergeCell ref="N26:N27"/>
    <mergeCell ref="O26:O27"/>
    <mergeCell ref="P30:P31"/>
    <mergeCell ref="Q30:Q31"/>
    <mergeCell ref="R30:R31"/>
    <mergeCell ref="S30:Y31"/>
    <mergeCell ref="Z30:Z31"/>
    <mergeCell ref="A30:A31"/>
    <mergeCell ref="B30:D31"/>
    <mergeCell ref="E30:E31"/>
    <mergeCell ref="F30:F31"/>
    <mergeCell ref="G30:G31"/>
    <mergeCell ref="H30:H31"/>
    <mergeCell ref="I30:I31"/>
    <mergeCell ref="J30:J31"/>
    <mergeCell ref="K30:K31"/>
    <mergeCell ref="AA30:AG31"/>
    <mergeCell ref="A32:A33"/>
    <mergeCell ref="B32:D33"/>
    <mergeCell ref="E32:E33"/>
    <mergeCell ref="F32:F33"/>
    <mergeCell ref="G32:G33"/>
    <mergeCell ref="H32:H33"/>
    <mergeCell ref="I32:I33"/>
    <mergeCell ref="J32:J33"/>
    <mergeCell ref="K32:K33"/>
    <mergeCell ref="L32:L33"/>
    <mergeCell ref="M32:M33"/>
    <mergeCell ref="N32:N33"/>
    <mergeCell ref="O32:O33"/>
    <mergeCell ref="P32:P33"/>
    <mergeCell ref="Q32:Q33"/>
    <mergeCell ref="R32:R33"/>
    <mergeCell ref="S32:Y33"/>
    <mergeCell ref="Z32:Z33"/>
    <mergeCell ref="AA32:AG33"/>
    <mergeCell ref="L30:L31"/>
    <mergeCell ref="M30:M31"/>
    <mergeCell ref="N30:N31"/>
    <mergeCell ref="O30:O31"/>
    <mergeCell ref="N34:N35"/>
    <mergeCell ref="O34:O35"/>
    <mergeCell ref="P34:P35"/>
    <mergeCell ref="Q34:Q35"/>
    <mergeCell ref="R34:R35"/>
    <mergeCell ref="S34:Y35"/>
    <mergeCell ref="Z34:Z35"/>
    <mergeCell ref="A34:A35"/>
    <mergeCell ref="B34:D35"/>
    <mergeCell ref="E34:E35"/>
    <mergeCell ref="F34:F35"/>
    <mergeCell ref="G34:G35"/>
    <mergeCell ref="H34:H35"/>
    <mergeCell ref="I34:I35"/>
    <mergeCell ref="J34:J35"/>
    <mergeCell ref="K34:K35"/>
    <mergeCell ref="AA34:AG35"/>
    <mergeCell ref="A37:A38"/>
    <mergeCell ref="B37:D38"/>
    <mergeCell ref="E37:E38"/>
    <mergeCell ref="F37:F38"/>
    <mergeCell ref="G37:G38"/>
    <mergeCell ref="H37:H38"/>
    <mergeCell ref="I37:I38"/>
    <mergeCell ref="J37:J38"/>
    <mergeCell ref="K37:K38"/>
    <mergeCell ref="L37:L38"/>
    <mergeCell ref="M37:M38"/>
    <mergeCell ref="N37:N38"/>
    <mergeCell ref="O37:O38"/>
    <mergeCell ref="P37:P38"/>
    <mergeCell ref="Q37:Q38"/>
    <mergeCell ref="R37:R38"/>
    <mergeCell ref="S37:X38"/>
    <mergeCell ref="Y37:Y38"/>
    <mergeCell ref="Z37:Z38"/>
    <mergeCell ref="AA37:AF38"/>
    <mergeCell ref="AG37:AG38"/>
    <mergeCell ref="L34:L35"/>
    <mergeCell ref="M34:M35"/>
    <mergeCell ref="A49:A50"/>
    <mergeCell ref="B49:D50"/>
    <mergeCell ref="E49:E50"/>
    <mergeCell ref="F49:F50"/>
    <mergeCell ref="G49:G50"/>
    <mergeCell ref="H49:H50"/>
    <mergeCell ref="I49:I50"/>
    <mergeCell ref="J49:J50"/>
    <mergeCell ref="K49:K50"/>
    <mergeCell ref="L49:L50"/>
    <mergeCell ref="M49:M50"/>
    <mergeCell ref="N49:N50"/>
    <mergeCell ref="O49:O50"/>
    <mergeCell ref="P49:P50"/>
    <mergeCell ref="Q49:Q50"/>
    <mergeCell ref="R49:R50"/>
    <mergeCell ref="S49:X50"/>
    <mergeCell ref="Y49:Y50"/>
    <mergeCell ref="Z49:Z50"/>
    <mergeCell ref="AA49:AF50"/>
    <mergeCell ref="AG49:AG50"/>
    <mergeCell ref="AH61:AI61"/>
    <mergeCell ref="AH63:AI63"/>
    <mergeCell ref="AH65:AI65"/>
    <mergeCell ref="AH66:AI66"/>
    <mergeCell ref="AH67:AI67"/>
    <mergeCell ref="AH75:AI75"/>
    <mergeCell ref="AH77:AI77"/>
    <mergeCell ref="AH79:AI79"/>
    <mergeCell ref="AH80:AI80"/>
    <mergeCell ref="AH81:AI81"/>
    <mergeCell ref="AH89:AI89"/>
    <mergeCell ref="AH91:AI91"/>
    <mergeCell ref="AH93:AI93"/>
    <mergeCell ref="AH94:AI94"/>
    <mergeCell ref="AH95:AI95"/>
    <mergeCell ref="AH213:AI213"/>
    <mergeCell ref="AH218:AI218"/>
    <mergeCell ref="AH110:AI110"/>
    <mergeCell ref="AH119:AI119"/>
    <mergeCell ref="AH120:AI120"/>
    <mergeCell ref="AH123:AI123"/>
    <mergeCell ref="AH138:AI138"/>
    <mergeCell ref="AH147:AI147"/>
    <mergeCell ref="AH148:AI148"/>
    <mergeCell ref="AH151:AI151"/>
    <mergeCell ref="AH153:AI153"/>
    <mergeCell ref="AH165:AI165"/>
    <mergeCell ref="AH174:AI174"/>
    <mergeCell ref="AH175:AI175"/>
    <mergeCell ref="AH178:AI178"/>
    <mergeCell ref="AH187:AI187"/>
    <mergeCell ref="AH192:AI192"/>
    <mergeCell ref="AH200:AI200"/>
    <mergeCell ref="AH201:AI201"/>
    <mergeCell ref="AH204:AI204"/>
    <mergeCell ref="B14:D14"/>
    <mergeCell ref="B15:D15"/>
    <mergeCell ref="B20:D20"/>
    <mergeCell ref="B16:D16"/>
    <mergeCell ref="B19:D19"/>
    <mergeCell ref="B22:D22"/>
    <mergeCell ref="B18:D18"/>
    <mergeCell ref="B17:D17"/>
    <mergeCell ref="B21:D21"/>
  </mergeCells>
  <conditionalFormatting sqref="AK109:AV109 AK122:AV122 AK137:AV137 AK150:AV150 AK164:AV164 AK177:AV177 AK203:AV203 AK217:AV217 AK80:AV80 AK66:AV66 AK191:AV191">
    <cfRule type="cellIs" dxfId="56" priority="71" stopIfTrue="1" operator="between">
      <formula>0.495</formula>
      <formula>0.794</formula>
    </cfRule>
    <cfRule type="cellIs" dxfId="55" priority="72" stopIfTrue="1" operator="between">
      <formula>0.795</formula>
      <formula>1000</formula>
    </cfRule>
  </conditionalFormatting>
  <conditionalFormatting sqref="AK94:AV94">
    <cfRule type="cellIs" dxfId="54" priority="61" stopIfTrue="1" operator="between">
      <formula>-1000</formula>
      <formula>0.494</formula>
    </cfRule>
    <cfRule type="cellIs" dxfId="53" priority="62" stopIfTrue="1" operator="between">
      <formula>0.495</formula>
      <formula>0.794</formula>
    </cfRule>
    <cfRule type="cellIs" dxfId="52" priority="63" stopIfTrue="1" operator="between">
      <formula>0.795</formula>
      <formula>1000</formula>
    </cfRule>
    <cfRule type="cellIs" dxfId="51" priority="64" stopIfTrue="1" operator="between">
      <formula>-1000</formula>
      <formula>0.494</formula>
    </cfRule>
    <cfRule type="cellIs" dxfId="50" priority="65" stopIfTrue="1" operator="between">
      <formula>0.495</formula>
      <formula>0.794</formula>
    </cfRule>
    <cfRule type="cellIs" dxfId="49" priority="66" stopIfTrue="1" operator="between">
      <formula>0.795</formula>
      <formula>1000</formula>
    </cfRule>
  </conditionalFormatting>
  <conditionalFormatting sqref="AK109:AV109 AK122:AV122 AK137:AV137 AK150:AV150 AK164:AV164 AK177:AV177 AK203:AV203 AK217:AV217 AK80:AV80 AK66:AV66 AK191:AV191">
    <cfRule type="cellIs" dxfId="48" priority="70" stopIfTrue="1" operator="between">
      <formula>-1000</formula>
      <formula>0.494</formula>
    </cfRule>
  </conditionalFormatting>
  <conditionalFormatting sqref="AK109:AV109 AK122:AV122 AK137:AV137 AK150:AV150 AK164:AV164 AK177:AV177 AK203:AV203 AK217:AV217 AK191:AV191">
    <cfRule type="cellIs" dxfId="47" priority="67" stopIfTrue="1" operator="between">
      <formula>-1000</formula>
      <formula>0.494</formula>
    </cfRule>
    <cfRule type="cellIs" dxfId="46" priority="68" stopIfTrue="1" operator="between">
      <formula>0.495</formula>
      <formula>0.794</formula>
    </cfRule>
    <cfRule type="cellIs" dxfId="45" priority="69" stopIfTrue="1" operator="between">
      <formula>0.795</formula>
      <formula>1000</formula>
    </cfRule>
  </conditionalFormatting>
  <printOptions horizontalCentered="1" verticalCentered="1"/>
  <pageMargins left="0" right="0" top="0.31" bottom="0" header="0.25" footer="0"/>
  <pageSetup paperSize="8" scale="48" orientation="landscape" horizontalDpi="4294967293" verticalDpi="4294967293" r:id="rId1"/>
  <rowBreaks count="2" manualBreakCount="2">
    <brk id="52" max="16383" man="1"/>
    <brk id="155" max="16383" man="1"/>
  </rowBreaks>
  <colBreaks count="1" manualBreakCount="1">
    <brk id="33" max="1048575" man="1"/>
  </colBreaks>
  <drawing r:id="rId2"/>
  <legacyDrawing r:id="rId3"/>
  <oleObjects>
    <mc:AlternateContent xmlns:mc="http://schemas.openxmlformats.org/markup-compatibility/2006">
      <mc:Choice Requires="x14">
        <oleObject progId="MSGraph.Chart.8" shapeId="69640" r:id="rId4">
          <objectPr defaultSize="0" r:id="rId5">
            <anchor moveWithCells="1" sizeWithCells="1">
              <from>
                <xdr:col>21</xdr:col>
                <xdr:colOff>222250</xdr:colOff>
                <xdr:row>38</xdr:row>
                <xdr:rowOff>50800</xdr:rowOff>
              </from>
              <to>
                <xdr:col>27</xdr:col>
                <xdr:colOff>723900</xdr:colOff>
                <xdr:row>50</xdr:row>
                <xdr:rowOff>69850</xdr:rowOff>
              </to>
            </anchor>
          </objectPr>
        </oleObject>
      </mc:Choice>
      <mc:Fallback>
        <oleObject progId="MSGraph.Chart.8" shapeId="69640" r:id="rId4"/>
      </mc:Fallback>
    </mc:AlternateContent>
    <mc:AlternateContent xmlns:mc="http://schemas.openxmlformats.org/markup-compatibility/2006">
      <mc:Choice Requires="x14">
        <oleObject progId="MSGraph.Chart.8" shapeId="75749" r:id="rId6">
          <objectPr defaultSize="0" autoPict="0" r:id="rId7">
            <anchor moveWithCells="1" sizeWithCells="1">
              <from>
                <xdr:col>0</xdr:col>
                <xdr:colOff>336550</xdr:colOff>
                <xdr:row>25</xdr:row>
                <xdr:rowOff>69850</xdr:rowOff>
              </from>
              <to>
                <xdr:col>3</xdr:col>
                <xdr:colOff>4394200</xdr:colOff>
                <xdr:row>36</xdr:row>
                <xdr:rowOff>228600</xdr:rowOff>
              </to>
            </anchor>
          </objectPr>
        </oleObject>
      </mc:Choice>
      <mc:Fallback>
        <oleObject progId="MSGraph.Chart.8" shapeId="75749" r:id="rId6"/>
      </mc:Fallback>
    </mc:AlternateContent>
    <mc:AlternateContent xmlns:mc="http://schemas.openxmlformats.org/markup-compatibility/2006">
      <mc:Choice Requires="x14">
        <oleObject progId="MSGraph.Chart.8" shapeId="75750" r:id="rId8">
          <objectPr defaultSize="0" autoPict="0" r:id="rId9">
            <anchor moveWithCells="1" sizeWithCells="1">
              <from>
                <xdr:col>12</xdr:col>
                <xdr:colOff>412750</xdr:colOff>
                <xdr:row>25</xdr:row>
                <xdr:rowOff>69850</xdr:rowOff>
              </from>
              <to>
                <xdr:col>21</xdr:col>
                <xdr:colOff>107950</xdr:colOff>
                <xdr:row>37</xdr:row>
                <xdr:rowOff>88900</xdr:rowOff>
              </to>
            </anchor>
          </objectPr>
        </oleObject>
      </mc:Choice>
      <mc:Fallback>
        <oleObject progId="MSGraph.Chart.8" shapeId="75750" r:id="rId8"/>
      </mc:Fallback>
    </mc:AlternateContent>
    <mc:AlternateContent xmlns:mc="http://schemas.openxmlformats.org/markup-compatibility/2006">
      <mc:Choice Requires="x14">
        <oleObject progId="MSGraph.Chart.8" shapeId="75751" r:id="rId10">
          <objectPr defaultSize="0" autoPict="0" r:id="rId11">
            <anchor moveWithCells="1" sizeWithCells="1">
              <from>
                <xdr:col>21</xdr:col>
                <xdr:colOff>336550</xdr:colOff>
                <xdr:row>25</xdr:row>
                <xdr:rowOff>69850</xdr:rowOff>
              </from>
              <to>
                <xdr:col>28</xdr:col>
                <xdr:colOff>317500</xdr:colOff>
                <xdr:row>37</xdr:row>
                <xdr:rowOff>69850</xdr:rowOff>
              </to>
            </anchor>
          </objectPr>
        </oleObject>
      </mc:Choice>
      <mc:Fallback>
        <oleObject progId="MSGraph.Chart.8" shapeId="75751" r:id="rId10"/>
      </mc:Fallback>
    </mc:AlternateContent>
    <mc:AlternateContent xmlns:mc="http://schemas.openxmlformats.org/markup-compatibility/2006">
      <mc:Choice Requires="x14">
        <oleObject progId="MSGraph.Chart.8" shapeId="75752" r:id="rId12">
          <objectPr defaultSize="0" autoPict="0" r:id="rId13">
            <anchor moveWithCells="1" sizeWithCells="1">
              <from>
                <xdr:col>0</xdr:col>
                <xdr:colOff>266700</xdr:colOff>
                <xdr:row>37</xdr:row>
                <xdr:rowOff>241300</xdr:rowOff>
              </from>
              <to>
                <xdr:col>3</xdr:col>
                <xdr:colOff>4495800</xdr:colOff>
                <xdr:row>49</xdr:row>
                <xdr:rowOff>76200</xdr:rowOff>
              </to>
            </anchor>
          </objectPr>
        </oleObject>
      </mc:Choice>
      <mc:Fallback>
        <oleObject progId="MSGraph.Chart.8" shapeId="75752" r:id="rId12"/>
      </mc:Fallback>
    </mc:AlternateContent>
    <mc:AlternateContent xmlns:mc="http://schemas.openxmlformats.org/markup-compatibility/2006">
      <mc:Choice Requires="x14">
        <oleObject progId="MSGraph.Chart.8" shapeId="75753" r:id="rId14">
          <objectPr defaultSize="0" autoPict="0" r:id="rId15">
            <anchor moveWithCells="1" sizeWithCells="1">
              <from>
                <xdr:col>4</xdr:col>
                <xdr:colOff>31750</xdr:colOff>
                <xdr:row>38</xdr:row>
                <xdr:rowOff>38100</xdr:rowOff>
              </from>
              <to>
                <xdr:col>14</xdr:col>
                <xdr:colOff>12700</xdr:colOff>
                <xdr:row>49</xdr:row>
                <xdr:rowOff>279400</xdr:rowOff>
              </to>
            </anchor>
          </objectPr>
        </oleObject>
      </mc:Choice>
      <mc:Fallback>
        <oleObject progId="MSGraph.Chart.8" shapeId="75753" r:id="rId14"/>
      </mc:Fallback>
    </mc:AlternateContent>
    <mc:AlternateContent xmlns:mc="http://schemas.openxmlformats.org/markup-compatibility/2006">
      <mc:Choice Requires="x14">
        <oleObject progId="MSGraph.Chart.8" shapeId="75754" r:id="rId16">
          <objectPr defaultSize="0" autoPict="0" r:id="rId17">
            <anchor moveWithCells="1" sizeWithCells="1">
              <from>
                <xdr:col>14</xdr:col>
                <xdr:colOff>260350</xdr:colOff>
                <xdr:row>37</xdr:row>
                <xdr:rowOff>298450</xdr:rowOff>
              </from>
              <to>
                <xdr:col>21</xdr:col>
                <xdr:colOff>228600</xdr:colOff>
                <xdr:row>49</xdr:row>
                <xdr:rowOff>298450</xdr:rowOff>
              </to>
            </anchor>
          </objectPr>
        </oleObject>
      </mc:Choice>
      <mc:Fallback>
        <oleObject progId="MSGraph.Chart.8" shapeId="75754" r:id="rId16"/>
      </mc:Fallback>
    </mc:AlternateContent>
    <mc:AlternateContent xmlns:mc="http://schemas.openxmlformats.org/markup-compatibility/2006">
      <mc:Choice Requires="x14">
        <oleObject progId="MSGraph.Chart.8" shapeId="75755" r:id="rId18">
          <objectPr defaultSize="0" autoPict="0" r:id="rId19">
            <anchor moveWithCells="1" sizeWithCells="1">
              <from>
                <xdr:col>3</xdr:col>
                <xdr:colOff>4641850</xdr:colOff>
                <xdr:row>25</xdr:row>
                <xdr:rowOff>69850</xdr:rowOff>
              </from>
              <to>
                <xdr:col>12</xdr:col>
                <xdr:colOff>228600</xdr:colOff>
                <xdr:row>37</xdr:row>
                <xdr:rowOff>69850</xdr:rowOff>
              </to>
            </anchor>
          </objectPr>
        </oleObject>
      </mc:Choice>
      <mc:Fallback>
        <oleObject progId="MSGraph.Chart.8" shapeId="75755" r:id="rId18"/>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W204"/>
  <sheetViews>
    <sheetView zoomScale="60" zoomScaleNormal="60" workbookViewId="0">
      <selection activeCell="T4" sqref="T4:Y4"/>
    </sheetView>
  </sheetViews>
  <sheetFormatPr defaultColWidth="9.1796875" defaultRowHeight="15.5"/>
  <cols>
    <col min="1" max="1" width="13" style="294" customWidth="1"/>
    <col min="2" max="2" width="2.81640625" style="294" customWidth="1"/>
    <col min="3" max="3" width="9.1796875" style="294"/>
    <col min="4" max="4" width="45.81640625" style="294" customWidth="1"/>
    <col min="5" max="5" width="12" style="294" customWidth="1"/>
    <col min="6" max="10" width="9" style="294" customWidth="1"/>
    <col min="11" max="13" width="10" style="294" customWidth="1"/>
    <col min="14" max="14" width="11.453125" style="294" customWidth="1"/>
    <col min="15" max="17" width="9" style="294" customWidth="1"/>
    <col min="18" max="18" width="13.54296875" style="294" customWidth="1"/>
    <col min="19" max="19" width="9.54296875" style="294" customWidth="1"/>
    <col min="20" max="29" width="12.81640625" style="294" customWidth="1"/>
    <col min="30" max="33" width="9.54296875" style="294" customWidth="1"/>
    <col min="34" max="34" width="41.54296875" style="294" bestFit="1" customWidth="1"/>
    <col min="35" max="35" width="16.54296875" style="294" customWidth="1"/>
    <col min="36" max="36" width="13.1796875" style="294" customWidth="1"/>
    <col min="37" max="37" width="14.453125" style="294" customWidth="1"/>
    <col min="38" max="38" width="13" style="294" customWidth="1"/>
    <col min="39" max="39" width="15.453125" style="294" customWidth="1"/>
    <col min="40" max="41" width="12.81640625" style="294" customWidth="1"/>
    <col min="42" max="48" width="13" style="294" customWidth="1"/>
    <col min="49" max="16384" width="9.1796875" style="294"/>
  </cols>
  <sheetData>
    <row r="1" spans="1:33" ht="16" thickBot="1"/>
    <row r="2" spans="1:33" ht="19.5" customHeight="1">
      <c r="A2" s="1186">
        <f>AO204</f>
        <v>0.99999999999999978</v>
      </c>
      <c r="B2" s="879" t="s">
        <v>27</v>
      </c>
      <c r="C2" s="879"/>
      <c r="D2" s="880"/>
      <c r="E2" s="861" t="s">
        <v>28</v>
      </c>
      <c r="F2" s="862"/>
      <c r="G2" s="862"/>
      <c r="H2" s="863"/>
      <c r="I2" s="1111" t="s">
        <v>65</v>
      </c>
      <c r="J2" s="862"/>
      <c r="K2" s="862"/>
      <c r="L2" s="862"/>
      <c r="M2" s="862"/>
      <c r="N2" s="862"/>
      <c r="O2" s="862"/>
      <c r="P2" s="862"/>
      <c r="Q2" s="862"/>
      <c r="R2" s="1112" t="s">
        <v>30</v>
      </c>
      <c r="S2" s="1113"/>
      <c r="T2" s="794"/>
      <c r="U2" s="795"/>
      <c r="V2" s="795"/>
      <c r="W2" s="795"/>
      <c r="X2" s="795"/>
      <c r="Y2" s="796"/>
      <c r="Z2" s="797" t="s">
        <v>31</v>
      </c>
      <c r="AA2" s="798"/>
      <c r="AB2" s="798"/>
      <c r="AC2" s="798"/>
      <c r="AD2" s="798"/>
      <c r="AE2" s="798"/>
      <c r="AF2" s="798"/>
      <c r="AG2" s="799"/>
    </row>
    <row r="3" spans="1:33" ht="20.25" customHeight="1" thickBot="1">
      <c r="A3" s="1187"/>
      <c r="B3" s="884" t="s">
        <v>32</v>
      </c>
      <c r="C3" s="885"/>
      <c r="D3" s="1104"/>
      <c r="E3" s="884" t="s">
        <v>33</v>
      </c>
      <c r="F3" s="885"/>
      <c r="G3" s="885"/>
      <c r="H3" s="885"/>
      <c r="I3" s="885" t="s">
        <v>34</v>
      </c>
      <c r="J3" s="885"/>
      <c r="K3" s="885"/>
      <c r="L3" s="1104"/>
      <c r="M3" s="1104"/>
      <c r="N3" s="1104"/>
      <c r="O3" s="1104"/>
      <c r="P3" s="1104"/>
      <c r="Q3" s="1104"/>
      <c r="R3" s="843" t="s">
        <v>35</v>
      </c>
      <c r="S3" s="844"/>
      <c r="T3" s="1188">
        <v>45544</v>
      </c>
      <c r="U3" s="1189"/>
      <c r="V3" s="1189"/>
      <c r="W3" s="1189"/>
      <c r="X3" s="1189"/>
      <c r="Y3" s="1190"/>
      <c r="Z3" s="834" t="s">
        <v>148</v>
      </c>
      <c r="AA3" s="835"/>
      <c r="AB3" s="835"/>
      <c r="AC3" s="835"/>
      <c r="AD3" s="835"/>
      <c r="AE3" s="835"/>
      <c r="AF3" s="835"/>
      <c r="AG3" s="836"/>
    </row>
    <row r="4" spans="1:33" ht="33.75" customHeight="1" thickBot="1">
      <c r="A4" s="427" t="s">
        <v>213</v>
      </c>
      <c r="B4" s="825" t="s">
        <v>36</v>
      </c>
      <c r="C4" s="859"/>
      <c r="D4" s="860"/>
      <c r="E4" s="1191" t="s">
        <v>253</v>
      </c>
      <c r="F4" s="1192"/>
      <c r="G4" s="1192"/>
      <c r="H4" s="1192"/>
      <c r="I4" s="728" t="s">
        <v>252</v>
      </c>
      <c r="J4" s="728"/>
      <c r="K4" s="728"/>
      <c r="L4" s="728"/>
      <c r="M4" s="728"/>
      <c r="N4" s="728"/>
      <c r="O4" s="728"/>
      <c r="P4" s="728"/>
      <c r="Q4" s="728"/>
      <c r="R4" s="1114" t="s">
        <v>37</v>
      </c>
      <c r="S4" s="1115"/>
      <c r="T4" s="845" t="s">
        <v>118</v>
      </c>
      <c r="U4" s="846"/>
      <c r="V4" s="846"/>
      <c r="W4" s="846"/>
      <c r="X4" s="846"/>
      <c r="Y4" s="847"/>
      <c r="Z4" s="837"/>
      <c r="AA4" s="838"/>
      <c r="AB4" s="838"/>
      <c r="AC4" s="838"/>
      <c r="AD4" s="838"/>
      <c r="AE4" s="838"/>
      <c r="AF4" s="838"/>
      <c r="AG4" s="839"/>
    </row>
    <row r="5" spans="1:33" ht="77.25" customHeight="1" thickBot="1">
      <c r="A5" s="1116" t="s">
        <v>39</v>
      </c>
      <c r="B5" s="874" t="s">
        <v>40</v>
      </c>
      <c r="C5" s="875"/>
      <c r="D5" s="876"/>
      <c r="E5" s="874" t="s">
        <v>41</v>
      </c>
      <c r="F5" s="875"/>
      <c r="G5" s="875"/>
      <c r="H5" s="887"/>
      <c r="I5" s="888" t="s">
        <v>42</v>
      </c>
      <c r="J5" s="875"/>
      <c r="K5" s="875"/>
      <c r="L5" s="875"/>
      <c r="M5" s="875"/>
      <c r="N5" s="875"/>
      <c r="O5" s="875"/>
      <c r="P5" s="875"/>
      <c r="Q5" s="875"/>
      <c r="R5" s="1158" t="s">
        <v>214</v>
      </c>
      <c r="S5" s="1159"/>
      <c r="T5" s="1180" t="s">
        <v>215</v>
      </c>
      <c r="U5" s="1181"/>
      <c r="V5" s="1158" t="s">
        <v>216</v>
      </c>
      <c r="W5" s="1159"/>
      <c r="X5" s="1158" t="s">
        <v>217</v>
      </c>
      <c r="Y5" s="1159"/>
      <c r="Z5" s="1158" t="s">
        <v>218</v>
      </c>
      <c r="AA5" s="1159"/>
      <c r="AB5" s="1158" t="s">
        <v>219</v>
      </c>
      <c r="AC5" s="1159"/>
      <c r="AD5" s="803"/>
      <c r="AE5" s="804"/>
      <c r="AF5" s="828"/>
      <c r="AG5" s="868"/>
    </row>
    <row r="6" spans="1:33" ht="24" customHeight="1" thickBot="1">
      <c r="A6" s="872"/>
      <c r="B6" s="854" t="s">
        <v>43</v>
      </c>
      <c r="C6" s="855"/>
      <c r="D6" s="856"/>
      <c r="E6" s="861" t="s">
        <v>65</v>
      </c>
      <c r="F6" s="862"/>
      <c r="G6" s="862"/>
      <c r="H6" s="863"/>
      <c r="I6" s="809" t="s">
        <v>266</v>
      </c>
      <c r="J6" s="810"/>
      <c r="K6" s="810"/>
      <c r="L6" s="810"/>
      <c r="M6" s="810"/>
      <c r="N6" s="810"/>
      <c r="O6" s="810"/>
      <c r="P6" s="810"/>
      <c r="Q6" s="810"/>
      <c r="R6" s="498" t="s">
        <v>246</v>
      </c>
      <c r="S6" s="430" t="s">
        <v>254</v>
      </c>
      <c r="T6" s="498" t="s">
        <v>246</v>
      </c>
      <c r="U6" s="430" t="s">
        <v>254</v>
      </c>
      <c r="V6" s="498" t="s">
        <v>246</v>
      </c>
      <c r="W6" s="430" t="s">
        <v>254</v>
      </c>
      <c r="X6" s="498" t="s">
        <v>246</v>
      </c>
      <c r="Y6" s="430" t="s">
        <v>254</v>
      </c>
      <c r="Z6" s="498" t="s">
        <v>246</v>
      </c>
      <c r="AA6" s="430" t="s">
        <v>254</v>
      </c>
      <c r="AB6" s="498" t="s">
        <v>246</v>
      </c>
      <c r="AC6" s="430" t="s">
        <v>254</v>
      </c>
      <c r="AD6" s="499"/>
      <c r="AE6" s="500"/>
      <c r="AF6" s="499"/>
      <c r="AG6" s="296"/>
    </row>
    <row r="7" spans="1:33" ht="24" customHeight="1">
      <c r="A7" s="872"/>
      <c r="B7" s="857"/>
      <c r="C7" s="728"/>
      <c r="D7" s="729"/>
      <c r="E7" s="864"/>
      <c r="F7" s="865"/>
      <c r="G7" s="865"/>
      <c r="H7" s="866"/>
      <c r="I7" s="821" t="s">
        <v>267</v>
      </c>
      <c r="J7" s="822"/>
      <c r="K7" s="822"/>
      <c r="L7" s="822"/>
      <c r="M7" s="822"/>
      <c r="N7" s="822"/>
      <c r="O7" s="822"/>
      <c r="P7" s="822"/>
      <c r="Q7" s="823"/>
      <c r="R7" s="1185" t="s">
        <v>179</v>
      </c>
      <c r="S7" s="1183" t="s">
        <v>179</v>
      </c>
      <c r="T7" s="1154">
        <v>0.99960000000000004</v>
      </c>
      <c r="U7" s="1174">
        <v>0.99980000000000002</v>
      </c>
      <c r="V7" s="1154">
        <v>0.99950000000000006</v>
      </c>
      <c r="W7" s="1174">
        <v>0.99960000000000004</v>
      </c>
      <c r="X7" s="1154">
        <v>1</v>
      </c>
      <c r="Y7" s="1174">
        <v>1</v>
      </c>
      <c r="Z7" s="1154">
        <v>1</v>
      </c>
      <c r="AA7" s="1174">
        <v>1</v>
      </c>
      <c r="AB7" s="1164">
        <v>2.9999999999999997E-4</v>
      </c>
      <c r="AC7" s="1160">
        <v>2.9999999999999997E-4</v>
      </c>
      <c r="AD7" s="1177"/>
      <c r="AE7" s="1167"/>
      <c r="AF7" s="1172"/>
      <c r="AG7" s="1170"/>
    </row>
    <row r="8" spans="1:33" ht="13.5" customHeight="1">
      <c r="A8" s="872"/>
      <c r="B8" s="857"/>
      <c r="C8" s="728"/>
      <c r="D8" s="729"/>
      <c r="E8" s="864"/>
      <c r="F8" s="865"/>
      <c r="G8" s="865"/>
      <c r="H8" s="866"/>
      <c r="I8" s="800" t="s">
        <v>268</v>
      </c>
      <c r="J8" s="801"/>
      <c r="K8" s="801"/>
      <c r="L8" s="801"/>
      <c r="M8" s="801"/>
      <c r="N8" s="801"/>
      <c r="O8" s="801"/>
      <c r="P8" s="801"/>
      <c r="Q8" s="802"/>
      <c r="R8" s="1157"/>
      <c r="S8" s="1182"/>
      <c r="T8" s="1155"/>
      <c r="U8" s="1175"/>
      <c r="V8" s="1155"/>
      <c r="W8" s="1175"/>
      <c r="X8" s="1155"/>
      <c r="Y8" s="1175"/>
      <c r="Z8" s="1155"/>
      <c r="AA8" s="1175"/>
      <c r="AB8" s="1165"/>
      <c r="AC8" s="1161"/>
      <c r="AD8" s="1178"/>
      <c r="AE8" s="1168"/>
      <c r="AF8" s="1172"/>
      <c r="AG8" s="1170"/>
    </row>
    <row r="9" spans="1:33" ht="13.5" customHeight="1">
      <c r="A9" s="872"/>
      <c r="B9" s="857"/>
      <c r="C9" s="728"/>
      <c r="D9" s="729"/>
      <c r="E9" s="864"/>
      <c r="F9" s="865"/>
      <c r="G9" s="865"/>
      <c r="H9" s="866"/>
      <c r="I9" s="800" t="s">
        <v>269</v>
      </c>
      <c r="J9" s="801"/>
      <c r="K9" s="801"/>
      <c r="L9" s="801"/>
      <c r="M9" s="801"/>
      <c r="N9" s="801"/>
      <c r="O9" s="801"/>
      <c r="P9" s="801"/>
      <c r="Q9" s="802"/>
      <c r="R9" s="1156"/>
      <c r="S9" s="1184"/>
      <c r="T9" s="1156"/>
      <c r="U9" s="1184"/>
      <c r="V9" s="1156"/>
      <c r="W9" s="1184"/>
      <c r="X9" s="1156"/>
      <c r="Y9" s="1184"/>
      <c r="Z9" s="1163"/>
      <c r="AA9" s="1176"/>
      <c r="AB9" s="1165"/>
      <c r="AC9" s="1161"/>
      <c r="AD9" s="1178"/>
      <c r="AE9" s="1168"/>
      <c r="AF9" s="1172"/>
      <c r="AG9" s="1170"/>
    </row>
    <row r="10" spans="1:33" ht="13.5" customHeight="1">
      <c r="A10" s="872"/>
      <c r="B10" s="857"/>
      <c r="C10" s="728"/>
      <c r="D10" s="729"/>
      <c r="E10" s="864"/>
      <c r="F10" s="865"/>
      <c r="G10" s="865"/>
      <c r="H10" s="866"/>
      <c r="I10" s="800"/>
      <c r="J10" s="801"/>
      <c r="K10" s="801"/>
      <c r="L10" s="801"/>
      <c r="M10" s="801"/>
      <c r="N10" s="801"/>
      <c r="O10" s="801"/>
      <c r="P10" s="801"/>
      <c r="Q10" s="801"/>
      <c r="R10" s="1157" t="s">
        <v>169</v>
      </c>
      <c r="S10" s="1182" t="s">
        <v>169</v>
      </c>
      <c r="T10" s="1149">
        <v>432</v>
      </c>
      <c r="U10" s="891">
        <v>367</v>
      </c>
      <c r="V10" s="1149">
        <v>472</v>
      </c>
      <c r="W10" s="891">
        <v>420</v>
      </c>
      <c r="X10" s="1149">
        <v>0</v>
      </c>
      <c r="Y10" s="891">
        <v>0</v>
      </c>
      <c r="Z10" s="1149">
        <v>0</v>
      </c>
      <c r="AA10" s="891">
        <v>0</v>
      </c>
      <c r="AB10" s="1165"/>
      <c r="AC10" s="1161"/>
      <c r="AD10" s="1178"/>
      <c r="AE10" s="1168"/>
      <c r="AF10" s="1172"/>
      <c r="AG10" s="1170"/>
    </row>
    <row r="11" spans="1:33" ht="13.5" customHeight="1">
      <c r="A11" s="872"/>
      <c r="B11" s="857"/>
      <c r="C11" s="728"/>
      <c r="D11" s="729"/>
      <c r="E11" s="864"/>
      <c r="F11" s="865"/>
      <c r="G11" s="865"/>
      <c r="H11" s="866"/>
      <c r="R11" s="1157"/>
      <c r="S11" s="1182"/>
      <c r="T11" s="1149"/>
      <c r="U11" s="891"/>
      <c r="V11" s="1149"/>
      <c r="W11" s="891"/>
      <c r="X11" s="1149"/>
      <c r="Y11" s="891"/>
      <c r="Z11" s="1149"/>
      <c r="AA11" s="891"/>
      <c r="AB11" s="1165"/>
      <c r="AC11" s="1161"/>
      <c r="AD11" s="1178"/>
      <c r="AE11" s="1168"/>
      <c r="AF11" s="1172"/>
      <c r="AG11" s="1170"/>
    </row>
    <row r="12" spans="1:33" ht="33" customHeight="1" thickBot="1">
      <c r="A12" s="873"/>
      <c r="B12" s="858"/>
      <c r="C12" s="859"/>
      <c r="D12" s="860"/>
      <c r="E12" s="837"/>
      <c r="F12" s="838"/>
      <c r="G12" s="838"/>
      <c r="H12" s="867"/>
      <c r="I12" s="819"/>
      <c r="J12" s="820"/>
      <c r="K12" s="820"/>
      <c r="L12" s="820"/>
      <c r="M12" s="820"/>
      <c r="N12" s="820"/>
      <c r="O12" s="820"/>
      <c r="P12" s="820"/>
      <c r="Q12" s="820"/>
      <c r="R12" s="1150"/>
      <c r="S12" s="1151"/>
      <c r="T12" s="1150"/>
      <c r="U12" s="1151"/>
      <c r="V12" s="1150"/>
      <c r="W12" s="1151"/>
      <c r="X12" s="1150"/>
      <c r="Y12" s="1151"/>
      <c r="Z12" s="1150"/>
      <c r="AA12" s="1151"/>
      <c r="AB12" s="1166"/>
      <c r="AC12" s="1162"/>
      <c r="AD12" s="1179"/>
      <c r="AE12" s="1169"/>
      <c r="AF12" s="1173"/>
      <c r="AG12" s="1171"/>
    </row>
    <row r="13" spans="1:33" ht="36" customHeight="1" thickBot="1">
      <c r="A13" s="501" t="s">
        <v>45</v>
      </c>
      <c r="B13" s="783" t="s">
        <v>150</v>
      </c>
      <c r="C13" s="1152"/>
      <c r="D13" s="1153"/>
      <c r="E13" s="292" t="s">
        <v>47</v>
      </c>
      <c r="F13" s="293" t="s">
        <v>48</v>
      </c>
      <c r="G13" s="293" t="s">
        <v>49</v>
      </c>
      <c r="H13" s="293" t="s">
        <v>50</v>
      </c>
      <c r="I13" s="293" t="s">
        <v>51</v>
      </c>
      <c r="J13" s="293" t="s">
        <v>52</v>
      </c>
      <c r="K13" s="293" t="s">
        <v>53</v>
      </c>
      <c r="L13" s="293" t="s">
        <v>54</v>
      </c>
      <c r="M13" s="293" t="s">
        <v>55</v>
      </c>
      <c r="N13" s="293" t="s">
        <v>56</v>
      </c>
      <c r="O13" s="293" t="s">
        <v>57</v>
      </c>
      <c r="P13" s="293" t="s">
        <v>58</v>
      </c>
      <c r="Q13" s="293" t="s">
        <v>59</v>
      </c>
      <c r="R13" s="782" t="s">
        <v>60</v>
      </c>
      <c r="S13" s="783"/>
      <c r="T13" s="783"/>
      <c r="U13" s="783"/>
      <c r="V13" s="783"/>
      <c r="W13" s="783"/>
      <c r="X13" s="783"/>
      <c r="Y13" s="784"/>
      <c r="Z13" s="782" t="s">
        <v>61</v>
      </c>
      <c r="AA13" s="783"/>
      <c r="AB13" s="783"/>
      <c r="AC13" s="783"/>
      <c r="AD13" s="783"/>
      <c r="AE13" s="783"/>
      <c r="AF13" s="783"/>
      <c r="AG13" s="784"/>
    </row>
    <row r="14" spans="1:33" ht="58.5" customHeight="1">
      <c r="A14" s="1117">
        <v>1</v>
      </c>
      <c r="B14" s="1128" t="s">
        <v>265</v>
      </c>
      <c r="C14" s="1129"/>
      <c r="D14" s="1130"/>
      <c r="E14" s="608" t="s">
        <v>306</v>
      </c>
      <c r="F14" s="609"/>
      <c r="G14" s="610"/>
      <c r="H14" s="610"/>
      <c r="I14" s="610"/>
      <c r="J14" s="610"/>
      <c r="K14" s="610"/>
      <c r="L14" s="280"/>
      <c r="M14" s="280"/>
      <c r="N14" s="280"/>
      <c r="O14" s="280"/>
      <c r="P14" s="280"/>
      <c r="Q14" s="304"/>
      <c r="R14" s="503" t="s">
        <v>317</v>
      </c>
      <c r="S14" s="1139" t="s">
        <v>318</v>
      </c>
      <c r="T14" s="1139"/>
      <c r="U14" s="1139"/>
      <c r="V14" s="1139"/>
      <c r="W14" s="1139"/>
      <c r="X14" s="1139"/>
      <c r="Y14" s="1140"/>
      <c r="Z14" s="503" t="s">
        <v>118</v>
      </c>
      <c r="AA14" s="1141" t="s">
        <v>319</v>
      </c>
      <c r="AB14" s="1142"/>
      <c r="AC14" s="1142"/>
      <c r="AD14" s="1142"/>
      <c r="AE14" s="1142"/>
      <c r="AF14" s="1142"/>
      <c r="AG14" s="1143"/>
    </row>
    <row r="15" spans="1:33" ht="58.5" customHeight="1">
      <c r="A15" s="1118"/>
      <c r="B15" s="1125" t="s">
        <v>272</v>
      </c>
      <c r="C15" s="1126"/>
      <c r="D15" s="1127"/>
      <c r="E15" s="608" t="s">
        <v>307</v>
      </c>
      <c r="F15" s="611"/>
      <c r="G15" s="612"/>
      <c r="H15" s="612"/>
      <c r="I15" s="612"/>
      <c r="J15" s="612"/>
      <c r="K15" s="613"/>
      <c r="L15" s="281"/>
      <c r="M15" s="281"/>
      <c r="N15" s="281"/>
      <c r="O15" s="281"/>
      <c r="P15" s="281"/>
      <c r="Q15" s="308"/>
      <c r="R15" s="632">
        <v>45413</v>
      </c>
      <c r="S15" s="1144" t="s">
        <v>330</v>
      </c>
      <c r="T15" s="1144"/>
      <c r="U15" s="1144"/>
      <c r="V15" s="1144"/>
      <c r="W15" s="1144"/>
      <c r="X15" s="1144"/>
      <c r="Y15" s="1145"/>
      <c r="Z15" s="633" t="s">
        <v>118</v>
      </c>
      <c r="AA15" s="895" t="s">
        <v>331</v>
      </c>
      <c r="AB15" s="896"/>
      <c r="AC15" s="896"/>
      <c r="AD15" s="896"/>
      <c r="AE15" s="896"/>
      <c r="AF15" s="896"/>
      <c r="AG15" s="897"/>
    </row>
    <row r="16" spans="1:33" ht="58.5" customHeight="1">
      <c r="A16" s="1119"/>
      <c r="B16" s="1122" t="s">
        <v>308</v>
      </c>
      <c r="C16" s="1123"/>
      <c r="D16" s="1124"/>
      <c r="E16" s="608" t="s">
        <v>309</v>
      </c>
      <c r="F16" s="611"/>
      <c r="G16" s="611"/>
      <c r="H16" s="611"/>
      <c r="I16" s="611"/>
      <c r="J16" s="611"/>
      <c r="K16" s="611"/>
      <c r="L16" s="311"/>
      <c r="M16" s="311"/>
      <c r="N16" s="311"/>
      <c r="O16" s="311"/>
      <c r="P16" s="311"/>
      <c r="Q16" s="304"/>
      <c r="R16" s="436">
        <v>45444</v>
      </c>
      <c r="S16" s="742" t="s">
        <v>345</v>
      </c>
      <c r="T16" s="742"/>
      <c r="U16" s="742"/>
      <c r="V16" s="742"/>
      <c r="W16" s="742"/>
      <c r="X16" s="742"/>
      <c r="Y16" s="743"/>
      <c r="Z16" s="633" t="s">
        <v>118</v>
      </c>
      <c r="AA16" s="895" t="s">
        <v>346</v>
      </c>
      <c r="AB16" s="896"/>
      <c r="AC16" s="896"/>
      <c r="AD16" s="896"/>
      <c r="AE16" s="896"/>
      <c r="AF16" s="896"/>
      <c r="AG16" s="897"/>
    </row>
    <row r="17" spans="1:33" ht="58.5" customHeight="1">
      <c r="A17" s="502"/>
      <c r="B17" s="1125" t="s">
        <v>310</v>
      </c>
      <c r="C17" s="1126"/>
      <c r="D17" s="1127"/>
      <c r="E17" s="608" t="s">
        <v>311</v>
      </c>
      <c r="F17" s="611"/>
      <c r="G17" s="611"/>
      <c r="H17" s="611"/>
      <c r="I17" s="611"/>
      <c r="J17" s="611"/>
      <c r="K17" s="611"/>
      <c r="L17" s="281"/>
      <c r="M17" s="281"/>
      <c r="N17" s="281"/>
      <c r="O17" s="281"/>
      <c r="P17" s="281"/>
      <c r="Q17" s="304"/>
      <c r="R17" s="436">
        <v>45474</v>
      </c>
      <c r="S17" s="1135" t="s">
        <v>360</v>
      </c>
      <c r="T17" s="1136"/>
      <c r="U17" s="1136"/>
      <c r="V17" s="1136"/>
      <c r="W17" s="1136"/>
      <c r="X17" s="1136"/>
      <c r="Y17" s="1137"/>
      <c r="Z17" s="633" t="s">
        <v>118</v>
      </c>
      <c r="AA17" s="1096" t="s">
        <v>374</v>
      </c>
      <c r="AB17" s="1097"/>
      <c r="AC17" s="1097"/>
      <c r="AD17" s="1097"/>
      <c r="AE17" s="1097"/>
      <c r="AF17" s="1097"/>
      <c r="AG17" s="1098"/>
    </row>
    <row r="18" spans="1:33" ht="58.5" customHeight="1">
      <c r="A18" s="502"/>
      <c r="B18" s="1125" t="s">
        <v>312</v>
      </c>
      <c r="C18" s="1126"/>
      <c r="D18" s="1127"/>
      <c r="E18" s="614" t="s">
        <v>313</v>
      </c>
      <c r="F18" s="610"/>
      <c r="G18" s="611"/>
      <c r="H18" s="611"/>
      <c r="I18" s="610"/>
      <c r="J18" s="610"/>
      <c r="K18" s="610"/>
      <c r="L18" s="281"/>
      <c r="M18" s="281"/>
      <c r="N18" s="281"/>
      <c r="O18" s="281"/>
      <c r="P18" s="281"/>
      <c r="Q18" s="304"/>
      <c r="R18" s="632">
        <v>45505</v>
      </c>
      <c r="S18" s="1144" t="s">
        <v>373</v>
      </c>
      <c r="T18" s="1144"/>
      <c r="U18" s="1144"/>
      <c r="V18" s="1144"/>
      <c r="W18" s="1144"/>
      <c r="X18" s="1144"/>
      <c r="Y18" s="1145"/>
      <c r="Z18" s="633" t="s">
        <v>118</v>
      </c>
      <c r="AA18" s="1146"/>
      <c r="AB18" s="1147"/>
      <c r="AC18" s="1147"/>
      <c r="AD18" s="1147"/>
      <c r="AE18" s="1147"/>
      <c r="AF18" s="1147"/>
      <c r="AG18" s="1148"/>
    </row>
    <row r="19" spans="1:33" ht="58.5" customHeight="1">
      <c r="A19" s="502"/>
      <c r="B19" s="1125" t="s">
        <v>314</v>
      </c>
      <c r="C19" s="1126"/>
      <c r="D19" s="1127"/>
      <c r="E19" s="608" t="s">
        <v>315</v>
      </c>
      <c r="F19" s="611"/>
      <c r="G19" s="612"/>
      <c r="H19" s="612"/>
      <c r="I19" s="612"/>
      <c r="J19" s="612"/>
      <c r="K19" s="612"/>
      <c r="L19" s="281"/>
      <c r="M19" s="281"/>
      <c r="N19" s="281"/>
      <c r="O19" s="281"/>
      <c r="P19" s="281"/>
      <c r="Q19" s="304"/>
      <c r="R19" s="436"/>
      <c r="S19" s="742"/>
      <c r="T19" s="742"/>
      <c r="U19" s="742"/>
      <c r="V19" s="742"/>
      <c r="W19" s="742"/>
      <c r="X19" s="742"/>
      <c r="Y19" s="743"/>
      <c r="Z19" s="436"/>
      <c r="AA19" s="895"/>
      <c r="AB19" s="896"/>
      <c r="AC19" s="896"/>
      <c r="AD19" s="896"/>
      <c r="AE19" s="896"/>
      <c r="AF19" s="896"/>
      <c r="AG19" s="897"/>
    </row>
    <row r="20" spans="1:33" ht="58.5" customHeight="1">
      <c r="A20" s="502"/>
      <c r="B20" s="1125" t="s">
        <v>316</v>
      </c>
      <c r="C20" s="1126"/>
      <c r="D20" s="1127"/>
      <c r="E20" s="608" t="s">
        <v>307</v>
      </c>
      <c r="F20" s="611"/>
      <c r="G20" s="611"/>
      <c r="H20" s="611"/>
      <c r="I20" s="611"/>
      <c r="J20" s="611"/>
      <c r="K20" s="611"/>
      <c r="L20" s="280"/>
      <c r="M20" s="280"/>
      <c r="N20" s="280"/>
      <c r="O20" s="280"/>
      <c r="P20" s="280"/>
      <c r="Q20" s="304"/>
      <c r="R20" s="436"/>
      <c r="S20" s="742"/>
      <c r="T20" s="742"/>
      <c r="U20" s="742"/>
      <c r="V20" s="742"/>
      <c r="W20" s="742"/>
      <c r="X20" s="742"/>
      <c r="Y20" s="743"/>
      <c r="Z20" s="436"/>
      <c r="AA20" s="895"/>
      <c r="AB20" s="896"/>
      <c r="AC20" s="896"/>
      <c r="AD20" s="896"/>
      <c r="AE20" s="896"/>
      <c r="AF20" s="896"/>
      <c r="AG20" s="897"/>
    </row>
    <row r="21" spans="1:33" ht="58.5" customHeight="1">
      <c r="A21" s="502"/>
      <c r="B21" s="1066"/>
      <c r="C21" s="740"/>
      <c r="D21" s="741"/>
      <c r="E21" s="307"/>
      <c r="F21" s="311"/>
      <c r="G21" s="280"/>
      <c r="H21" s="280"/>
      <c r="I21" s="280"/>
      <c r="J21" s="280"/>
      <c r="K21" s="281"/>
      <c r="L21" s="281"/>
      <c r="M21" s="281"/>
      <c r="N21" s="281"/>
      <c r="O21" s="281"/>
      <c r="P21" s="281"/>
      <c r="Q21" s="304"/>
      <c r="R21" s="436"/>
      <c r="S21" s="742"/>
      <c r="T21" s="742"/>
      <c r="U21" s="742"/>
      <c r="V21" s="742"/>
      <c r="W21" s="742"/>
      <c r="X21" s="742"/>
      <c r="Y21" s="743"/>
      <c r="Z21" s="436"/>
      <c r="AA21" s="895"/>
      <c r="AB21" s="896"/>
      <c r="AC21" s="896"/>
      <c r="AD21" s="896"/>
      <c r="AE21" s="896"/>
      <c r="AF21" s="896"/>
      <c r="AG21" s="897"/>
    </row>
    <row r="22" spans="1:33" ht="33.75" customHeight="1">
      <c r="A22" s="502"/>
      <c r="B22" s="1066"/>
      <c r="C22" s="740"/>
      <c r="D22" s="741"/>
      <c r="E22" s="307"/>
      <c r="F22" s="281"/>
      <c r="G22" s="282"/>
      <c r="H22" s="282"/>
      <c r="I22" s="282"/>
      <c r="J22" s="282"/>
      <c r="K22" s="282"/>
      <c r="L22" s="311"/>
      <c r="M22" s="311"/>
      <c r="N22" s="311"/>
      <c r="O22" s="311"/>
      <c r="P22" s="311"/>
      <c r="Q22" s="304"/>
      <c r="R22" s="436"/>
      <c r="S22" s="742"/>
      <c r="T22" s="742"/>
      <c r="U22" s="742"/>
      <c r="V22" s="742"/>
      <c r="W22" s="742"/>
      <c r="X22" s="742"/>
      <c r="Y22" s="743"/>
      <c r="Z22" s="436"/>
      <c r="AA22" s="895"/>
      <c r="AB22" s="896"/>
      <c r="AC22" s="896"/>
      <c r="AD22" s="896"/>
      <c r="AE22" s="896"/>
      <c r="AF22" s="896"/>
      <c r="AG22" s="897"/>
    </row>
    <row r="23" spans="1:33" ht="33.75" customHeight="1">
      <c r="A23" s="502"/>
      <c r="B23" s="1066"/>
      <c r="C23" s="740"/>
      <c r="D23" s="741"/>
      <c r="E23" s="307"/>
      <c r="F23" s="281"/>
      <c r="G23" s="281"/>
      <c r="H23" s="281"/>
      <c r="I23" s="281"/>
      <c r="J23" s="281"/>
      <c r="K23" s="281"/>
      <c r="L23" s="281"/>
      <c r="M23" s="281"/>
      <c r="N23" s="281"/>
      <c r="O23" s="281"/>
      <c r="P23" s="281"/>
      <c r="Q23" s="304"/>
      <c r="R23" s="436"/>
      <c r="S23" s="742"/>
      <c r="T23" s="742"/>
      <c r="U23" s="742"/>
      <c r="V23" s="742"/>
      <c r="W23" s="742"/>
      <c r="X23" s="742"/>
      <c r="Y23" s="743"/>
      <c r="Z23" s="436"/>
      <c r="AA23" s="895"/>
      <c r="AB23" s="896"/>
      <c r="AC23" s="896"/>
      <c r="AD23" s="896"/>
      <c r="AE23" s="896"/>
      <c r="AF23" s="896"/>
      <c r="AG23" s="897"/>
    </row>
    <row r="24" spans="1:33" ht="33.75" customHeight="1">
      <c r="A24" s="502"/>
      <c r="B24" s="1066"/>
      <c r="C24" s="740"/>
      <c r="D24" s="741"/>
      <c r="E24" s="307"/>
      <c r="F24" s="281"/>
      <c r="G24" s="281"/>
      <c r="H24" s="281"/>
      <c r="I24" s="281"/>
      <c r="J24" s="281"/>
      <c r="K24" s="281"/>
      <c r="L24" s="281"/>
      <c r="M24" s="281"/>
      <c r="N24" s="281"/>
      <c r="O24" s="281"/>
      <c r="P24" s="281"/>
      <c r="Q24" s="304"/>
      <c r="R24" s="436"/>
      <c r="S24" s="742"/>
      <c r="T24" s="742"/>
      <c r="U24" s="742"/>
      <c r="V24" s="742"/>
      <c r="W24" s="742"/>
      <c r="X24" s="742"/>
      <c r="Y24" s="743"/>
      <c r="Z24" s="436"/>
      <c r="AA24" s="895"/>
      <c r="AB24" s="896"/>
      <c r="AC24" s="896"/>
      <c r="AD24" s="896"/>
      <c r="AE24" s="896"/>
      <c r="AF24" s="896"/>
      <c r="AG24" s="897"/>
    </row>
    <row r="25" spans="1:33" ht="33.75" customHeight="1" thickBot="1">
      <c r="A25" s="504"/>
      <c r="B25" s="1131"/>
      <c r="C25" s="1132"/>
      <c r="D25" s="1133"/>
      <c r="E25" s="316"/>
      <c r="F25" s="317"/>
      <c r="G25" s="317"/>
      <c r="H25" s="317"/>
      <c r="I25" s="317"/>
      <c r="J25" s="317"/>
      <c r="K25" s="317"/>
      <c r="L25" s="317"/>
      <c r="M25" s="317"/>
      <c r="N25" s="317"/>
      <c r="O25" s="317"/>
      <c r="P25" s="317"/>
      <c r="Q25" s="335"/>
      <c r="R25" s="440"/>
      <c r="S25" s="749"/>
      <c r="T25" s="749"/>
      <c r="U25" s="749"/>
      <c r="V25" s="749"/>
      <c r="W25" s="749"/>
      <c r="X25" s="749"/>
      <c r="Y25" s="1134"/>
      <c r="Z25" s="440"/>
      <c r="AA25" s="902"/>
      <c r="AB25" s="903"/>
      <c r="AC25" s="903"/>
      <c r="AD25" s="903"/>
      <c r="AE25" s="903"/>
      <c r="AF25" s="903"/>
      <c r="AG25" s="904"/>
    </row>
    <row r="26" spans="1:33" ht="24.65" customHeight="1">
      <c r="A26" s="736"/>
      <c r="B26" s="737"/>
      <c r="C26" s="737"/>
      <c r="D26" s="737"/>
      <c r="E26" s="734"/>
      <c r="F26" s="1121"/>
      <c r="G26" s="730"/>
      <c r="H26" s="730"/>
      <c r="I26" s="730"/>
      <c r="J26" s="730"/>
      <c r="K26" s="730"/>
      <c r="L26" s="730"/>
      <c r="M26" s="730"/>
      <c r="N26" s="730"/>
      <c r="O26" s="730"/>
      <c r="P26" s="730"/>
      <c r="Q26" s="730"/>
      <c r="R26" s="1121"/>
      <c r="S26" s="728"/>
      <c r="T26" s="728"/>
      <c r="U26" s="728"/>
      <c r="V26" s="728"/>
      <c r="W26" s="728"/>
      <c r="X26" s="728"/>
      <c r="Y26" s="728"/>
      <c r="Z26" s="1121"/>
      <c r="AA26" s="1121"/>
      <c r="AB26" s="1121"/>
      <c r="AC26" s="1121"/>
      <c r="AD26" s="1121"/>
      <c r="AE26" s="1121"/>
      <c r="AF26" s="1121"/>
      <c r="AG26" s="1138"/>
    </row>
    <row r="27" spans="1:33" ht="24.65" customHeight="1">
      <c r="A27" s="736"/>
      <c r="B27" s="737"/>
      <c r="C27" s="737"/>
      <c r="D27" s="737"/>
      <c r="E27" s="734"/>
      <c r="F27" s="1121"/>
      <c r="G27" s="730"/>
      <c r="H27" s="730"/>
      <c r="I27" s="730"/>
      <c r="J27" s="730"/>
      <c r="K27" s="730"/>
      <c r="L27" s="730"/>
      <c r="M27" s="730"/>
      <c r="N27" s="730"/>
      <c r="O27" s="730"/>
      <c r="P27" s="730"/>
      <c r="Q27" s="730"/>
      <c r="R27" s="1121"/>
      <c r="S27" s="728"/>
      <c r="T27" s="728"/>
      <c r="U27" s="728"/>
      <c r="V27" s="728"/>
      <c r="W27" s="728"/>
      <c r="X27" s="728"/>
      <c r="Y27" s="728"/>
      <c r="Z27" s="1121"/>
      <c r="AA27" s="728"/>
      <c r="AB27" s="728"/>
      <c r="AC27" s="728"/>
      <c r="AD27" s="728"/>
      <c r="AE27" s="728"/>
      <c r="AF27" s="728"/>
      <c r="AG27" s="729"/>
    </row>
    <row r="28" spans="1:33" ht="24.65" customHeight="1">
      <c r="A28" s="736"/>
      <c r="B28" s="737"/>
      <c r="C28" s="737"/>
      <c r="D28" s="737"/>
      <c r="E28" s="734"/>
      <c r="F28" s="730"/>
      <c r="G28" s="730"/>
      <c r="H28" s="730"/>
      <c r="I28" s="730"/>
      <c r="J28" s="730"/>
      <c r="K28" s="730"/>
      <c r="L28" s="730"/>
      <c r="M28" s="730"/>
      <c r="N28" s="730"/>
      <c r="O28" s="730"/>
      <c r="P28" s="730"/>
      <c r="Q28" s="730"/>
      <c r="R28" s="1121"/>
      <c r="S28" s="728"/>
      <c r="T28" s="728"/>
      <c r="U28" s="728"/>
      <c r="V28" s="728"/>
      <c r="W28" s="728"/>
      <c r="X28" s="728"/>
      <c r="Y28" s="728"/>
      <c r="Z28" s="1121"/>
      <c r="AA28" s="728"/>
      <c r="AB28" s="728"/>
      <c r="AC28" s="728"/>
      <c r="AD28" s="728"/>
      <c r="AE28" s="728"/>
      <c r="AF28" s="728"/>
      <c r="AG28" s="729"/>
    </row>
    <row r="29" spans="1:33" ht="24.65" customHeight="1">
      <c r="A29" s="736"/>
      <c r="B29" s="737"/>
      <c r="C29" s="737"/>
      <c r="D29" s="737"/>
      <c r="E29" s="734"/>
      <c r="F29" s="730"/>
      <c r="G29" s="730"/>
      <c r="H29" s="730"/>
      <c r="I29" s="730"/>
      <c r="J29" s="730"/>
      <c r="K29" s="730"/>
      <c r="L29" s="730"/>
      <c r="M29" s="730"/>
      <c r="N29" s="730"/>
      <c r="O29" s="730"/>
      <c r="P29" s="730"/>
      <c r="Q29" s="730"/>
      <c r="R29" s="1121"/>
      <c r="S29" s="728"/>
      <c r="T29" s="728"/>
      <c r="U29" s="728"/>
      <c r="V29" s="728"/>
      <c r="W29" s="728"/>
      <c r="X29" s="728"/>
      <c r="Y29" s="728"/>
      <c r="Z29" s="1121"/>
      <c r="AA29" s="728"/>
      <c r="AB29" s="728"/>
      <c r="AC29" s="728"/>
      <c r="AD29" s="728"/>
      <c r="AE29" s="728"/>
      <c r="AF29" s="728"/>
      <c r="AG29" s="729"/>
    </row>
    <row r="30" spans="1:33" ht="24.65" customHeight="1">
      <c r="A30" s="736"/>
      <c r="B30" s="737"/>
      <c r="C30" s="737"/>
      <c r="D30" s="737"/>
      <c r="E30" s="734"/>
      <c r="F30" s="730"/>
      <c r="G30" s="730"/>
      <c r="H30" s="730"/>
      <c r="I30" s="730"/>
      <c r="J30" s="730"/>
      <c r="K30" s="730"/>
      <c r="L30" s="730"/>
      <c r="M30" s="730"/>
      <c r="N30" s="730"/>
      <c r="O30" s="730"/>
      <c r="P30" s="730"/>
      <c r="Q30" s="730"/>
      <c r="R30" s="1121"/>
      <c r="S30" s="728"/>
      <c r="T30" s="728"/>
      <c r="U30" s="728"/>
      <c r="V30" s="728"/>
      <c r="W30" s="728"/>
      <c r="X30" s="728"/>
      <c r="Y30" s="728"/>
      <c r="Z30" s="1121"/>
      <c r="AA30" s="728"/>
      <c r="AB30" s="728"/>
      <c r="AC30" s="728"/>
      <c r="AD30" s="728"/>
      <c r="AE30" s="728"/>
      <c r="AF30" s="728"/>
      <c r="AG30" s="729"/>
    </row>
    <row r="31" spans="1:33" ht="24.65" customHeight="1">
      <c r="A31" s="736"/>
      <c r="B31" s="737"/>
      <c r="C31" s="737"/>
      <c r="D31" s="737"/>
      <c r="E31" s="734"/>
      <c r="F31" s="730"/>
      <c r="G31" s="730"/>
      <c r="H31" s="730"/>
      <c r="I31" s="730"/>
      <c r="J31" s="730"/>
      <c r="K31" s="730"/>
      <c r="L31" s="730"/>
      <c r="M31" s="730"/>
      <c r="N31" s="730"/>
      <c r="O31" s="730"/>
      <c r="P31" s="730"/>
      <c r="Q31" s="730"/>
      <c r="R31" s="1121"/>
      <c r="S31" s="728"/>
      <c r="T31" s="728"/>
      <c r="U31" s="728"/>
      <c r="V31" s="728"/>
      <c r="W31" s="728"/>
      <c r="X31" s="728"/>
      <c r="Y31" s="728"/>
      <c r="Z31" s="1121"/>
      <c r="AA31" s="728"/>
      <c r="AB31" s="728"/>
      <c r="AC31" s="728"/>
      <c r="AD31" s="728"/>
      <c r="AE31" s="728"/>
      <c r="AF31" s="728"/>
      <c r="AG31" s="729"/>
    </row>
    <row r="32" spans="1:33" ht="24.65" customHeight="1">
      <c r="A32" s="736"/>
      <c r="B32" s="737"/>
      <c r="C32" s="737"/>
      <c r="D32" s="737"/>
      <c r="E32" s="734"/>
      <c r="F32" s="1121"/>
      <c r="G32" s="730"/>
      <c r="H32" s="730"/>
      <c r="I32" s="730"/>
      <c r="J32" s="730"/>
      <c r="K32" s="730"/>
      <c r="L32" s="730"/>
      <c r="M32" s="730"/>
      <c r="N32" s="730"/>
      <c r="O32" s="730"/>
      <c r="P32" s="730"/>
      <c r="Q32" s="730"/>
      <c r="R32" s="1121"/>
      <c r="S32" s="728"/>
      <c r="T32" s="728"/>
      <c r="U32" s="728"/>
      <c r="V32" s="728"/>
      <c r="W32" s="728"/>
      <c r="X32" s="728"/>
      <c r="Y32" s="728"/>
      <c r="Z32" s="1121"/>
      <c r="AA32" s="728"/>
      <c r="AB32" s="728"/>
      <c r="AC32" s="728"/>
      <c r="AD32" s="728"/>
      <c r="AE32" s="728"/>
      <c r="AF32" s="728"/>
      <c r="AG32" s="729"/>
    </row>
    <row r="33" spans="1:48" ht="24.65" customHeight="1">
      <c r="A33" s="736"/>
      <c r="B33" s="737"/>
      <c r="C33" s="737"/>
      <c r="D33" s="737"/>
      <c r="E33" s="734"/>
      <c r="F33" s="1121"/>
      <c r="G33" s="730"/>
      <c r="H33" s="730"/>
      <c r="I33" s="730"/>
      <c r="J33" s="730"/>
      <c r="K33" s="730"/>
      <c r="L33" s="730"/>
      <c r="M33" s="730"/>
      <c r="N33" s="730"/>
      <c r="O33" s="730"/>
      <c r="P33" s="730"/>
      <c r="Q33" s="730"/>
      <c r="R33" s="1121"/>
      <c r="S33" s="728"/>
      <c r="T33" s="728"/>
      <c r="U33" s="728"/>
      <c r="V33" s="728"/>
      <c r="W33" s="728"/>
      <c r="X33" s="728"/>
      <c r="Y33" s="728"/>
      <c r="Z33" s="1121"/>
      <c r="AA33" s="728"/>
      <c r="AB33" s="728"/>
      <c r="AC33" s="728"/>
      <c r="AD33" s="728"/>
      <c r="AE33" s="728"/>
      <c r="AF33" s="728"/>
      <c r="AG33" s="729"/>
    </row>
    <row r="34" spans="1:48" ht="24.65" customHeight="1">
      <c r="A34" s="736"/>
      <c r="B34" s="737"/>
      <c r="C34" s="737"/>
      <c r="D34" s="737"/>
      <c r="E34" s="734"/>
      <c r="F34" s="1121"/>
      <c r="G34" s="730"/>
      <c r="H34" s="730"/>
      <c r="I34" s="730"/>
      <c r="J34" s="730"/>
      <c r="K34" s="730"/>
      <c r="L34" s="730"/>
      <c r="M34" s="730"/>
      <c r="N34" s="730"/>
      <c r="O34" s="730"/>
      <c r="P34" s="730"/>
      <c r="Q34" s="730"/>
      <c r="R34" s="1121"/>
      <c r="S34" s="728"/>
      <c r="T34" s="728"/>
      <c r="U34" s="728"/>
      <c r="V34" s="728"/>
      <c r="W34" s="728"/>
      <c r="X34" s="728"/>
      <c r="Y34" s="728"/>
      <c r="Z34" s="1121"/>
      <c r="AA34" s="728"/>
      <c r="AB34" s="728"/>
      <c r="AC34" s="728"/>
      <c r="AD34" s="728"/>
      <c r="AE34" s="728"/>
      <c r="AF34" s="728"/>
      <c r="AG34" s="729"/>
    </row>
    <row r="35" spans="1:48" ht="24.65" customHeight="1">
      <c r="A35" s="736"/>
      <c r="B35" s="737"/>
      <c r="C35" s="737"/>
      <c r="D35" s="737"/>
      <c r="E35" s="734"/>
      <c r="F35" s="1121"/>
      <c r="G35" s="730"/>
      <c r="H35" s="730"/>
      <c r="I35" s="730"/>
      <c r="J35" s="730"/>
      <c r="K35" s="730"/>
      <c r="L35" s="730"/>
      <c r="M35" s="730"/>
      <c r="N35" s="730"/>
      <c r="O35" s="730"/>
      <c r="P35" s="730"/>
      <c r="Q35" s="730"/>
      <c r="R35" s="1121"/>
      <c r="S35" s="728"/>
      <c r="T35" s="728"/>
      <c r="U35" s="728"/>
      <c r="V35" s="728"/>
      <c r="W35" s="728"/>
      <c r="X35" s="728"/>
      <c r="Y35" s="728"/>
      <c r="Z35" s="1121"/>
      <c r="AA35" s="728"/>
      <c r="AB35" s="728"/>
      <c r="AC35" s="728"/>
      <c r="AD35" s="728"/>
      <c r="AE35" s="728"/>
      <c r="AF35" s="728"/>
      <c r="AG35" s="729"/>
    </row>
    <row r="36" spans="1:48" ht="24.65" customHeight="1">
      <c r="A36" s="405"/>
      <c r="G36" s="326"/>
      <c r="H36" s="326"/>
      <c r="I36" s="326"/>
      <c r="J36" s="326"/>
      <c r="K36" s="326"/>
      <c r="L36" s="326"/>
      <c r="M36" s="326"/>
      <c r="N36" s="326"/>
      <c r="O36" s="326"/>
      <c r="P36" s="326"/>
      <c r="Q36" s="326"/>
      <c r="AG36" s="406"/>
    </row>
    <row r="37" spans="1:48" ht="24.65" customHeight="1">
      <c r="A37" s="1120"/>
      <c r="B37" s="1121"/>
      <c r="C37" s="1121"/>
      <c r="D37" s="1121"/>
      <c r="E37" s="1121"/>
      <c r="F37" s="1121"/>
      <c r="G37" s="1071"/>
      <c r="H37" s="1071"/>
      <c r="I37" s="1071"/>
      <c r="J37" s="1071"/>
      <c r="K37" s="1071"/>
      <c r="L37" s="1071"/>
      <c r="M37" s="1071"/>
      <c r="N37" s="1071"/>
      <c r="O37" s="1071"/>
      <c r="P37" s="1071"/>
      <c r="Q37" s="1071"/>
      <c r="R37" s="1121"/>
      <c r="S37" s="1121"/>
      <c r="T37" s="1121"/>
      <c r="U37" s="1121"/>
      <c r="V37" s="1121"/>
      <c r="W37" s="1121"/>
      <c r="X37" s="1121"/>
      <c r="Y37" s="1121"/>
      <c r="Z37" s="1121"/>
      <c r="AA37" s="1121"/>
      <c r="AB37" s="1121"/>
      <c r="AC37" s="1121"/>
      <c r="AD37" s="1121"/>
      <c r="AE37" s="1121"/>
      <c r="AF37" s="1121"/>
      <c r="AG37" s="1138"/>
    </row>
    <row r="38" spans="1:48" ht="24.65" customHeight="1">
      <c r="A38" s="1120"/>
      <c r="B38" s="1121"/>
      <c r="C38" s="1121"/>
      <c r="D38" s="1121"/>
      <c r="E38" s="1121"/>
      <c r="F38" s="1121"/>
      <c r="G38" s="1071"/>
      <c r="H38" s="1071"/>
      <c r="I38" s="1071"/>
      <c r="J38" s="1071"/>
      <c r="K38" s="1071"/>
      <c r="L38" s="1071"/>
      <c r="M38" s="1071"/>
      <c r="N38" s="1071"/>
      <c r="O38" s="1071"/>
      <c r="P38" s="1071"/>
      <c r="Q38" s="1071"/>
      <c r="R38" s="1121"/>
      <c r="S38" s="1121"/>
      <c r="T38" s="1121"/>
      <c r="U38" s="1121"/>
      <c r="V38" s="1121"/>
      <c r="W38" s="1121"/>
      <c r="X38" s="1121"/>
      <c r="Y38" s="1121"/>
      <c r="Z38" s="1121"/>
      <c r="AA38" s="1121"/>
      <c r="AB38" s="1121"/>
      <c r="AC38" s="1121"/>
      <c r="AD38" s="1121"/>
      <c r="AE38" s="1121"/>
      <c r="AF38" s="1121"/>
      <c r="AG38" s="1138"/>
    </row>
    <row r="39" spans="1:48" ht="24.65" customHeight="1">
      <c r="A39" s="405"/>
      <c r="G39" s="326"/>
      <c r="H39" s="326"/>
      <c r="I39" s="326"/>
      <c r="J39" s="326"/>
      <c r="K39" s="326"/>
      <c r="L39" s="326"/>
      <c r="M39" s="326"/>
      <c r="N39" s="326"/>
      <c r="O39" s="326"/>
      <c r="P39" s="326"/>
      <c r="Q39" s="326"/>
      <c r="AG39" s="406"/>
    </row>
    <row r="40" spans="1:48" ht="24.65" customHeight="1">
      <c r="A40" s="405"/>
      <c r="G40" s="326"/>
      <c r="H40" s="326"/>
      <c r="I40" s="326"/>
      <c r="J40" s="326"/>
      <c r="K40" s="326"/>
      <c r="L40" s="326"/>
      <c r="M40" s="326"/>
      <c r="N40" s="326"/>
      <c r="O40" s="326"/>
      <c r="P40" s="326"/>
      <c r="Q40" s="326"/>
      <c r="AG40" s="406"/>
    </row>
    <row r="41" spans="1:48" ht="24.65" customHeight="1">
      <c r="A41" s="405"/>
      <c r="G41" s="326"/>
      <c r="H41" s="326"/>
      <c r="I41" s="326"/>
      <c r="J41" s="326"/>
      <c r="K41" s="326"/>
      <c r="L41" s="326"/>
      <c r="M41" s="326"/>
      <c r="N41" s="326"/>
      <c r="O41" s="326"/>
      <c r="P41" s="326"/>
      <c r="Q41" s="326"/>
      <c r="AG41" s="406"/>
    </row>
    <row r="42" spans="1:48" ht="24.65" customHeight="1">
      <c r="A42" s="405"/>
      <c r="G42" s="326"/>
      <c r="H42" s="326"/>
      <c r="I42" s="326"/>
      <c r="J42" s="326"/>
      <c r="K42" s="326"/>
      <c r="L42" s="326"/>
      <c r="M42" s="326"/>
      <c r="N42" s="326"/>
      <c r="O42" s="326"/>
      <c r="P42" s="326"/>
      <c r="Q42" s="326"/>
      <c r="AG42" s="406"/>
    </row>
    <row r="43" spans="1:48" ht="24.65" customHeight="1">
      <c r="A43" s="405"/>
      <c r="G43" s="326"/>
      <c r="H43" s="326"/>
      <c r="I43" s="326"/>
      <c r="J43" s="326"/>
      <c r="K43" s="326"/>
      <c r="L43" s="326"/>
      <c r="M43" s="326"/>
      <c r="N43" s="326"/>
      <c r="O43" s="326"/>
      <c r="P43" s="326"/>
      <c r="Q43" s="326"/>
      <c r="AG43" s="406"/>
    </row>
    <row r="44" spans="1:48" ht="24.65" customHeight="1">
      <c r="A44" s="405"/>
      <c r="G44" s="326"/>
      <c r="H44" s="326"/>
      <c r="I44" s="326"/>
      <c r="J44" s="326"/>
      <c r="K44" s="326"/>
      <c r="L44" s="326"/>
      <c r="M44" s="326"/>
      <c r="N44" s="326"/>
      <c r="O44" s="326"/>
      <c r="P44" s="326"/>
      <c r="Q44" s="326"/>
      <c r="AG44" s="406"/>
    </row>
    <row r="45" spans="1:48" ht="24.65" customHeight="1">
      <c r="A45" s="405"/>
      <c r="G45" s="326"/>
      <c r="H45" s="326"/>
      <c r="I45" s="326"/>
      <c r="J45" s="326"/>
      <c r="K45" s="326"/>
      <c r="L45" s="326"/>
      <c r="M45" s="326"/>
      <c r="N45" s="326"/>
      <c r="O45" s="326"/>
      <c r="P45" s="326"/>
      <c r="Q45" s="326"/>
      <c r="AG45" s="406"/>
    </row>
    <row r="46" spans="1:48" ht="24.65" customHeight="1">
      <c r="A46" s="405"/>
      <c r="G46" s="326"/>
      <c r="H46" s="326"/>
      <c r="I46" s="326"/>
      <c r="J46" s="326"/>
      <c r="K46" s="326"/>
      <c r="L46" s="326"/>
      <c r="M46" s="326"/>
      <c r="N46" s="326"/>
      <c r="O46" s="326"/>
      <c r="P46" s="326"/>
      <c r="Q46" s="326"/>
      <c r="AG46" s="406"/>
    </row>
    <row r="47" spans="1:48" ht="24.65" customHeight="1">
      <c r="A47" s="405"/>
      <c r="G47" s="326"/>
      <c r="H47" s="326"/>
      <c r="I47" s="326"/>
      <c r="J47" s="326"/>
      <c r="K47" s="326"/>
      <c r="L47" s="326"/>
      <c r="M47" s="326"/>
      <c r="N47" s="326"/>
      <c r="O47" s="326"/>
      <c r="P47" s="326"/>
      <c r="Q47" s="326"/>
      <c r="AG47" s="406"/>
      <c r="AK47" s="331"/>
      <c r="AL47" s="331"/>
      <c r="AM47" s="331"/>
      <c r="AN47" s="331"/>
      <c r="AO47" s="331"/>
      <c r="AP47" s="331"/>
      <c r="AQ47" s="331"/>
      <c r="AR47" s="331"/>
      <c r="AS47" s="331"/>
      <c r="AT47" s="331"/>
      <c r="AU47" s="331"/>
      <c r="AV47" s="331"/>
    </row>
    <row r="48" spans="1:48" ht="24.65" customHeight="1">
      <c r="A48" s="405"/>
      <c r="G48" s="326"/>
      <c r="H48" s="326"/>
      <c r="I48" s="326"/>
      <c r="J48" s="326"/>
      <c r="K48" s="326"/>
      <c r="L48" s="326"/>
      <c r="M48" s="326"/>
      <c r="N48" s="326"/>
      <c r="O48" s="326"/>
      <c r="P48" s="326"/>
      <c r="Q48" s="326"/>
      <c r="AG48" s="406"/>
    </row>
    <row r="49" spans="1:49" ht="16" thickBot="1">
      <c r="A49" s="334"/>
      <c r="B49" s="335"/>
      <c r="C49" s="335"/>
      <c r="D49" s="335"/>
      <c r="E49" s="335"/>
      <c r="F49" s="335"/>
      <c r="G49" s="335"/>
      <c r="H49" s="335"/>
      <c r="I49" s="335"/>
      <c r="J49" s="335"/>
      <c r="K49" s="335"/>
      <c r="L49" s="335"/>
      <c r="M49" s="335"/>
      <c r="N49" s="335"/>
      <c r="O49" s="335"/>
      <c r="P49" s="335"/>
      <c r="Q49" s="335"/>
      <c r="R49" s="335"/>
      <c r="S49" s="335"/>
      <c r="T49" s="335"/>
      <c r="U49" s="335"/>
      <c r="V49" s="335"/>
      <c r="W49" s="335"/>
      <c r="X49" s="335"/>
      <c r="Y49" s="335"/>
      <c r="Z49" s="335"/>
      <c r="AA49" s="335"/>
      <c r="AB49" s="335"/>
      <c r="AC49" s="335"/>
      <c r="AD49" s="335"/>
      <c r="AE49" s="335"/>
      <c r="AF49" s="335"/>
      <c r="AG49" s="336"/>
    </row>
    <row r="50" spans="1:49" ht="16" thickBot="1">
      <c r="AI50" s="337"/>
      <c r="AJ50" s="294" t="s">
        <v>95</v>
      </c>
    </row>
    <row r="51" spans="1:49">
      <c r="AH51" s="338" t="s">
        <v>121</v>
      </c>
      <c r="AI51" s="339"/>
      <c r="AJ51" s="339"/>
      <c r="AK51" s="339"/>
      <c r="AL51" s="339"/>
      <c r="AM51" s="339"/>
      <c r="AN51" s="339"/>
      <c r="AO51" s="339"/>
      <c r="AP51" s="339"/>
      <c r="AQ51" s="339"/>
      <c r="AR51" s="339"/>
      <c r="AS51" s="339"/>
      <c r="AT51" s="339"/>
      <c r="AU51" s="339"/>
      <c r="AV51" s="340"/>
    </row>
    <row r="52" spans="1:49">
      <c r="AH52" s="341" t="s">
        <v>1</v>
      </c>
      <c r="AJ52" s="547">
        <v>45352</v>
      </c>
      <c r="AK52" s="547">
        <v>45383</v>
      </c>
      <c r="AL52" s="547">
        <v>45413</v>
      </c>
      <c r="AM52" s="547">
        <v>45444</v>
      </c>
      <c r="AN52" s="547">
        <v>45474</v>
      </c>
      <c r="AO52" s="547">
        <v>45505</v>
      </c>
      <c r="AP52" s="547">
        <v>45536</v>
      </c>
      <c r="AQ52" s="547">
        <v>45566</v>
      </c>
      <c r="AR52" s="547">
        <v>45597</v>
      </c>
      <c r="AS52" s="547">
        <v>45627</v>
      </c>
      <c r="AT52" s="547">
        <v>45658</v>
      </c>
      <c r="AU52" s="547">
        <v>45689</v>
      </c>
      <c r="AV52" s="548">
        <v>45717</v>
      </c>
    </row>
    <row r="53" spans="1:49">
      <c r="AH53" s="344">
        <f>(AV53-AJ53)/12</f>
        <v>0</v>
      </c>
      <c r="AI53" s="345"/>
      <c r="AJ53" s="345">
        <f t="shared" ref="AJ53:AJ55" si="0">$AV$53</f>
        <v>0</v>
      </c>
      <c r="AK53" s="345">
        <f>AJ53+$AH$53</f>
        <v>0</v>
      </c>
      <c r="AL53" s="345">
        <f t="shared" ref="AL53:AU53" si="1">AK53+$AH$53</f>
        <v>0</v>
      </c>
      <c r="AM53" s="345">
        <f t="shared" si="1"/>
        <v>0</v>
      </c>
      <c r="AN53" s="345">
        <f t="shared" si="1"/>
        <v>0</v>
      </c>
      <c r="AO53" s="345">
        <f t="shared" si="1"/>
        <v>0</v>
      </c>
      <c r="AP53" s="345">
        <f t="shared" si="1"/>
        <v>0</v>
      </c>
      <c r="AQ53" s="345">
        <f t="shared" si="1"/>
        <v>0</v>
      </c>
      <c r="AR53" s="345">
        <f t="shared" si="1"/>
        <v>0</v>
      </c>
      <c r="AS53" s="345">
        <f t="shared" si="1"/>
        <v>0</v>
      </c>
      <c r="AT53" s="345">
        <f t="shared" si="1"/>
        <v>0</v>
      </c>
      <c r="AU53" s="345">
        <f t="shared" si="1"/>
        <v>0</v>
      </c>
      <c r="AV53" s="346">
        <v>0</v>
      </c>
    </row>
    <row r="54" spans="1:49">
      <c r="R54" s="592"/>
      <c r="S54" s="592"/>
      <c r="T54" s="592"/>
      <c r="U54" s="592"/>
      <c r="V54" s="592"/>
      <c r="W54" s="592"/>
      <c r="X54" s="592"/>
      <c r="Y54" s="592"/>
      <c r="Z54" s="592"/>
      <c r="AA54" s="592"/>
      <c r="AB54" s="592"/>
      <c r="AC54" s="592"/>
      <c r="AH54" s="344">
        <f>(AV54-AJ54)/12</f>
        <v>0</v>
      </c>
      <c r="AI54" s="505" t="s">
        <v>2</v>
      </c>
      <c r="AJ54" s="345">
        <f t="shared" si="0"/>
        <v>0</v>
      </c>
      <c r="AK54" s="345">
        <f>AJ54+$AH$54</f>
        <v>0</v>
      </c>
      <c r="AL54" s="345">
        <f t="shared" ref="AL54:AU54" si="2">AK54+$AH$54</f>
        <v>0</v>
      </c>
      <c r="AM54" s="345">
        <f t="shared" si="2"/>
        <v>0</v>
      </c>
      <c r="AN54" s="345">
        <f t="shared" si="2"/>
        <v>0</v>
      </c>
      <c r="AO54" s="345">
        <f t="shared" si="2"/>
        <v>0</v>
      </c>
      <c r="AP54" s="345">
        <f t="shared" si="2"/>
        <v>0</v>
      </c>
      <c r="AQ54" s="345">
        <f t="shared" si="2"/>
        <v>0</v>
      </c>
      <c r="AR54" s="345">
        <f t="shared" si="2"/>
        <v>0</v>
      </c>
      <c r="AS54" s="345">
        <f t="shared" si="2"/>
        <v>0</v>
      </c>
      <c r="AT54" s="345">
        <f t="shared" si="2"/>
        <v>0</v>
      </c>
      <c r="AU54" s="345">
        <f t="shared" si="2"/>
        <v>0</v>
      </c>
      <c r="AV54" s="348">
        <f>AV53-(AV53-AV56)*0.5</f>
        <v>0</v>
      </c>
    </row>
    <row r="55" spans="1:49">
      <c r="AH55" s="344">
        <f>(AV55-AJ55)/12</f>
        <v>0</v>
      </c>
      <c r="AI55" s="349" t="s">
        <v>2</v>
      </c>
      <c r="AJ55" s="345">
        <f t="shared" si="0"/>
        <v>0</v>
      </c>
      <c r="AK55" s="345">
        <f>AJ55+$AH$55</f>
        <v>0</v>
      </c>
      <c r="AL55" s="345">
        <f t="shared" ref="AL55:AU55" si="3">AK55+$AH$55</f>
        <v>0</v>
      </c>
      <c r="AM55" s="345">
        <f t="shared" si="3"/>
        <v>0</v>
      </c>
      <c r="AN55" s="345">
        <f t="shared" si="3"/>
        <v>0</v>
      </c>
      <c r="AO55" s="345">
        <f t="shared" si="3"/>
        <v>0</v>
      </c>
      <c r="AP55" s="345">
        <f t="shared" si="3"/>
        <v>0</v>
      </c>
      <c r="AQ55" s="345">
        <f t="shared" si="3"/>
        <v>0</v>
      </c>
      <c r="AR55" s="345">
        <f t="shared" si="3"/>
        <v>0</v>
      </c>
      <c r="AS55" s="345">
        <f t="shared" si="3"/>
        <v>0</v>
      </c>
      <c r="AT55" s="345">
        <f t="shared" si="3"/>
        <v>0</v>
      </c>
      <c r="AU55" s="345">
        <f t="shared" si="3"/>
        <v>0</v>
      </c>
      <c r="AV55" s="350">
        <f>AV53-(AV53-AV56)*0.8</f>
        <v>0</v>
      </c>
    </row>
    <row r="56" spans="1:49">
      <c r="AH56" s="344">
        <f>(AV56-AJ56)/12</f>
        <v>0</v>
      </c>
      <c r="AI56" s="506" t="s">
        <v>2</v>
      </c>
      <c r="AJ56" s="345">
        <f>$AV$53</f>
        <v>0</v>
      </c>
      <c r="AK56" s="345">
        <f>AJ56+$AH$56</f>
        <v>0</v>
      </c>
      <c r="AL56" s="345">
        <f t="shared" ref="AL56:AU56" si="4">AK56+$AH$56</f>
        <v>0</v>
      </c>
      <c r="AM56" s="345">
        <f t="shared" si="4"/>
        <v>0</v>
      </c>
      <c r="AN56" s="345">
        <f t="shared" si="4"/>
        <v>0</v>
      </c>
      <c r="AO56" s="345">
        <f t="shared" si="4"/>
        <v>0</v>
      </c>
      <c r="AP56" s="345">
        <f t="shared" si="4"/>
        <v>0</v>
      </c>
      <c r="AQ56" s="345">
        <f t="shared" si="4"/>
        <v>0</v>
      </c>
      <c r="AR56" s="345">
        <f t="shared" si="4"/>
        <v>0</v>
      </c>
      <c r="AS56" s="345">
        <f t="shared" si="4"/>
        <v>0</v>
      </c>
      <c r="AT56" s="345">
        <f t="shared" si="4"/>
        <v>0</v>
      </c>
      <c r="AU56" s="345">
        <f t="shared" si="4"/>
        <v>0</v>
      </c>
      <c r="AV56" s="352">
        <v>0</v>
      </c>
    </row>
    <row r="57" spans="1:49">
      <c r="AH57" s="1120" t="s">
        <v>3</v>
      </c>
      <c r="AI57" s="1121"/>
      <c r="AJ57" s="355"/>
      <c r="AK57" s="356">
        <f>AK59</f>
        <v>0</v>
      </c>
      <c r="AL57" s="356">
        <f t="shared" ref="AL57:AS57" si="5">AK57+AL59</f>
        <v>0</v>
      </c>
      <c r="AM57" s="356">
        <f t="shared" si="5"/>
        <v>0</v>
      </c>
      <c r="AN57" s="356">
        <f t="shared" si="5"/>
        <v>0</v>
      </c>
      <c r="AO57" s="356">
        <f t="shared" si="5"/>
        <v>0</v>
      </c>
      <c r="AP57" s="356">
        <f t="shared" si="5"/>
        <v>0</v>
      </c>
      <c r="AQ57" s="356">
        <f t="shared" si="5"/>
        <v>0</v>
      </c>
      <c r="AR57" s="356">
        <f t="shared" si="5"/>
        <v>0</v>
      </c>
      <c r="AS57" s="356">
        <f t="shared" si="5"/>
        <v>0</v>
      </c>
      <c r="AT57" s="356">
        <f>AS57+AT59</f>
        <v>0</v>
      </c>
      <c r="AU57" s="356">
        <f>AT57+AU59</f>
        <v>0</v>
      </c>
      <c r="AV57" s="357">
        <v>0</v>
      </c>
    </row>
    <row r="58" spans="1:49">
      <c r="AH58" s="405"/>
      <c r="AJ58" s="355"/>
      <c r="AK58" s="355"/>
      <c r="AL58" s="356"/>
      <c r="AM58" s="355"/>
      <c r="AN58" s="355"/>
      <c r="AO58" s="355"/>
      <c r="AP58" s="356"/>
      <c r="AQ58" s="356"/>
      <c r="AR58" s="356"/>
      <c r="AS58" s="356"/>
      <c r="AT58" s="356"/>
      <c r="AU58" s="356"/>
      <c r="AV58" s="357"/>
    </row>
    <row r="59" spans="1:49">
      <c r="AH59" s="1120" t="s">
        <v>4</v>
      </c>
      <c r="AI59" s="1121"/>
      <c r="AJ59" s="331"/>
      <c r="AK59" s="358">
        <v>0</v>
      </c>
      <c r="AL59" s="358">
        <v>0</v>
      </c>
      <c r="AM59" s="358">
        <v>0</v>
      </c>
      <c r="AN59" s="358">
        <v>0</v>
      </c>
      <c r="AO59" s="358">
        <v>0</v>
      </c>
      <c r="AP59" s="358"/>
      <c r="AQ59" s="358"/>
      <c r="AR59" s="358"/>
      <c r="AS59" s="358"/>
      <c r="AT59" s="358"/>
      <c r="AU59" s="507"/>
      <c r="AV59" s="359"/>
    </row>
    <row r="60" spans="1:49">
      <c r="AH60" s="405"/>
      <c r="AJ60" s="331"/>
      <c r="AK60" s="331">
        <f>AK59</f>
        <v>0</v>
      </c>
      <c r="AL60" s="331">
        <f>AL59</f>
        <v>0</v>
      </c>
      <c r="AM60" s="331">
        <f>AM59</f>
        <v>0</v>
      </c>
      <c r="AN60" s="331">
        <f>AN59</f>
        <v>0</v>
      </c>
      <c r="AO60" s="331">
        <f t="shared" ref="AO60:AV60" si="6">AO59</f>
        <v>0</v>
      </c>
      <c r="AP60" s="331">
        <f t="shared" si="6"/>
        <v>0</v>
      </c>
      <c r="AQ60" s="331">
        <f t="shared" si="6"/>
        <v>0</v>
      </c>
      <c r="AR60" s="331">
        <f t="shared" si="6"/>
        <v>0</v>
      </c>
      <c r="AS60" s="331">
        <f t="shared" si="6"/>
        <v>0</v>
      </c>
      <c r="AT60" s="331">
        <f t="shared" si="6"/>
        <v>0</v>
      </c>
      <c r="AU60" s="331">
        <f t="shared" si="6"/>
        <v>0</v>
      </c>
      <c r="AV60" s="360">
        <f t="shared" si="6"/>
        <v>0</v>
      </c>
    </row>
    <row r="61" spans="1:49">
      <c r="AH61" s="1120" t="s">
        <v>5</v>
      </c>
      <c r="AI61" s="1121"/>
      <c r="AK61" s="361">
        <v>1</v>
      </c>
      <c r="AL61" s="361">
        <v>1</v>
      </c>
      <c r="AM61" s="361">
        <v>1</v>
      </c>
      <c r="AN61" s="361">
        <v>1</v>
      </c>
      <c r="AO61" s="361">
        <v>1</v>
      </c>
      <c r="AP61" s="361">
        <v>1</v>
      </c>
      <c r="AQ61" s="361">
        <v>1</v>
      </c>
      <c r="AR61" s="361">
        <v>1</v>
      </c>
      <c r="AS61" s="361">
        <v>1</v>
      </c>
      <c r="AT61" s="361">
        <v>1</v>
      </c>
      <c r="AU61" s="361">
        <v>1</v>
      </c>
      <c r="AV61" s="362">
        <v>1</v>
      </c>
    </row>
    <row r="62" spans="1:49">
      <c r="Q62" s="294" t="s">
        <v>76</v>
      </c>
      <c r="AH62" s="1120" t="s">
        <v>6</v>
      </c>
      <c r="AI62" s="1121"/>
      <c r="AK62" s="363">
        <v>1</v>
      </c>
      <c r="AL62" s="363">
        <f>IF(OR(AL61&gt;=100%),100%,IF(OR(AL61&lt;=0%),0%,AVERAGE(AL61)))</f>
        <v>1</v>
      </c>
      <c r="AM62" s="363">
        <f>IF(OR(AM61&gt;=100%),100%,IF(OR(AM61&lt;=0%),0%,AVERAGE(AM61)))</f>
        <v>1</v>
      </c>
      <c r="AN62" s="363">
        <f>IF(OR(AN61&gt;=100%),100%,IF(OR(AN61&lt;=0%),0%,AVERAGE(AN61)))</f>
        <v>1</v>
      </c>
      <c r="AO62" s="363">
        <f t="shared" ref="AO62:AV62" si="7">IF(OR(AO61&gt;=100%),100%,IF(OR(AO61&lt;=0%),0%,AVERAGE(AO61)))</f>
        <v>1</v>
      </c>
      <c r="AP62" s="363">
        <f t="shared" si="7"/>
        <v>1</v>
      </c>
      <c r="AQ62" s="363">
        <f t="shared" si="7"/>
        <v>1</v>
      </c>
      <c r="AR62" s="363">
        <f t="shared" si="7"/>
        <v>1</v>
      </c>
      <c r="AS62" s="363">
        <f t="shared" si="7"/>
        <v>1</v>
      </c>
      <c r="AT62" s="363">
        <f t="shared" si="7"/>
        <v>1</v>
      </c>
      <c r="AU62" s="363">
        <f t="shared" si="7"/>
        <v>1</v>
      </c>
      <c r="AV62" s="364">
        <f t="shared" si="7"/>
        <v>1</v>
      </c>
      <c r="AW62" s="363"/>
    </row>
    <row r="63" spans="1:49">
      <c r="AH63" s="717" t="s">
        <v>7</v>
      </c>
      <c r="AI63" s="718"/>
      <c r="AK63" s="451">
        <f>AK62*0.05</f>
        <v>0.05</v>
      </c>
      <c r="AL63" s="451">
        <f t="shared" ref="AL63:AV63" si="8">AL62*0.05</f>
        <v>0.05</v>
      </c>
      <c r="AM63" s="451">
        <f t="shared" si="8"/>
        <v>0.05</v>
      </c>
      <c r="AN63" s="451">
        <f t="shared" si="8"/>
        <v>0.05</v>
      </c>
      <c r="AO63" s="451">
        <f t="shared" si="8"/>
        <v>0.05</v>
      </c>
      <c r="AP63" s="451">
        <f t="shared" si="8"/>
        <v>0.05</v>
      </c>
      <c r="AQ63" s="451">
        <f t="shared" si="8"/>
        <v>0.05</v>
      </c>
      <c r="AR63" s="451">
        <f t="shared" si="8"/>
        <v>0.05</v>
      </c>
      <c r="AS63" s="451">
        <f t="shared" si="8"/>
        <v>0.05</v>
      </c>
      <c r="AT63" s="451">
        <f t="shared" si="8"/>
        <v>0.05</v>
      </c>
      <c r="AU63" s="451">
        <f t="shared" si="8"/>
        <v>0.05</v>
      </c>
      <c r="AV63" s="452">
        <f t="shared" si="8"/>
        <v>0.05</v>
      </c>
    </row>
    <row r="64" spans="1:49">
      <c r="AH64" s="367"/>
      <c r="AI64" s="368"/>
      <c r="AJ64" s="368"/>
      <c r="AK64" s="369"/>
      <c r="AL64" s="369"/>
      <c r="AM64" s="369"/>
      <c r="AN64" s="369"/>
      <c r="AO64" s="369"/>
      <c r="AP64" s="369"/>
      <c r="AQ64" s="369"/>
      <c r="AR64" s="369"/>
      <c r="AS64" s="369"/>
      <c r="AT64" s="369"/>
      <c r="AU64" s="369"/>
      <c r="AV64" s="370"/>
    </row>
    <row r="65" spans="34:48">
      <c r="AH65" s="367"/>
      <c r="AI65" s="368"/>
      <c r="AJ65" s="368"/>
      <c r="AK65" s="369"/>
      <c r="AL65" s="369"/>
      <c r="AM65" s="369"/>
      <c r="AN65" s="369"/>
      <c r="AO65" s="369"/>
      <c r="AP65" s="369"/>
      <c r="AQ65" s="369"/>
      <c r="AR65" s="369"/>
      <c r="AS65" s="369"/>
      <c r="AT65" s="369"/>
      <c r="AU65" s="369"/>
      <c r="AV65" s="370"/>
    </row>
    <row r="66" spans="34:48">
      <c r="AH66" s="341" t="s">
        <v>8</v>
      </c>
      <c r="AJ66" s="547">
        <v>45352</v>
      </c>
      <c r="AK66" s="547">
        <v>45383</v>
      </c>
      <c r="AL66" s="547">
        <v>45413</v>
      </c>
      <c r="AM66" s="547">
        <v>45444</v>
      </c>
      <c r="AN66" s="547">
        <v>45474</v>
      </c>
      <c r="AO66" s="547">
        <v>45505</v>
      </c>
      <c r="AP66" s="547">
        <v>45536</v>
      </c>
      <c r="AQ66" s="547">
        <v>45566</v>
      </c>
      <c r="AR66" s="547">
        <v>45597</v>
      </c>
      <c r="AS66" s="547">
        <v>45627</v>
      </c>
      <c r="AT66" s="547">
        <v>45658</v>
      </c>
      <c r="AU66" s="547">
        <v>45689</v>
      </c>
      <c r="AV66" s="548">
        <v>45717</v>
      </c>
    </row>
    <row r="67" spans="34:48">
      <c r="AH67" s="344">
        <f>(AV67-AJ67)/12</f>
        <v>0</v>
      </c>
      <c r="AI67" s="345"/>
      <c r="AJ67" s="345">
        <f>AV67</f>
        <v>0</v>
      </c>
      <c r="AK67" s="345">
        <f>AJ67+$AH$67</f>
        <v>0</v>
      </c>
      <c r="AL67" s="345">
        <f t="shared" ref="AL67:AU67" si="9">AK67+$AH$67</f>
        <v>0</v>
      </c>
      <c r="AM67" s="345">
        <f t="shared" si="9"/>
        <v>0</v>
      </c>
      <c r="AN67" s="345">
        <f t="shared" si="9"/>
        <v>0</v>
      </c>
      <c r="AO67" s="345">
        <f t="shared" si="9"/>
        <v>0</v>
      </c>
      <c r="AP67" s="345">
        <f t="shared" si="9"/>
        <v>0</v>
      </c>
      <c r="AQ67" s="345">
        <f t="shared" si="9"/>
        <v>0</v>
      </c>
      <c r="AR67" s="345">
        <f t="shared" si="9"/>
        <v>0</v>
      </c>
      <c r="AS67" s="345">
        <f t="shared" si="9"/>
        <v>0</v>
      </c>
      <c r="AT67" s="345">
        <f t="shared" si="9"/>
        <v>0</v>
      </c>
      <c r="AU67" s="345">
        <f t="shared" si="9"/>
        <v>0</v>
      </c>
      <c r="AV67" s="346">
        <v>0</v>
      </c>
    </row>
    <row r="68" spans="34:48">
      <c r="AH68" s="344">
        <f>(AV68-AJ68)/12</f>
        <v>0</v>
      </c>
      <c r="AI68" s="505" t="s">
        <v>2</v>
      </c>
      <c r="AJ68" s="345">
        <f>AV67</f>
        <v>0</v>
      </c>
      <c r="AK68" s="345">
        <f>AJ68+$AH$68</f>
        <v>0</v>
      </c>
      <c r="AL68" s="345">
        <f t="shared" ref="AL68:AU68" si="10">AK68+$AH$68</f>
        <v>0</v>
      </c>
      <c r="AM68" s="345">
        <f t="shared" si="10"/>
        <v>0</v>
      </c>
      <c r="AN68" s="345">
        <f t="shared" si="10"/>
        <v>0</v>
      </c>
      <c r="AO68" s="345">
        <f t="shared" si="10"/>
        <v>0</v>
      </c>
      <c r="AP68" s="345">
        <f t="shared" si="10"/>
        <v>0</v>
      </c>
      <c r="AQ68" s="345">
        <f t="shared" si="10"/>
        <v>0</v>
      </c>
      <c r="AR68" s="345">
        <f t="shared" si="10"/>
        <v>0</v>
      </c>
      <c r="AS68" s="345">
        <f t="shared" si="10"/>
        <v>0</v>
      </c>
      <c r="AT68" s="345">
        <f t="shared" si="10"/>
        <v>0</v>
      </c>
      <c r="AU68" s="345">
        <f t="shared" si="10"/>
        <v>0</v>
      </c>
      <c r="AV68" s="348">
        <f>AV67-(AV67-AV70)*0.5</f>
        <v>0</v>
      </c>
    </row>
    <row r="69" spans="34:48">
      <c r="AH69" s="344">
        <f>(AV69-AJ69)/12</f>
        <v>0</v>
      </c>
      <c r="AI69" s="349" t="s">
        <v>2</v>
      </c>
      <c r="AJ69" s="345">
        <f>AV67</f>
        <v>0</v>
      </c>
      <c r="AK69" s="345">
        <f>AJ69+$AH$69</f>
        <v>0</v>
      </c>
      <c r="AL69" s="345">
        <f t="shared" ref="AL69:AU69" si="11">AK69+$AH$69</f>
        <v>0</v>
      </c>
      <c r="AM69" s="345">
        <f t="shared" si="11"/>
        <v>0</v>
      </c>
      <c r="AN69" s="345">
        <f t="shared" si="11"/>
        <v>0</v>
      </c>
      <c r="AO69" s="345">
        <f t="shared" si="11"/>
        <v>0</v>
      </c>
      <c r="AP69" s="345">
        <f t="shared" si="11"/>
        <v>0</v>
      </c>
      <c r="AQ69" s="345">
        <f t="shared" si="11"/>
        <v>0</v>
      </c>
      <c r="AR69" s="345">
        <f t="shared" si="11"/>
        <v>0</v>
      </c>
      <c r="AS69" s="345">
        <f t="shared" si="11"/>
        <v>0</v>
      </c>
      <c r="AT69" s="345">
        <f t="shared" si="11"/>
        <v>0</v>
      </c>
      <c r="AU69" s="345">
        <f t="shared" si="11"/>
        <v>0</v>
      </c>
      <c r="AV69" s="350">
        <f>AV67-(AV67-AV70)*0.8</f>
        <v>0</v>
      </c>
    </row>
    <row r="70" spans="34:48">
      <c r="AH70" s="344">
        <f>(AV70-AJ70)/12</f>
        <v>0</v>
      </c>
      <c r="AI70" s="506" t="s">
        <v>2</v>
      </c>
      <c r="AJ70" s="345">
        <f>AV67</f>
        <v>0</v>
      </c>
      <c r="AK70" s="345">
        <f>AJ70+$AH$70</f>
        <v>0</v>
      </c>
      <c r="AL70" s="345">
        <f t="shared" ref="AL70:AU70" si="12">AK70+$AH$70</f>
        <v>0</v>
      </c>
      <c r="AM70" s="345">
        <f t="shared" si="12"/>
        <v>0</v>
      </c>
      <c r="AN70" s="345">
        <f t="shared" si="12"/>
        <v>0</v>
      </c>
      <c r="AO70" s="345">
        <f t="shared" si="12"/>
        <v>0</v>
      </c>
      <c r="AP70" s="345">
        <f t="shared" si="12"/>
        <v>0</v>
      </c>
      <c r="AQ70" s="345">
        <f t="shared" si="12"/>
        <v>0</v>
      </c>
      <c r="AR70" s="345">
        <f t="shared" si="12"/>
        <v>0</v>
      </c>
      <c r="AS70" s="345">
        <f t="shared" si="12"/>
        <v>0</v>
      </c>
      <c r="AT70" s="345">
        <f t="shared" si="12"/>
        <v>0</v>
      </c>
      <c r="AU70" s="345">
        <f t="shared" si="12"/>
        <v>0</v>
      </c>
      <c r="AV70" s="352">
        <v>0</v>
      </c>
    </row>
    <row r="71" spans="34:48">
      <c r="AH71" s="1120" t="s">
        <v>3</v>
      </c>
      <c r="AI71" s="1121"/>
      <c r="AJ71" s="355"/>
      <c r="AK71" s="356">
        <f>AK73</f>
        <v>0</v>
      </c>
      <c r="AL71" s="356">
        <f t="shared" ref="AL71:AV71" si="13">AK71+AL73</f>
        <v>0</v>
      </c>
      <c r="AM71" s="356">
        <f t="shared" si="13"/>
        <v>0</v>
      </c>
      <c r="AN71" s="356">
        <f t="shared" si="13"/>
        <v>0</v>
      </c>
      <c r="AO71" s="356">
        <f t="shared" si="13"/>
        <v>0</v>
      </c>
      <c r="AP71" s="356">
        <f t="shared" si="13"/>
        <v>0</v>
      </c>
      <c r="AQ71" s="356">
        <f t="shared" si="13"/>
        <v>0</v>
      </c>
      <c r="AR71" s="356">
        <f t="shared" si="13"/>
        <v>0</v>
      </c>
      <c r="AS71" s="356">
        <f t="shared" si="13"/>
        <v>0</v>
      </c>
      <c r="AT71" s="356">
        <f t="shared" si="13"/>
        <v>0</v>
      </c>
      <c r="AU71" s="356">
        <f t="shared" si="13"/>
        <v>0</v>
      </c>
      <c r="AV71" s="357">
        <f t="shared" si="13"/>
        <v>0</v>
      </c>
    </row>
    <row r="72" spans="34:48">
      <c r="AH72" s="405"/>
      <c r="AJ72" s="355"/>
      <c r="AK72" s="355"/>
      <c r="AL72" s="356"/>
      <c r="AM72" s="356"/>
      <c r="AN72" s="355"/>
      <c r="AO72" s="355"/>
      <c r="AP72" s="356"/>
      <c r="AQ72" s="356"/>
      <c r="AR72" s="356"/>
      <c r="AS72" s="356"/>
      <c r="AT72" s="356"/>
      <c r="AU72" s="356"/>
      <c r="AV72" s="357"/>
    </row>
    <row r="73" spans="34:48">
      <c r="AH73" s="1120" t="s">
        <v>4</v>
      </c>
      <c r="AI73" s="1121"/>
      <c r="AJ73" s="331"/>
      <c r="AK73" s="358">
        <v>0</v>
      </c>
      <c r="AL73" s="358">
        <v>0</v>
      </c>
      <c r="AM73" s="358">
        <v>0</v>
      </c>
      <c r="AN73" s="358">
        <v>0</v>
      </c>
      <c r="AO73" s="358">
        <v>0</v>
      </c>
      <c r="AP73" s="358">
        <v>0</v>
      </c>
      <c r="AQ73" s="358">
        <v>0</v>
      </c>
      <c r="AR73" s="358">
        <v>0</v>
      </c>
      <c r="AS73" s="358">
        <v>0</v>
      </c>
      <c r="AT73" s="358">
        <v>0</v>
      </c>
      <c r="AU73" s="358">
        <v>0</v>
      </c>
      <c r="AV73" s="359">
        <v>0</v>
      </c>
    </row>
    <row r="74" spans="34:48">
      <c r="AH74" s="405"/>
      <c r="AJ74" s="331"/>
      <c r="AK74" s="331">
        <f>AK73</f>
        <v>0</v>
      </c>
      <c r="AL74" s="331">
        <f>AL73</f>
        <v>0</v>
      </c>
      <c r="AM74" s="331">
        <f>AM73</f>
        <v>0</v>
      </c>
      <c r="AN74" s="331">
        <f>AN73</f>
        <v>0</v>
      </c>
      <c r="AO74" s="331">
        <f>AO73</f>
        <v>0</v>
      </c>
      <c r="AP74" s="331">
        <f t="shared" ref="AP74:AV74" si="14">AP73</f>
        <v>0</v>
      </c>
      <c r="AQ74" s="331">
        <f t="shared" si="14"/>
        <v>0</v>
      </c>
      <c r="AR74" s="331">
        <f t="shared" si="14"/>
        <v>0</v>
      </c>
      <c r="AS74" s="331">
        <f t="shared" si="14"/>
        <v>0</v>
      </c>
      <c r="AT74" s="331">
        <f t="shared" si="14"/>
        <v>0</v>
      </c>
      <c r="AU74" s="331">
        <f t="shared" si="14"/>
        <v>0</v>
      </c>
      <c r="AV74" s="360">
        <f t="shared" si="14"/>
        <v>0</v>
      </c>
    </row>
    <row r="75" spans="34:48">
      <c r="AH75" s="1120" t="s">
        <v>5</v>
      </c>
      <c r="AI75" s="1121"/>
      <c r="AK75" s="361">
        <v>1</v>
      </c>
      <c r="AL75" s="361">
        <v>1</v>
      </c>
      <c r="AM75" s="361">
        <v>1</v>
      </c>
      <c r="AN75" s="361">
        <v>1</v>
      </c>
      <c r="AO75" s="361">
        <v>1</v>
      </c>
      <c r="AP75" s="361">
        <v>1</v>
      </c>
      <c r="AQ75" s="361">
        <v>1</v>
      </c>
      <c r="AR75" s="361">
        <v>1</v>
      </c>
      <c r="AS75" s="361">
        <v>1</v>
      </c>
      <c r="AT75" s="361">
        <v>1</v>
      </c>
      <c r="AU75" s="361">
        <v>1</v>
      </c>
      <c r="AV75" s="362">
        <v>1</v>
      </c>
    </row>
    <row r="76" spans="34:48">
      <c r="AH76" s="1120" t="s">
        <v>6</v>
      </c>
      <c r="AI76" s="1121"/>
      <c r="AK76" s="363">
        <v>1</v>
      </c>
      <c r="AL76" s="363">
        <v>1</v>
      </c>
      <c r="AM76" s="363">
        <v>1</v>
      </c>
      <c r="AN76" s="363">
        <f t="shared" ref="AN76:AV76" si="15">IF(OR(AN75&gt;=100%),100%,IF(OR(AN75&lt;=0%),0%,AVERAGE(AN75)))</f>
        <v>1</v>
      </c>
      <c r="AO76" s="363">
        <f t="shared" si="15"/>
        <v>1</v>
      </c>
      <c r="AP76" s="363">
        <f t="shared" si="15"/>
        <v>1</v>
      </c>
      <c r="AQ76" s="363">
        <f t="shared" si="15"/>
        <v>1</v>
      </c>
      <c r="AR76" s="363">
        <f t="shared" si="15"/>
        <v>1</v>
      </c>
      <c r="AS76" s="363">
        <f t="shared" si="15"/>
        <v>1</v>
      </c>
      <c r="AT76" s="363">
        <f t="shared" si="15"/>
        <v>1</v>
      </c>
      <c r="AU76" s="363">
        <f t="shared" si="15"/>
        <v>1</v>
      </c>
      <c r="AV76" s="364">
        <f t="shared" si="15"/>
        <v>1</v>
      </c>
    </row>
    <row r="77" spans="34:48">
      <c r="AH77" s="717" t="s">
        <v>7</v>
      </c>
      <c r="AI77" s="718"/>
      <c r="AK77" s="451">
        <f>AK76*0.05</f>
        <v>0.05</v>
      </c>
      <c r="AL77" s="451">
        <f t="shared" ref="AL77:AV77" si="16">AL76*0.05</f>
        <v>0.05</v>
      </c>
      <c r="AM77" s="451">
        <f t="shared" si="16"/>
        <v>0.05</v>
      </c>
      <c r="AN77" s="451">
        <f t="shared" si="16"/>
        <v>0.05</v>
      </c>
      <c r="AO77" s="451">
        <f t="shared" si="16"/>
        <v>0.05</v>
      </c>
      <c r="AP77" s="451">
        <f t="shared" si="16"/>
        <v>0.05</v>
      </c>
      <c r="AQ77" s="451">
        <f t="shared" si="16"/>
        <v>0.05</v>
      </c>
      <c r="AR77" s="451">
        <f t="shared" si="16"/>
        <v>0.05</v>
      </c>
      <c r="AS77" s="451">
        <f t="shared" si="16"/>
        <v>0.05</v>
      </c>
      <c r="AT77" s="451">
        <f t="shared" si="16"/>
        <v>0.05</v>
      </c>
      <c r="AU77" s="451">
        <f t="shared" si="16"/>
        <v>0.05</v>
      </c>
      <c r="AV77" s="452">
        <f t="shared" si="16"/>
        <v>0.05</v>
      </c>
    </row>
    <row r="78" spans="34:48">
      <c r="AH78" s="367"/>
      <c r="AI78" s="368"/>
      <c r="AJ78" s="368"/>
      <c r="AK78" s="369"/>
      <c r="AL78" s="369"/>
      <c r="AM78" s="369"/>
      <c r="AN78" s="369"/>
      <c r="AO78" s="369"/>
      <c r="AP78" s="369"/>
      <c r="AQ78" s="369"/>
      <c r="AR78" s="369"/>
      <c r="AS78" s="369"/>
      <c r="AT78" s="369"/>
      <c r="AU78" s="369"/>
      <c r="AV78" s="370"/>
    </row>
    <row r="79" spans="34:48">
      <c r="AH79" s="367"/>
      <c r="AI79" s="368"/>
      <c r="AJ79" s="368"/>
      <c r="AK79" s="369"/>
      <c r="AL79" s="369"/>
      <c r="AM79" s="369"/>
      <c r="AN79" s="369"/>
      <c r="AO79" s="369"/>
      <c r="AP79" s="369"/>
      <c r="AQ79" s="369"/>
      <c r="AR79" s="369"/>
      <c r="AS79" s="369"/>
      <c r="AT79" s="369"/>
      <c r="AU79" s="369"/>
      <c r="AV79" s="370"/>
    </row>
    <row r="80" spans="34:48">
      <c r="AH80" s="367"/>
      <c r="AI80" s="368"/>
      <c r="AJ80" s="368"/>
      <c r="AK80" s="369"/>
      <c r="AL80" s="369"/>
      <c r="AM80" s="369"/>
      <c r="AN80" s="369"/>
      <c r="AO80" s="369"/>
      <c r="AP80" s="369"/>
      <c r="AQ80" s="369"/>
      <c r="AR80" s="369"/>
      <c r="AS80" s="369"/>
      <c r="AT80" s="369"/>
      <c r="AU80" s="369"/>
      <c r="AV80" s="370"/>
    </row>
    <row r="81" spans="34:48">
      <c r="AH81" s="341" t="s">
        <v>111</v>
      </c>
      <c r="AJ81" s="547">
        <v>45352</v>
      </c>
      <c r="AK81" s="547">
        <v>45383</v>
      </c>
      <c r="AL81" s="547">
        <v>45413</v>
      </c>
      <c r="AM81" s="547">
        <v>45444</v>
      </c>
      <c r="AN81" s="547">
        <v>45474</v>
      </c>
      <c r="AO81" s="547">
        <v>45505</v>
      </c>
      <c r="AP81" s="547">
        <v>45536</v>
      </c>
      <c r="AQ81" s="547">
        <v>45566</v>
      </c>
      <c r="AR81" s="547">
        <v>45597</v>
      </c>
      <c r="AS81" s="547">
        <v>45627</v>
      </c>
      <c r="AT81" s="547">
        <v>45658</v>
      </c>
      <c r="AU81" s="547">
        <v>45689</v>
      </c>
      <c r="AV81" s="548">
        <v>45717</v>
      </c>
    </row>
    <row r="82" spans="34:48">
      <c r="AH82" s="372">
        <f>(AV82-AJ82)/12</f>
        <v>-5.416666666666667</v>
      </c>
      <c r="AI82" s="506" t="s">
        <v>2</v>
      </c>
      <c r="AJ82" s="374">
        <f>$AV$85</f>
        <v>432</v>
      </c>
      <c r="AK82" s="374">
        <f>++AJ82+$AH$82</f>
        <v>426.58333333333331</v>
      </c>
      <c r="AL82" s="374">
        <f t="shared" ref="AL82:AU82" si="17">++AK82+$AH$82</f>
        <v>421.16666666666663</v>
      </c>
      <c r="AM82" s="374">
        <f t="shared" si="17"/>
        <v>415.74999999999994</v>
      </c>
      <c r="AN82" s="374">
        <f t="shared" si="17"/>
        <v>410.33333333333326</v>
      </c>
      <c r="AO82" s="374">
        <f t="shared" si="17"/>
        <v>404.91666666666657</v>
      </c>
      <c r="AP82" s="374">
        <f t="shared" si="17"/>
        <v>399.49999999999989</v>
      </c>
      <c r="AQ82" s="374">
        <f t="shared" si="17"/>
        <v>394.0833333333332</v>
      </c>
      <c r="AR82" s="374">
        <f t="shared" si="17"/>
        <v>388.66666666666652</v>
      </c>
      <c r="AS82" s="374">
        <f t="shared" si="17"/>
        <v>383.24999999999983</v>
      </c>
      <c r="AT82" s="374">
        <f t="shared" si="17"/>
        <v>377.83333333333314</v>
      </c>
      <c r="AU82" s="374">
        <f t="shared" si="17"/>
        <v>372.41666666666646</v>
      </c>
      <c r="AV82" s="375">
        <v>367</v>
      </c>
    </row>
    <row r="83" spans="34:48">
      <c r="AH83" s="372">
        <f>(AV83-AJ83)/12</f>
        <v>-4.333333333333333</v>
      </c>
      <c r="AI83" s="508" t="s">
        <v>2</v>
      </c>
      <c r="AJ83" s="374">
        <f>$AV$85</f>
        <v>432</v>
      </c>
      <c r="AK83" s="374">
        <f>++AJ83+$AH$83</f>
        <v>427.66666666666669</v>
      </c>
      <c r="AL83" s="374">
        <f t="shared" ref="AL83:AU83" si="18">++AK83+$AH$83</f>
        <v>423.33333333333337</v>
      </c>
      <c r="AM83" s="374">
        <f t="shared" si="18"/>
        <v>419.00000000000006</v>
      </c>
      <c r="AN83" s="374">
        <f t="shared" si="18"/>
        <v>414.66666666666674</v>
      </c>
      <c r="AO83" s="374">
        <f t="shared" si="18"/>
        <v>410.33333333333343</v>
      </c>
      <c r="AP83" s="374">
        <f t="shared" si="18"/>
        <v>406.00000000000011</v>
      </c>
      <c r="AQ83" s="374">
        <f t="shared" si="18"/>
        <v>401.6666666666668</v>
      </c>
      <c r="AR83" s="374">
        <f t="shared" si="18"/>
        <v>397.33333333333348</v>
      </c>
      <c r="AS83" s="374">
        <f t="shared" si="18"/>
        <v>393.00000000000017</v>
      </c>
      <c r="AT83" s="374">
        <f t="shared" si="18"/>
        <v>388.66666666666686</v>
      </c>
      <c r="AU83" s="374">
        <f t="shared" si="18"/>
        <v>384.33333333333354</v>
      </c>
      <c r="AV83" s="377">
        <f>AV82-(AV82-AV85)*0.2</f>
        <v>380</v>
      </c>
    </row>
    <row r="84" spans="34:48">
      <c r="AH84" s="372">
        <f>(AV84-AJ84)/12</f>
        <v>-2.7083333333333335</v>
      </c>
      <c r="AI84" s="505" t="s">
        <v>2</v>
      </c>
      <c r="AJ84" s="374">
        <f>$AV$85</f>
        <v>432</v>
      </c>
      <c r="AK84" s="374">
        <f>++AJ84+$AH$84</f>
        <v>429.29166666666669</v>
      </c>
      <c r="AL84" s="374">
        <f t="shared" ref="AL84:AU84" si="19">++AK84+$AH$84</f>
        <v>426.58333333333337</v>
      </c>
      <c r="AM84" s="374">
        <f t="shared" si="19"/>
        <v>423.87500000000006</v>
      </c>
      <c r="AN84" s="374">
        <f t="shared" si="19"/>
        <v>421.16666666666674</v>
      </c>
      <c r="AO84" s="374">
        <f t="shared" si="19"/>
        <v>418.45833333333343</v>
      </c>
      <c r="AP84" s="374">
        <f t="shared" si="19"/>
        <v>415.75000000000011</v>
      </c>
      <c r="AQ84" s="374">
        <f t="shared" si="19"/>
        <v>413.0416666666668</v>
      </c>
      <c r="AR84" s="374">
        <f t="shared" si="19"/>
        <v>410.33333333333348</v>
      </c>
      <c r="AS84" s="374">
        <f t="shared" si="19"/>
        <v>407.62500000000017</v>
      </c>
      <c r="AT84" s="374">
        <f t="shared" si="19"/>
        <v>404.91666666666686</v>
      </c>
      <c r="AU84" s="374">
        <f t="shared" si="19"/>
        <v>402.20833333333354</v>
      </c>
      <c r="AV84" s="379">
        <f>AV82-(AV82-AV85)*0.5</f>
        <v>399.5</v>
      </c>
    </row>
    <row r="85" spans="34:48">
      <c r="AH85" s="372">
        <f>(AV85-AJ85)/12</f>
        <v>0</v>
      </c>
      <c r="AI85" s="355"/>
      <c r="AJ85" s="374">
        <f>$AV$85</f>
        <v>432</v>
      </c>
      <c r="AK85" s="374">
        <f>++AJ85+$AH$85</f>
        <v>432</v>
      </c>
      <c r="AL85" s="374">
        <f t="shared" ref="AL85:AU85" si="20">++AK85+$AH$85</f>
        <v>432</v>
      </c>
      <c r="AM85" s="374">
        <f t="shared" si="20"/>
        <v>432</v>
      </c>
      <c r="AN85" s="374">
        <f t="shared" si="20"/>
        <v>432</v>
      </c>
      <c r="AO85" s="374">
        <f t="shared" si="20"/>
        <v>432</v>
      </c>
      <c r="AP85" s="374">
        <f t="shared" si="20"/>
        <v>432</v>
      </c>
      <c r="AQ85" s="374">
        <f t="shared" si="20"/>
        <v>432</v>
      </c>
      <c r="AR85" s="374">
        <f t="shared" si="20"/>
        <v>432</v>
      </c>
      <c r="AS85" s="374">
        <f t="shared" si="20"/>
        <v>432</v>
      </c>
      <c r="AT85" s="374">
        <f t="shared" si="20"/>
        <v>432</v>
      </c>
      <c r="AU85" s="374">
        <f t="shared" si="20"/>
        <v>432</v>
      </c>
      <c r="AV85" s="380">
        <v>432</v>
      </c>
    </row>
    <row r="86" spans="34:48">
      <c r="AH86" s="381" t="s">
        <v>10</v>
      </c>
      <c r="AJ86" s="382"/>
      <c r="AK86" s="383">
        <f t="shared" ref="AK86:AV86" si="21">AK90/AK89*1000000</f>
        <v>315.19889049990547</v>
      </c>
      <c r="AL86" s="383">
        <f>AL90/AL89*1000000</f>
        <v>302.07297579640277</v>
      </c>
      <c r="AM86" s="383">
        <f t="shared" si="21"/>
        <v>215.20185934406473</v>
      </c>
      <c r="AN86" s="383">
        <f t="shared" si="21"/>
        <v>201.81246816648567</v>
      </c>
      <c r="AO86" s="383">
        <f t="shared" si="21"/>
        <v>205.67667626491158</v>
      </c>
      <c r="AP86" s="383" t="e">
        <f>AP90/AP89*1000000</f>
        <v>#DIV/0!</v>
      </c>
      <c r="AQ86" s="383" t="e">
        <f t="shared" si="21"/>
        <v>#DIV/0!</v>
      </c>
      <c r="AR86" s="383" t="e">
        <f t="shared" si="21"/>
        <v>#DIV/0!</v>
      </c>
      <c r="AS86" s="383" t="e">
        <f t="shared" si="21"/>
        <v>#DIV/0!</v>
      </c>
      <c r="AT86" s="383" t="e">
        <f t="shared" si="21"/>
        <v>#DIV/0!</v>
      </c>
      <c r="AU86" s="383" t="e">
        <f t="shared" si="21"/>
        <v>#DIV/0!</v>
      </c>
      <c r="AV86" s="384" t="e">
        <f t="shared" si="21"/>
        <v>#DIV/0!</v>
      </c>
    </row>
    <row r="87" spans="34:48">
      <c r="AH87" s="381" t="s">
        <v>11</v>
      </c>
      <c r="AJ87" s="382"/>
      <c r="AK87" s="361">
        <f>AK88/AK89</f>
        <v>0.99968480110950009</v>
      </c>
      <c r="AL87" s="361">
        <f t="shared" ref="AL87:AV87" si="22">AL88/AL89</f>
        <v>0.99969792702420357</v>
      </c>
      <c r="AM87" s="361">
        <f t="shared" si="22"/>
        <v>0.99978479814065591</v>
      </c>
      <c r="AN87" s="361">
        <f t="shared" si="22"/>
        <v>0.99979818753183347</v>
      </c>
      <c r="AO87" s="361">
        <f t="shared" si="22"/>
        <v>0.99979432332373508</v>
      </c>
      <c r="AP87" s="361" t="e">
        <f t="shared" si="22"/>
        <v>#DIV/0!</v>
      </c>
      <c r="AQ87" s="361" t="e">
        <f t="shared" si="22"/>
        <v>#DIV/0!</v>
      </c>
      <c r="AR87" s="361" t="e">
        <f t="shared" si="22"/>
        <v>#DIV/0!</v>
      </c>
      <c r="AS87" s="361" t="e">
        <f t="shared" si="22"/>
        <v>#DIV/0!</v>
      </c>
      <c r="AT87" s="361" t="e">
        <f t="shared" si="22"/>
        <v>#DIV/0!</v>
      </c>
      <c r="AU87" s="361" t="e">
        <f t="shared" si="22"/>
        <v>#DIV/0!</v>
      </c>
      <c r="AV87" s="362" t="e">
        <f t="shared" si="22"/>
        <v>#DIV/0!</v>
      </c>
    </row>
    <row r="88" spans="34:48" ht="16.5">
      <c r="AH88" s="405"/>
      <c r="AI88" s="294" t="s">
        <v>12</v>
      </c>
      <c r="AJ88" s="385"/>
      <c r="AK88" s="606">
        <v>63432</v>
      </c>
      <c r="AL88" s="509">
        <v>79427</v>
      </c>
      <c r="AM88" s="637">
        <v>92916</v>
      </c>
      <c r="AN88" s="457">
        <v>104036</v>
      </c>
      <c r="AO88" s="659">
        <v>97220</v>
      </c>
      <c r="AP88" s="510"/>
      <c r="AQ88" s="457"/>
      <c r="AR88" s="337"/>
      <c r="AS88" s="455"/>
      <c r="AT88" s="457"/>
      <c r="AU88" s="457"/>
      <c r="AV88" s="460"/>
    </row>
    <row r="89" spans="34:48" ht="16.5">
      <c r="AH89" s="405"/>
      <c r="AI89" s="294" t="s">
        <v>13</v>
      </c>
      <c r="AK89" s="386">
        <v>63452</v>
      </c>
      <c r="AL89" s="461">
        <v>79451</v>
      </c>
      <c r="AM89" s="638">
        <v>92936</v>
      </c>
      <c r="AN89" s="457">
        <v>104057</v>
      </c>
      <c r="AO89" s="455">
        <v>97240</v>
      </c>
      <c r="AP89" s="510"/>
      <c r="AQ89" s="457"/>
      <c r="AR89" s="337"/>
      <c r="AS89" s="455"/>
      <c r="AT89" s="457"/>
      <c r="AU89" s="457"/>
      <c r="AV89" s="460"/>
    </row>
    <row r="90" spans="34:48">
      <c r="AH90" s="405"/>
      <c r="AI90" s="294" t="s">
        <v>14</v>
      </c>
      <c r="AK90" s="386">
        <f>AK89-AK88</f>
        <v>20</v>
      </c>
      <c r="AL90" s="386">
        <v>24</v>
      </c>
      <c r="AM90" s="386">
        <v>20</v>
      </c>
      <c r="AN90" s="457">
        <v>21</v>
      </c>
      <c r="AO90" s="386">
        <f>AO89-AO88</f>
        <v>20</v>
      </c>
      <c r="AP90" s="386"/>
      <c r="AQ90" s="457"/>
      <c r="AR90" s="386"/>
      <c r="AS90" s="386"/>
      <c r="AT90" s="457"/>
      <c r="AU90" s="457"/>
      <c r="AV90" s="387"/>
    </row>
    <row r="91" spans="34:48">
      <c r="AH91" s="405" t="s">
        <v>5</v>
      </c>
      <c r="AK91" s="398">
        <f>(AK86-AK85)/(AK82-AK85)</f>
        <v>21.563281753863528</v>
      </c>
      <c r="AL91" s="398">
        <f t="shared" ref="AL91:AV91" si="23">(AL86-AL85)/(AL82-AL85)</f>
        <v>11.993263772639702</v>
      </c>
      <c r="AM91" s="398">
        <f t="shared" si="23"/>
        <v>13.341424040365201</v>
      </c>
      <c r="AN91" s="398">
        <f t="shared" si="23"/>
        <v>10.624039930777547</v>
      </c>
      <c r="AO91" s="398">
        <f t="shared" si="23"/>
        <v>8.3565534917570812</v>
      </c>
      <c r="AP91" s="398" t="e">
        <f t="shared" si="23"/>
        <v>#DIV/0!</v>
      </c>
      <c r="AQ91" s="398" t="e">
        <f t="shared" si="23"/>
        <v>#DIV/0!</v>
      </c>
      <c r="AR91" s="398" t="e">
        <f t="shared" si="23"/>
        <v>#DIV/0!</v>
      </c>
      <c r="AS91" s="398" t="e">
        <f t="shared" si="23"/>
        <v>#DIV/0!</v>
      </c>
      <c r="AT91" s="398" t="e">
        <f t="shared" si="23"/>
        <v>#DIV/0!</v>
      </c>
      <c r="AU91" s="398" t="e">
        <f t="shared" si="23"/>
        <v>#DIV/0!</v>
      </c>
      <c r="AV91" s="402" t="e">
        <f t="shared" si="23"/>
        <v>#DIV/0!</v>
      </c>
    </row>
    <row r="92" spans="34:48">
      <c r="AH92" s="405" t="s">
        <v>6</v>
      </c>
      <c r="AK92" s="363">
        <f>IF(OR(AK91&gt;=100%),100%,IF(OR(AK91&lt;=0%),0%,AVERAGE(AK91)))</f>
        <v>1</v>
      </c>
      <c r="AL92" s="363">
        <f>IF(OR(AL91&gt;=100%),100%,IF(OR(AL91&lt;=0%),0%,AVERAGE(AL91)))</f>
        <v>1</v>
      </c>
      <c r="AM92" s="363">
        <f t="shared" ref="AM92:AV92" si="24">IF(OR(AM91&gt;=100%),100%,IF(OR(AM91&lt;=0%),0%,AVERAGE(AM91)))</f>
        <v>1</v>
      </c>
      <c r="AN92" s="363">
        <f t="shared" si="24"/>
        <v>1</v>
      </c>
      <c r="AO92" s="363">
        <f t="shared" si="24"/>
        <v>1</v>
      </c>
      <c r="AP92" s="363" t="e">
        <f t="shared" si="24"/>
        <v>#DIV/0!</v>
      </c>
      <c r="AQ92" s="363" t="e">
        <f t="shared" si="24"/>
        <v>#DIV/0!</v>
      </c>
      <c r="AR92" s="363" t="e">
        <f t="shared" si="24"/>
        <v>#DIV/0!</v>
      </c>
      <c r="AS92" s="363" t="e">
        <f t="shared" si="24"/>
        <v>#DIV/0!</v>
      </c>
      <c r="AT92" s="363" t="e">
        <f t="shared" si="24"/>
        <v>#DIV/0!</v>
      </c>
      <c r="AU92" s="363" t="e">
        <f t="shared" si="24"/>
        <v>#DIV/0!</v>
      </c>
      <c r="AV92" s="364" t="e">
        <f t="shared" si="24"/>
        <v>#DIV/0!</v>
      </c>
    </row>
    <row r="93" spans="34:48">
      <c r="AH93" s="717" t="s">
        <v>7</v>
      </c>
      <c r="AI93" s="718"/>
      <c r="AK93" s="451">
        <f>AK92*0.1</f>
        <v>0.1</v>
      </c>
      <c r="AL93" s="451">
        <f t="shared" ref="AL93:AV93" si="25">AL92*0.1</f>
        <v>0.1</v>
      </c>
      <c r="AM93" s="451">
        <f t="shared" si="25"/>
        <v>0.1</v>
      </c>
      <c r="AN93" s="451">
        <f t="shared" si="25"/>
        <v>0.1</v>
      </c>
      <c r="AO93" s="451">
        <f t="shared" si="25"/>
        <v>0.1</v>
      </c>
      <c r="AP93" s="451" t="e">
        <f t="shared" si="25"/>
        <v>#DIV/0!</v>
      </c>
      <c r="AQ93" s="451" t="e">
        <f t="shared" si="25"/>
        <v>#DIV/0!</v>
      </c>
      <c r="AR93" s="451" t="e">
        <f t="shared" si="25"/>
        <v>#DIV/0!</v>
      </c>
      <c r="AS93" s="451" t="e">
        <f t="shared" si="25"/>
        <v>#DIV/0!</v>
      </c>
      <c r="AT93" s="451" t="e">
        <f t="shared" si="25"/>
        <v>#DIV/0!</v>
      </c>
      <c r="AU93" s="451" t="e">
        <f t="shared" si="25"/>
        <v>#DIV/0!</v>
      </c>
      <c r="AV93" s="452" t="e">
        <f t="shared" si="25"/>
        <v>#DIV/0!</v>
      </c>
    </row>
    <row r="94" spans="34:48">
      <c r="AH94" s="367"/>
      <c r="AI94" s="368"/>
      <c r="AJ94" s="368"/>
      <c r="AK94" s="368"/>
      <c r="AL94" s="368"/>
      <c r="AM94" s="368"/>
      <c r="AN94" s="368"/>
      <c r="AO94" s="368"/>
      <c r="AP94" s="368"/>
      <c r="AQ94" s="368"/>
      <c r="AR94" s="368"/>
      <c r="AS94" s="368"/>
      <c r="AT94" s="368"/>
      <c r="AU94" s="368"/>
      <c r="AV94" s="391"/>
    </row>
    <row r="95" spans="34:48">
      <c r="AH95" s="367"/>
      <c r="AI95" s="368"/>
      <c r="AJ95" s="368"/>
      <c r="AK95" s="368"/>
      <c r="AL95" s="368"/>
      <c r="AM95" s="368"/>
      <c r="AN95" s="368"/>
      <c r="AO95" s="368"/>
      <c r="AP95" s="368"/>
      <c r="AQ95" s="368"/>
      <c r="AR95" s="368"/>
      <c r="AS95" s="368"/>
      <c r="AT95" s="368"/>
      <c r="AU95" s="368"/>
      <c r="AV95" s="391"/>
    </row>
    <row r="96" spans="34:48">
      <c r="AH96" s="341" t="s">
        <v>112</v>
      </c>
      <c r="AJ96" s="547">
        <v>45352</v>
      </c>
      <c r="AK96" s="547">
        <v>45383</v>
      </c>
      <c r="AL96" s="547">
        <v>45413</v>
      </c>
      <c r="AM96" s="547">
        <v>45444</v>
      </c>
      <c r="AN96" s="547">
        <v>45474</v>
      </c>
      <c r="AO96" s="547">
        <v>45505</v>
      </c>
      <c r="AP96" s="547">
        <v>45536</v>
      </c>
      <c r="AQ96" s="547">
        <v>45566</v>
      </c>
      <c r="AR96" s="547">
        <v>45597</v>
      </c>
      <c r="AS96" s="547">
        <v>45627</v>
      </c>
      <c r="AT96" s="547">
        <v>45658</v>
      </c>
      <c r="AU96" s="547">
        <v>45689</v>
      </c>
      <c r="AV96" s="548">
        <v>45717</v>
      </c>
    </row>
    <row r="97" spans="34:48">
      <c r="AH97" s="344">
        <f>(AV97-AJ97)/12</f>
        <v>1.6666666666664831E-5</v>
      </c>
      <c r="AI97" s="506" t="s">
        <v>2</v>
      </c>
      <c r="AJ97" s="392">
        <f>$AV$100</f>
        <v>0.99960000000000004</v>
      </c>
      <c r="AK97" s="511">
        <f>AJ97+$AH$97</f>
        <v>0.99961666666666671</v>
      </c>
      <c r="AL97" s="511">
        <f t="shared" ref="AL97:AU97" si="26">AK97+$AH$97</f>
        <v>0.99963333333333337</v>
      </c>
      <c r="AM97" s="511">
        <f t="shared" si="26"/>
        <v>0.99965000000000004</v>
      </c>
      <c r="AN97" s="511">
        <f t="shared" si="26"/>
        <v>0.9996666666666667</v>
      </c>
      <c r="AO97" s="511">
        <f t="shared" si="26"/>
        <v>0.99968333333333337</v>
      </c>
      <c r="AP97" s="511">
        <f t="shared" si="26"/>
        <v>0.99970000000000003</v>
      </c>
      <c r="AQ97" s="511">
        <f t="shared" si="26"/>
        <v>0.9997166666666667</v>
      </c>
      <c r="AR97" s="511">
        <f t="shared" si="26"/>
        <v>0.99973333333333336</v>
      </c>
      <c r="AS97" s="511">
        <f t="shared" si="26"/>
        <v>0.99975000000000003</v>
      </c>
      <c r="AT97" s="511">
        <f t="shared" si="26"/>
        <v>0.99976666666666669</v>
      </c>
      <c r="AU97" s="511">
        <f t="shared" si="26"/>
        <v>0.99978333333333336</v>
      </c>
      <c r="AV97" s="512">
        <v>0.99980000000000002</v>
      </c>
    </row>
    <row r="98" spans="34:48">
      <c r="AH98" s="344">
        <f>(AV98-AJ98)/12</f>
        <v>1.3333333333328165E-5</v>
      </c>
      <c r="AI98" s="508" t="s">
        <v>2</v>
      </c>
      <c r="AJ98" s="392">
        <f>$AV$100</f>
        <v>0.99960000000000004</v>
      </c>
      <c r="AK98" s="513">
        <f>AJ98+$AH$98</f>
        <v>0.99961333333333335</v>
      </c>
      <c r="AL98" s="513">
        <f t="shared" ref="AL98:AU98" si="27">AK98+$AH$98</f>
        <v>0.99962666666666666</v>
      </c>
      <c r="AM98" s="513">
        <f t="shared" si="27"/>
        <v>0.99963999999999997</v>
      </c>
      <c r="AN98" s="513">
        <f t="shared" si="27"/>
        <v>0.99965333333333328</v>
      </c>
      <c r="AO98" s="513">
        <f t="shared" si="27"/>
        <v>0.99966666666666659</v>
      </c>
      <c r="AP98" s="513">
        <f t="shared" si="27"/>
        <v>0.9996799999999999</v>
      </c>
      <c r="AQ98" s="513">
        <f t="shared" si="27"/>
        <v>0.99969333333333321</v>
      </c>
      <c r="AR98" s="513">
        <f t="shared" si="27"/>
        <v>0.99970666666666652</v>
      </c>
      <c r="AS98" s="513">
        <f t="shared" si="27"/>
        <v>0.99971999999999983</v>
      </c>
      <c r="AT98" s="513">
        <f t="shared" si="27"/>
        <v>0.99973333333333314</v>
      </c>
      <c r="AU98" s="513">
        <f t="shared" si="27"/>
        <v>0.99974666666666645</v>
      </c>
      <c r="AV98" s="514">
        <f>AV97-(AV97-AV100)*0.2</f>
        <v>0.99975999999999998</v>
      </c>
    </row>
    <row r="99" spans="34:48">
      <c r="AH99" s="344">
        <f>(AV99-AJ99)/12</f>
        <v>8.3333333333324155E-6</v>
      </c>
      <c r="AI99" s="505" t="s">
        <v>2</v>
      </c>
      <c r="AJ99" s="392">
        <f>$AV$100</f>
        <v>0.99960000000000004</v>
      </c>
      <c r="AK99" s="513">
        <f>++AJ99+$AH$99</f>
        <v>0.99960833333333343</v>
      </c>
      <c r="AL99" s="513">
        <f t="shared" ref="AL99:AU99" si="28">++AK99+$AH$99</f>
        <v>0.99961666666666682</v>
      </c>
      <c r="AM99" s="513">
        <f t="shared" si="28"/>
        <v>0.99962500000000021</v>
      </c>
      <c r="AN99" s="513">
        <f t="shared" si="28"/>
        <v>0.9996333333333336</v>
      </c>
      <c r="AO99" s="513">
        <f t="shared" si="28"/>
        <v>0.99964166666666698</v>
      </c>
      <c r="AP99" s="513">
        <f t="shared" si="28"/>
        <v>0.99965000000000037</v>
      </c>
      <c r="AQ99" s="513">
        <f t="shared" si="28"/>
        <v>0.99965833333333376</v>
      </c>
      <c r="AR99" s="513">
        <f t="shared" si="28"/>
        <v>0.99966666666666715</v>
      </c>
      <c r="AS99" s="513">
        <f t="shared" si="28"/>
        <v>0.99967500000000054</v>
      </c>
      <c r="AT99" s="513">
        <f t="shared" si="28"/>
        <v>0.99968333333333392</v>
      </c>
      <c r="AU99" s="513">
        <f t="shared" si="28"/>
        <v>0.99969166666666731</v>
      </c>
      <c r="AV99" s="515">
        <f>AV97-(AV97-AV100)*0.5</f>
        <v>0.99970000000000003</v>
      </c>
    </row>
    <row r="100" spans="34:48">
      <c r="AH100" s="344">
        <f>(AV100-AJ100)/12</f>
        <v>0</v>
      </c>
      <c r="AI100" s="355"/>
      <c r="AJ100" s="392">
        <f>$AV$100</f>
        <v>0.99960000000000004</v>
      </c>
      <c r="AK100" s="392">
        <f>++AJ100+$AH$100</f>
        <v>0.99960000000000004</v>
      </c>
      <c r="AL100" s="392">
        <f t="shared" ref="AL100:AU100" si="29">++AK100+$AH$100</f>
        <v>0.99960000000000004</v>
      </c>
      <c r="AM100" s="392">
        <f t="shared" si="29"/>
        <v>0.99960000000000004</v>
      </c>
      <c r="AN100" s="392">
        <f t="shared" si="29"/>
        <v>0.99960000000000004</v>
      </c>
      <c r="AO100" s="392">
        <f t="shared" si="29"/>
        <v>0.99960000000000004</v>
      </c>
      <c r="AP100" s="392">
        <f t="shared" si="29"/>
        <v>0.99960000000000004</v>
      </c>
      <c r="AQ100" s="392">
        <f t="shared" si="29"/>
        <v>0.99960000000000004</v>
      </c>
      <c r="AR100" s="392">
        <f t="shared" si="29"/>
        <v>0.99960000000000004</v>
      </c>
      <c r="AS100" s="392">
        <f t="shared" si="29"/>
        <v>0.99960000000000004</v>
      </c>
      <c r="AT100" s="392">
        <f t="shared" si="29"/>
        <v>0.99960000000000004</v>
      </c>
      <c r="AU100" s="392">
        <f t="shared" si="29"/>
        <v>0.99960000000000004</v>
      </c>
      <c r="AV100" s="397">
        <v>0.99960000000000004</v>
      </c>
    </row>
    <row r="101" spans="34:48">
      <c r="AH101" s="405" t="s">
        <v>4</v>
      </c>
      <c r="AJ101" s="398"/>
      <c r="AK101" s="361">
        <f t="shared" ref="AK101:AV101" si="30">AK102/AK103</f>
        <v>0.99968480110950009</v>
      </c>
      <c r="AL101" s="361">
        <f t="shared" si="30"/>
        <v>0.99969792702420357</v>
      </c>
      <c r="AM101" s="361">
        <f t="shared" si="30"/>
        <v>0.99978479814065591</v>
      </c>
      <c r="AN101" s="361">
        <f t="shared" si="30"/>
        <v>0.99979818753183347</v>
      </c>
      <c r="AO101" s="361">
        <f t="shared" si="30"/>
        <v>0.99979432332373508</v>
      </c>
      <c r="AP101" s="361" t="e">
        <f t="shared" si="30"/>
        <v>#DIV/0!</v>
      </c>
      <c r="AQ101" s="361" t="e">
        <f t="shared" si="30"/>
        <v>#DIV/0!</v>
      </c>
      <c r="AR101" s="361" t="e">
        <f t="shared" si="30"/>
        <v>#DIV/0!</v>
      </c>
      <c r="AS101" s="361" t="e">
        <f t="shared" si="30"/>
        <v>#DIV/0!</v>
      </c>
      <c r="AT101" s="361" t="e">
        <f t="shared" si="30"/>
        <v>#DIV/0!</v>
      </c>
      <c r="AU101" s="361" t="e">
        <f t="shared" si="30"/>
        <v>#DIV/0!</v>
      </c>
      <c r="AV101" s="362" t="e">
        <f t="shared" si="30"/>
        <v>#DIV/0!</v>
      </c>
    </row>
    <row r="102" spans="34:48">
      <c r="AH102" s="715" t="s">
        <v>16</v>
      </c>
      <c r="AI102" s="716"/>
      <c r="AJ102" s="399"/>
      <c r="AK102" s="400">
        <f>AK88</f>
        <v>63432</v>
      </c>
      <c r="AL102" s="400">
        <f t="shared" ref="AL102:AV103" si="31">AL88</f>
        <v>79427</v>
      </c>
      <c r="AM102" s="400">
        <f t="shared" si="31"/>
        <v>92916</v>
      </c>
      <c r="AN102" s="400">
        <f t="shared" si="31"/>
        <v>104036</v>
      </c>
      <c r="AO102" s="400">
        <f t="shared" si="31"/>
        <v>97220</v>
      </c>
      <c r="AP102" s="400">
        <f t="shared" si="31"/>
        <v>0</v>
      </c>
      <c r="AQ102" s="400">
        <f t="shared" si="31"/>
        <v>0</v>
      </c>
      <c r="AR102" s="400">
        <f t="shared" si="31"/>
        <v>0</v>
      </c>
      <c r="AS102" s="400">
        <f t="shared" si="31"/>
        <v>0</v>
      </c>
      <c r="AT102" s="400">
        <f t="shared" si="31"/>
        <v>0</v>
      </c>
      <c r="AU102" s="400">
        <f t="shared" si="31"/>
        <v>0</v>
      </c>
      <c r="AV102" s="401">
        <f t="shared" si="31"/>
        <v>0</v>
      </c>
    </row>
    <row r="103" spans="34:48">
      <c r="AH103" s="715" t="s">
        <v>17</v>
      </c>
      <c r="AI103" s="716"/>
      <c r="AJ103" s="399"/>
      <c r="AK103" s="400">
        <f>AK89</f>
        <v>63452</v>
      </c>
      <c r="AL103" s="400">
        <f t="shared" si="31"/>
        <v>79451</v>
      </c>
      <c r="AM103" s="400">
        <f t="shared" si="31"/>
        <v>92936</v>
      </c>
      <c r="AN103" s="400">
        <f t="shared" si="31"/>
        <v>104057</v>
      </c>
      <c r="AO103" s="400">
        <f t="shared" si="31"/>
        <v>97240</v>
      </c>
      <c r="AP103" s="400">
        <f t="shared" si="31"/>
        <v>0</v>
      </c>
      <c r="AQ103" s="400">
        <f t="shared" si="31"/>
        <v>0</v>
      </c>
      <c r="AR103" s="400">
        <f t="shared" si="31"/>
        <v>0</v>
      </c>
      <c r="AS103" s="400">
        <f t="shared" si="31"/>
        <v>0</v>
      </c>
      <c r="AT103" s="400">
        <f t="shared" si="31"/>
        <v>0</v>
      </c>
      <c r="AU103" s="400">
        <f t="shared" si="31"/>
        <v>0</v>
      </c>
      <c r="AV103" s="401">
        <f t="shared" si="31"/>
        <v>0</v>
      </c>
    </row>
    <row r="104" spans="34:48">
      <c r="AH104" s="405" t="s">
        <v>5</v>
      </c>
      <c r="AK104" s="361">
        <f>(AK101-AK100)/(AK97-AK100)</f>
        <v>5.0880665700031633</v>
      </c>
      <c r="AL104" s="361">
        <f>(AL101-AL100)/(AL97-AL100)</f>
        <v>2.9378107261060955</v>
      </c>
      <c r="AM104" s="361">
        <f>(AM101-AM100)/(AM97-AM100)</f>
        <v>3.6959628131176445</v>
      </c>
      <c r="AN104" s="361">
        <f>(AN101-AN100)/(AN97-AN100)</f>
        <v>2.9728129775017318</v>
      </c>
      <c r="AO104" s="361">
        <f t="shared" ref="AO104:AV104" si="32">(AO101-AO100)/(AO97-AO100)</f>
        <v>2.331879884820677</v>
      </c>
      <c r="AP104" s="361" t="e">
        <f t="shared" si="32"/>
        <v>#DIV/0!</v>
      </c>
      <c r="AQ104" s="361" t="e">
        <f t="shared" si="32"/>
        <v>#DIV/0!</v>
      </c>
      <c r="AR104" s="361" t="e">
        <f t="shared" si="32"/>
        <v>#DIV/0!</v>
      </c>
      <c r="AS104" s="361" t="e">
        <f t="shared" si="32"/>
        <v>#DIV/0!</v>
      </c>
      <c r="AT104" s="361" t="e">
        <f t="shared" si="32"/>
        <v>#DIV/0!</v>
      </c>
      <c r="AU104" s="361" t="e">
        <f t="shared" si="32"/>
        <v>#DIV/0!</v>
      </c>
      <c r="AV104" s="362" t="e">
        <f t="shared" si="32"/>
        <v>#DIV/0!</v>
      </c>
    </row>
    <row r="105" spans="34:48">
      <c r="AH105" s="405" t="s">
        <v>6</v>
      </c>
      <c r="AK105" s="363">
        <f>IF(OR(AK104&gt;=100%),100%,IF(OR(AK104&lt;=0%),0%,AVERAGE(AK104)))</f>
        <v>1</v>
      </c>
      <c r="AL105" s="363">
        <f t="shared" ref="AL105:AV105" si="33">IF(OR(AL104&gt;=100%),100%,IF(OR(AL104&lt;=0%),0%,AVERAGE(AL104)))</f>
        <v>1</v>
      </c>
      <c r="AM105" s="363">
        <f t="shared" si="33"/>
        <v>1</v>
      </c>
      <c r="AN105" s="363">
        <f t="shared" si="33"/>
        <v>1</v>
      </c>
      <c r="AO105" s="363">
        <f t="shared" si="33"/>
        <v>1</v>
      </c>
      <c r="AP105" s="363" t="e">
        <f t="shared" si="33"/>
        <v>#DIV/0!</v>
      </c>
      <c r="AQ105" s="363" t="e">
        <f t="shared" si="33"/>
        <v>#DIV/0!</v>
      </c>
      <c r="AR105" s="363" t="e">
        <f t="shared" si="33"/>
        <v>#DIV/0!</v>
      </c>
      <c r="AS105" s="363" t="e">
        <f t="shared" si="33"/>
        <v>#DIV/0!</v>
      </c>
      <c r="AT105" s="363" t="e">
        <f t="shared" si="33"/>
        <v>#DIV/0!</v>
      </c>
      <c r="AU105" s="363" t="e">
        <f t="shared" si="33"/>
        <v>#DIV/0!</v>
      </c>
      <c r="AV105" s="364" t="e">
        <f t="shared" si="33"/>
        <v>#DIV/0!</v>
      </c>
    </row>
    <row r="106" spans="34:48">
      <c r="AH106" s="717" t="s">
        <v>7</v>
      </c>
      <c r="AI106" s="718"/>
      <c r="AK106" s="451">
        <f>AK105*0.1</f>
        <v>0.1</v>
      </c>
      <c r="AL106" s="451">
        <f t="shared" ref="AL106:AV106" si="34">AL105*0.1</f>
        <v>0.1</v>
      </c>
      <c r="AM106" s="451">
        <f t="shared" si="34"/>
        <v>0.1</v>
      </c>
      <c r="AN106" s="451">
        <f t="shared" si="34"/>
        <v>0.1</v>
      </c>
      <c r="AO106" s="451">
        <f t="shared" si="34"/>
        <v>0.1</v>
      </c>
      <c r="AP106" s="451" t="e">
        <f t="shared" si="34"/>
        <v>#DIV/0!</v>
      </c>
      <c r="AQ106" s="451" t="e">
        <f t="shared" si="34"/>
        <v>#DIV/0!</v>
      </c>
      <c r="AR106" s="451" t="e">
        <f t="shared" si="34"/>
        <v>#DIV/0!</v>
      </c>
      <c r="AS106" s="451" t="e">
        <f t="shared" si="34"/>
        <v>#DIV/0!</v>
      </c>
      <c r="AT106" s="451" t="e">
        <f t="shared" si="34"/>
        <v>#DIV/0!</v>
      </c>
      <c r="AU106" s="451" t="e">
        <f t="shared" si="34"/>
        <v>#DIV/0!</v>
      </c>
      <c r="AV106" s="452" t="e">
        <f t="shared" si="34"/>
        <v>#DIV/0!</v>
      </c>
    </row>
    <row r="107" spans="34:48">
      <c r="AH107" s="367"/>
      <c r="AI107" s="368"/>
      <c r="AJ107" s="368"/>
      <c r="AK107" s="368"/>
      <c r="AL107" s="368"/>
      <c r="AM107" s="368"/>
      <c r="AN107" s="368"/>
      <c r="AO107" s="368"/>
      <c r="AP107" s="368"/>
      <c r="AQ107" s="368"/>
      <c r="AR107" s="368"/>
      <c r="AS107" s="368"/>
      <c r="AT107" s="368"/>
      <c r="AU107" s="368"/>
      <c r="AV107" s="391"/>
    </row>
    <row r="108" spans="34:48">
      <c r="AH108" s="341" t="s">
        <v>113</v>
      </c>
      <c r="AJ108" s="547">
        <v>45352</v>
      </c>
      <c r="AK108" s="547">
        <v>45383</v>
      </c>
      <c r="AL108" s="547">
        <v>45413</v>
      </c>
      <c r="AM108" s="547">
        <v>45444</v>
      </c>
      <c r="AN108" s="547">
        <v>45474</v>
      </c>
      <c r="AO108" s="547">
        <v>45505</v>
      </c>
      <c r="AP108" s="547">
        <v>45536</v>
      </c>
      <c r="AQ108" s="547">
        <v>45566</v>
      </c>
      <c r="AR108" s="547">
        <v>45597</v>
      </c>
      <c r="AS108" s="547">
        <v>45627</v>
      </c>
      <c r="AT108" s="547">
        <v>45658</v>
      </c>
      <c r="AU108" s="547">
        <v>45689</v>
      </c>
      <c r="AV108" s="548">
        <v>45717</v>
      </c>
    </row>
    <row r="109" spans="34:48">
      <c r="AH109" s="372">
        <f>(AV109-AJ109)/12</f>
        <v>-4.333333333333333</v>
      </c>
      <c r="AI109" s="506" t="s">
        <v>2</v>
      </c>
      <c r="AJ109" s="374">
        <f>$AV$112</f>
        <v>472</v>
      </c>
      <c r="AK109" s="374">
        <f>AJ109+$AH$109</f>
        <v>467.66666666666669</v>
      </c>
      <c r="AL109" s="374">
        <f t="shared" ref="AL109:AU109" si="35">AK109+$AH$109</f>
        <v>463.33333333333337</v>
      </c>
      <c r="AM109" s="374">
        <f t="shared" si="35"/>
        <v>459.00000000000006</v>
      </c>
      <c r="AN109" s="374">
        <f t="shared" si="35"/>
        <v>454.66666666666674</v>
      </c>
      <c r="AO109" s="374">
        <f t="shared" si="35"/>
        <v>450.33333333333343</v>
      </c>
      <c r="AP109" s="374">
        <f t="shared" si="35"/>
        <v>446.00000000000011</v>
      </c>
      <c r="AQ109" s="374">
        <f t="shared" si="35"/>
        <v>441.6666666666668</v>
      </c>
      <c r="AR109" s="374">
        <f t="shared" si="35"/>
        <v>437.33333333333348</v>
      </c>
      <c r="AS109" s="374">
        <f t="shared" si="35"/>
        <v>433.00000000000017</v>
      </c>
      <c r="AT109" s="374">
        <f t="shared" si="35"/>
        <v>428.66666666666686</v>
      </c>
      <c r="AU109" s="374">
        <f t="shared" si="35"/>
        <v>424.33333333333354</v>
      </c>
      <c r="AV109" s="375">
        <v>420</v>
      </c>
    </row>
    <row r="110" spans="34:48">
      <c r="AH110" s="372">
        <f>(AV110-AJ110)/12</f>
        <v>-3.4666666666666686</v>
      </c>
      <c r="AI110" s="508" t="s">
        <v>2</v>
      </c>
      <c r="AJ110" s="374">
        <f>$AV$112</f>
        <v>472</v>
      </c>
      <c r="AK110" s="374">
        <f>++AJ110+$AH$110</f>
        <v>468.5333333333333</v>
      </c>
      <c r="AL110" s="374">
        <f t="shared" ref="AL110:AU110" si="36">++AK110+$AH$110</f>
        <v>465.06666666666661</v>
      </c>
      <c r="AM110" s="374">
        <f t="shared" si="36"/>
        <v>461.59999999999991</v>
      </c>
      <c r="AN110" s="374">
        <f t="shared" si="36"/>
        <v>458.13333333333321</v>
      </c>
      <c r="AO110" s="374">
        <f t="shared" si="36"/>
        <v>454.66666666666652</v>
      </c>
      <c r="AP110" s="374">
        <f t="shared" si="36"/>
        <v>451.19999999999982</v>
      </c>
      <c r="AQ110" s="374">
        <f t="shared" si="36"/>
        <v>447.73333333333312</v>
      </c>
      <c r="AR110" s="374">
        <f t="shared" si="36"/>
        <v>444.26666666666642</v>
      </c>
      <c r="AS110" s="374">
        <f t="shared" si="36"/>
        <v>440.79999999999973</v>
      </c>
      <c r="AT110" s="374">
        <f t="shared" si="36"/>
        <v>437.33333333333303</v>
      </c>
      <c r="AU110" s="374">
        <f t="shared" si="36"/>
        <v>433.86666666666633</v>
      </c>
      <c r="AV110" s="377">
        <f>AV109-(AV109-AV112)*0.2</f>
        <v>430.4</v>
      </c>
    </row>
    <row r="111" spans="34:48">
      <c r="AH111" s="372">
        <f>(AV111-AJ111)/12</f>
        <v>-2.1666666666666665</v>
      </c>
      <c r="AI111" s="505" t="s">
        <v>2</v>
      </c>
      <c r="AJ111" s="374">
        <f>$AV$112</f>
        <v>472</v>
      </c>
      <c r="AK111" s="374">
        <f>++AJ111+$AH$111</f>
        <v>469.83333333333331</v>
      </c>
      <c r="AL111" s="374">
        <f t="shared" ref="AL111:AU111" si="37">++AK111+$AH$111</f>
        <v>467.66666666666663</v>
      </c>
      <c r="AM111" s="374">
        <f t="shared" si="37"/>
        <v>465.49999999999994</v>
      </c>
      <c r="AN111" s="374">
        <f t="shared" si="37"/>
        <v>463.33333333333326</v>
      </c>
      <c r="AO111" s="374">
        <f t="shared" si="37"/>
        <v>461.16666666666657</v>
      </c>
      <c r="AP111" s="374">
        <f t="shared" si="37"/>
        <v>458.99999999999989</v>
      </c>
      <c r="AQ111" s="374">
        <f t="shared" si="37"/>
        <v>456.8333333333332</v>
      </c>
      <c r="AR111" s="374">
        <f t="shared" si="37"/>
        <v>454.66666666666652</v>
      </c>
      <c r="AS111" s="374">
        <f t="shared" si="37"/>
        <v>452.49999999999983</v>
      </c>
      <c r="AT111" s="374">
        <f t="shared" si="37"/>
        <v>450.33333333333314</v>
      </c>
      <c r="AU111" s="374">
        <f t="shared" si="37"/>
        <v>448.16666666666646</v>
      </c>
      <c r="AV111" s="379">
        <f>AV109-(AV109-AV112)*0.5</f>
        <v>446</v>
      </c>
    </row>
    <row r="112" spans="34:48">
      <c r="AH112" s="372">
        <f>(AV112-AJ112)/12</f>
        <v>0</v>
      </c>
      <c r="AI112" s="355"/>
      <c r="AJ112" s="374">
        <f>$AV$112</f>
        <v>472</v>
      </c>
      <c r="AK112" s="374">
        <f>++AJ112+$AH$112</f>
        <v>472</v>
      </c>
      <c r="AL112" s="374">
        <f t="shared" ref="AL112:AU112" si="38">++AK112+$AH$112</f>
        <v>472</v>
      </c>
      <c r="AM112" s="374">
        <f t="shared" si="38"/>
        <v>472</v>
      </c>
      <c r="AN112" s="374">
        <f t="shared" si="38"/>
        <v>472</v>
      </c>
      <c r="AO112" s="374">
        <f t="shared" si="38"/>
        <v>472</v>
      </c>
      <c r="AP112" s="374">
        <f t="shared" si="38"/>
        <v>472</v>
      </c>
      <c r="AQ112" s="374">
        <f t="shared" si="38"/>
        <v>472</v>
      </c>
      <c r="AR112" s="374">
        <f t="shared" si="38"/>
        <v>472</v>
      </c>
      <c r="AS112" s="374">
        <f t="shared" si="38"/>
        <v>472</v>
      </c>
      <c r="AT112" s="374">
        <f t="shared" si="38"/>
        <v>472</v>
      </c>
      <c r="AU112" s="374">
        <f t="shared" si="38"/>
        <v>472</v>
      </c>
      <c r="AV112" s="380">
        <v>472</v>
      </c>
    </row>
    <row r="113" spans="34:48">
      <c r="AH113" s="381" t="s">
        <v>10</v>
      </c>
      <c r="AJ113" s="382"/>
      <c r="AK113" s="383" t="e">
        <f t="shared" ref="AK113:AV113" si="39">AK117/AK116*1000000</f>
        <v>#VALUE!</v>
      </c>
      <c r="AL113" s="383" t="e">
        <f t="shared" si="39"/>
        <v>#VALUE!</v>
      </c>
      <c r="AM113" s="383" t="e">
        <f t="shared" si="39"/>
        <v>#VALUE!</v>
      </c>
      <c r="AN113" s="383" t="e">
        <f t="shared" si="39"/>
        <v>#VALUE!</v>
      </c>
      <c r="AO113" s="383" t="e">
        <f t="shared" si="39"/>
        <v>#VALUE!</v>
      </c>
      <c r="AP113" s="383" t="e">
        <f t="shared" si="39"/>
        <v>#DIV/0!</v>
      </c>
      <c r="AQ113" s="383" t="e">
        <f t="shared" si="39"/>
        <v>#DIV/0!</v>
      </c>
      <c r="AR113" s="383" t="e">
        <f t="shared" si="39"/>
        <v>#DIV/0!</v>
      </c>
      <c r="AS113" s="383" t="e">
        <f t="shared" si="39"/>
        <v>#DIV/0!</v>
      </c>
      <c r="AT113" s="383" t="e">
        <f t="shared" si="39"/>
        <v>#DIV/0!</v>
      </c>
      <c r="AU113" s="383" t="e">
        <f t="shared" si="39"/>
        <v>#DIV/0!</v>
      </c>
      <c r="AV113" s="384" t="e">
        <f t="shared" si="39"/>
        <v>#DIV/0!</v>
      </c>
    </row>
    <row r="114" spans="34:48">
      <c r="AH114" s="381" t="s">
        <v>11</v>
      </c>
      <c r="AJ114" s="382"/>
      <c r="AK114" s="361" t="e">
        <f>AK115/AK116</f>
        <v>#VALUE!</v>
      </c>
      <c r="AL114" s="361" t="e">
        <f t="shared" ref="AL114:AV114" si="40">AL115/AL116</f>
        <v>#VALUE!</v>
      </c>
      <c r="AM114" s="361" t="e">
        <f t="shared" si="40"/>
        <v>#VALUE!</v>
      </c>
      <c r="AN114" s="361" t="e">
        <f t="shared" si="40"/>
        <v>#VALUE!</v>
      </c>
      <c r="AO114" s="361" t="e">
        <f t="shared" si="40"/>
        <v>#VALUE!</v>
      </c>
      <c r="AP114" s="361" t="e">
        <f t="shared" si="40"/>
        <v>#DIV/0!</v>
      </c>
      <c r="AQ114" s="361" t="e">
        <f t="shared" si="40"/>
        <v>#DIV/0!</v>
      </c>
      <c r="AR114" s="361" t="e">
        <f t="shared" si="40"/>
        <v>#DIV/0!</v>
      </c>
      <c r="AS114" s="361" t="e">
        <f t="shared" si="40"/>
        <v>#DIV/0!</v>
      </c>
      <c r="AT114" s="361" t="e">
        <f t="shared" si="40"/>
        <v>#DIV/0!</v>
      </c>
      <c r="AU114" s="361" t="e">
        <f t="shared" si="40"/>
        <v>#DIV/0!</v>
      </c>
      <c r="AV114" s="362" t="e">
        <f t="shared" si="40"/>
        <v>#DIV/0!</v>
      </c>
    </row>
    <row r="115" spans="34:48">
      <c r="AH115" s="405"/>
      <c r="AI115" s="294" t="s">
        <v>12</v>
      </c>
      <c r="AJ115" s="385"/>
      <c r="AK115" s="607" t="s">
        <v>305</v>
      </c>
      <c r="AL115" s="639" t="s">
        <v>305</v>
      </c>
      <c r="AM115" s="607" t="s">
        <v>305</v>
      </c>
      <c r="AN115" s="457" t="s">
        <v>305</v>
      </c>
      <c r="AO115" s="457" t="s">
        <v>305</v>
      </c>
      <c r="AP115" s="516"/>
      <c r="AQ115" s="457"/>
      <c r="AR115" s="337"/>
      <c r="AS115" s="455"/>
      <c r="AT115" s="457"/>
      <c r="AU115" s="457"/>
      <c r="AV115" s="460"/>
    </row>
    <row r="116" spans="34:48">
      <c r="AH116" s="405"/>
      <c r="AI116" s="294" t="s">
        <v>13</v>
      </c>
      <c r="AK116" s="607" t="s">
        <v>305</v>
      </c>
      <c r="AL116" s="640" t="s">
        <v>305</v>
      </c>
      <c r="AM116" s="607" t="s">
        <v>305</v>
      </c>
      <c r="AN116" s="457" t="s">
        <v>305</v>
      </c>
      <c r="AO116" s="457" t="s">
        <v>305</v>
      </c>
      <c r="AP116" s="516"/>
      <c r="AQ116" s="457"/>
      <c r="AR116" s="337"/>
      <c r="AS116" s="455"/>
      <c r="AT116" s="457"/>
      <c r="AU116" s="457"/>
      <c r="AV116" s="460"/>
    </row>
    <row r="117" spans="34:48">
      <c r="AH117" s="405"/>
      <c r="AI117" s="294" t="s">
        <v>14</v>
      </c>
      <c r="AK117" s="607"/>
      <c r="AL117" s="607"/>
      <c r="AM117" s="386"/>
      <c r="AN117" s="457"/>
      <c r="AO117" s="386"/>
      <c r="AP117" s="386"/>
      <c r="AQ117" s="457"/>
      <c r="AR117" s="386"/>
      <c r="AS117" s="386"/>
      <c r="AT117" s="457"/>
      <c r="AU117" s="457"/>
      <c r="AV117" s="387"/>
    </row>
    <row r="118" spans="34:48">
      <c r="AH118" s="405" t="s">
        <v>5</v>
      </c>
      <c r="AK118" s="398">
        <v>1</v>
      </c>
      <c r="AL118" s="398">
        <v>1</v>
      </c>
      <c r="AM118" s="398">
        <v>1</v>
      </c>
      <c r="AN118" s="398">
        <v>1</v>
      </c>
      <c r="AO118" s="398">
        <v>1</v>
      </c>
      <c r="AP118" s="398" t="e">
        <f t="shared" ref="AP118:AV118" si="41">(AP113-AP112)/(AP109-AP112)</f>
        <v>#DIV/0!</v>
      </c>
      <c r="AQ118" s="398" t="e">
        <f t="shared" si="41"/>
        <v>#DIV/0!</v>
      </c>
      <c r="AR118" s="398" t="e">
        <f t="shared" si="41"/>
        <v>#DIV/0!</v>
      </c>
      <c r="AS118" s="398" t="e">
        <f t="shared" si="41"/>
        <v>#DIV/0!</v>
      </c>
      <c r="AT118" s="398" t="e">
        <f t="shared" si="41"/>
        <v>#DIV/0!</v>
      </c>
      <c r="AU118" s="398" t="e">
        <f t="shared" si="41"/>
        <v>#DIV/0!</v>
      </c>
      <c r="AV118" s="402" t="e">
        <f t="shared" si="41"/>
        <v>#DIV/0!</v>
      </c>
    </row>
    <row r="119" spans="34:48">
      <c r="AH119" s="405" t="s">
        <v>6</v>
      </c>
      <c r="AK119" s="363">
        <v>1</v>
      </c>
      <c r="AL119" s="363">
        <v>1</v>
      </c>
      <c r="AM119" s="363">
        <f t="shared" ref="AM119:AV119" si="42">IF(OR(AM118&gt;=100%),100%,IF(OR(AM118&lt;=0%),0%,AVERAGE(AM118)))</f>
        <v>1</v>
      </c>
      <c r="AN119" s="363">
        <f t="shared" si="42"/>
        <v>1</v>
      </c>
      <c r="AO119" s="363">
        <f t="shared" si="42"/>
        <v>1</v>
      </c>
      <c r="AP119" s="363" t="e">
        <f t="shared" si="42"/>
        <v>#DIV/0!</v>
      </c>
      <c r="AQ119" s="363" t="e">
        <f t="shared" si="42"/>
        <v>#DIV/0!</v>
      </c>
      <c r="AR119" s="363" t="e">
        <f t="shared" si="42"/>
        <v>#DIV/0!</v>
      </c>
      <c r="AS119" s="363" t="e">
        <f t="shared" si="42"/>
        <v>#DIV/0!</v>
      </c>
      <c r="AT119" s="363" t="e">
        <f t="shared" si="42"/>
        <v>#DIV/0!</v>
      </c>
      <c r="AU119" s="363" t="e">
        <f t="shared" si="42"/>
        <v>#DIV/0!</v>
      </c>
      <c r="AV119" s="364" t="e">
        <f t="shared" si="42"/>
        <v>#DIV/0!</v>
      </c>
    </row>
    <row r="120" spans="34:48">
      <c r="AH120" s="717" t="s">
        <v>7</v>
      </c>
      <c r="AI120" s="718"/>
      <c r="AK120" s="451">
        <f>AK119*0.1</f>
        <v>0.1</v>
      </c>
      <c r="AL120" s="451">
        <f t="shared" ref="AL120:AV120" si="43">AL119*0.1</f>
        <v>0.1</v>
      </c>
      <c r="AM120" s="451">
        <f t="shared" si="43"/>
        <v>0.1</v>
      </c>
      <c r="AN120" s="451">
        <f t="shared" si="43"/>
        <v>0.1</v>
      </c>
      <c r="AO120" s="451">
        <f t="shared" si="43"/>
        <v>0.1</v>
      </c>
      <c r="AP120" s="451" t="e">
        <f t="shared" si="43"/>
        <v>#DIV/0!</v>
      </c>
      <c r="AQ120" s="451" t="e">
        <f t="shared" si="43"/>
        <v>#DIV/0!</v>
      </c>
      <c r="AR120" s="451" t="e">
        <f t="shared" si="43"/>
        <v>#DIV/0!</v>
      </c>
      <c r="AS120" s="451" t="e">
        <f t="shared" si="43"/>
        <v>#DIV/0!</v>
      </c>
      <c r="AT120" s="451" t="e">
        <f t="shared" si="43"/>
        <v>#DIV/0!</v>
      </c>
      <c r="AU120" s="451" t="e">
        <f t="shared" si="43"/>
        <v>#DIV/0!</v>
      </c>
      <c r="AV120" s="452" t="e">
        <f t="shared" si="43"/>
        <v>#DIV/0!</v>
      </c>
    </row>
    <row r="121" spans="34:48">
      <c r="AH121" s="367"/>
      <c r="AI121" s="368"/>
      <c r="AJ121" s="368"/>
      <c r="AK121" s="368"/>
      <c r="AL121" s="368"/>
      <c r="AM121" s="368"/>
      <c r="AN121" s="368"/>
      <c r="AO121" s="368"/>
      <c r="AP121" s="368"/>
      <c r="AQ121" s="368"/>
      <c r="AR121" s="368"/>
      <c r="AS121" s="368"/>
      <c r="AT121" s="368"/>
      <c r="AU121" s="368"/>
      <c r="AV121" s="391"/>
    </row>
    <row r="122" spans="34:48">
      <c r="AH122" s="367"/>
      <c r="AI122" s="368"/>
      <c r="AJ122" s="368"/>
      <c r="AK122" s="368"/>
      <c r="AL122" s="368"/>
      <c r="AM122" s="368"/>
      <c r="AN122" s="368"/>
      <c r="AO122" s="368"/>
      <c r="AP122" s="368"/>
      <c r="AQ122" s="368"/>
      <c r="AR122" s="368"/>
      <c r="AS122" s="368"/>
      <c r="AT122" s="368"/>
      <c r="AU122" s="368"/>
      <c r="AV122" s="391"/>
    </row>
    <row r="123" spans="34:48">
      <c r="AH123" s="341" t="s">
        <v>114</v>
      </c>
      <c r="AJ123" s="547">
        <v>45352</v>
      </c>
      <c r="AK123" s="547">
        <v>45383</v>
      </c>
      <c r="AL123" s="547">
        <v>45413</v>
      </c>
      <c r="AM123" s="547">
        <v>45444</v>
      </c>
      <c r="AN123" s="547">
        <v>45474</v>
      </c>
      <c r="AO123" s="547">
        <v>45505</v>
      </c>
      <c r="AP123" s="547">
        <v>45536</v>
      </c>
      <c r="AQ123" s="547">
        <v>45566</v>
      </c>
      <c r="AR123" s="547">
        <v>45597</v>
      </c>
      <c r="AS123" s="547">
        <v>45627</v>
      </c>
      <c r="AT123" s="547">
        <v>45658</v>
      </c>
      <c r="AU123" s="547">
        <v>45689</v>
      </c>
      <c r="AV123" s="548">
        <v>45717</v>
      </c>
    </row>
    <row r="124" spans="34:48">
      <c r="AH124" s="344">
        <f>(AV124-AJ124)/12</f>
        <v>8.3333333333324155E-6</v>
      </c>
      <c r="AI124" s="506" t="s">
        <v>2</v>
      </c>
      <c r="AJ124" s="392">
        <f>$AV$127</f>
        <v>0.99950000000000006</v>
      </c>
      <c r="AK124" s="513">
        <f>AJ124+$AH$124</f>
        <v>0.99950833333333344</v>
      </c>
      <c r="AL124" s="513">
        <f t="shared" ref="AL124:AU124" si="44">AK124+$AH$124</f>
        <v>0.99951666666666683</v>
      </c>
      <c r="AM124" s="513">
        <f t="shared" si="44"/>
        <v>0.99952500000000022</v>
      </c>
      <c r="AN124" s="513">
        <f t="shared" si="44"/>
        <v>0.99953333333333361</v>
      </c>
      <c r="AO124" s="513">
        <f t="shared" si="44"/>
        <v>0.99954166666666699</v>
      </c>
      <c r="AP124" s="513">
        <f t="shared" si="44"/>
        <v>0.99955000000000038</v>
      </c>
      <c r="AQ124" s="513">
        <f t="shared" si="44"/>
        <v>0.99955833333333377</v>
      </c>
      <c r="AR124" s="513">
        <f t="shared" si="44"/>
        <v>0.99956666666666716</v>
      </c>
      <c r="AS124" s="513">
        <f t="shared" si="44"/>
        <v>0.99957500000000055</v>
      </c>
      <c r="AT124" s="513">
        <f t="shared" si="44"/>
        <v>0.99958333333333393</v>
      </c>
      <c r="AU124" s="513">
        <f t="shared" si="44"/>
        <v>0.99959166666666732</v>
      </c>
      <c r="AV124" s="512">
        <v>0.99960000000000004</v>
      </c>
    </row>
    <row r="125" spans="34:48">
      <c r="AH125" s="344">
        <f>(AV125-AJ125)/12</f>
        <v>6.6666666666640823E-6</v>
      </c>
      <c r="AI125" s="508" t="s">
        <v>2</v>
      </c>
      <c r="AJ125" s="392">
        <f>$AV$127</f>
        <v>0.99950000000000006</v>
      </c>
      <c r="AK125" s="513">
        <f>AJ125+$AH$125</f>
        <v>0.99950666666666677</v>
      </c>
      <c r="AL125" s="513">
        <f t="shared" ref="AL125:AU125" si="45">AK125+$AH$125</f>
        <v>0.99951333333333348</v>
      </c>
      <c r="AM125" s="513">
        <f t="shared" si="45"/>
        <v>0.99952000000000019</v>
      </c>
      <c r="AN125" s="513">
        <f t="shared" si="45"/>
        <v>0.9995266666666669</v>
      </c>
      <c r="AO125" s="513">
        <f t="shared" si="45"/>
        <v>0.99953333333333361</v>
      </c>
      <c r="AP125" s="513">
        <f t="shared" si="45"/>
        <v>0.99954000000000032</v>
      </c>
      <c r="AQ125" s="513">
        <f t="shared" si="45"/>
        <v>0.99954666666666703</v>
      </c>
      <c r="AR125" s="513">
        <f t="shared" si="45"/>
        <v>0.99955333333333374</v>
      </c>
      <c r="AS125" s="513">
        <f t="shared" si="45"/>
        <v>0.99956000000000045</v>
      </c>
      <c r="AT125" s="513">
        <f t="shared" si="45"/>
        <v>0.99956666666666716</v>
      </c>
      <c r="AU125" s="513">
        <f t="shared" si="45"/>
        <v>0.99957333333333387</v>
      </c>
      <c r="AV125" s="514">
        <f>AV124-(AV124-AV127)*0.2</f>
        <v>0.99958000000000002</v>
      </c>
    </row>
    <row r="126" spans="34:48">
      <c r="AH126" s="344">
        <f>(AV126-AJ126)/12</f>
        <v>4.1666666666662078E-6</v>
      </c>
      <c r="AI126" s="505" t="s">
        <v>2</v>
      </c>
      <c r="AJ126" s="392">
        <f>$AV$127</f>
        <v>0.99950000000000006</v>
      </c>
      <c r="AK126" s="513">
        <f>++AJ126+$AH$126</f>
        <v>0.99950416666666675</v>
      </c>
      <c r="AL126" s="513">
        <f t="shared" ref="AL126:AU126" si="46">++AK126+$AH$126</f>
        <v>0.99950833333333344</v>
      </c>
      <c r="AM126" s="513">
        <f t="shared" si="46"/>
        <v>0.99951250000000014</v>
      </c>
      <c r="AN126" s="513">
        <f t="shared" si="46"/>
        <v>0.99951666666666683</v>
      </c>
      <c r="AO126" s="513">
        <f t="shared" si="46"/>
        <v>0.99952083333333352</v>
      </c>
      <c r="AP126" s="513">
        <f t="shared" si="46"/>
        <v>0.99952500000000022</v>
      </c>
      <c r="AQ126" s="513">
        <f t="shared" si="46"/>
        <v>0.99952916666666691</v>
      </c>
      <c r="AR126" s="513">
        <f t="shared" si="46"/>
        <v>0.99953333333333361</v>
      </c>
      <c r="AS126" s="513">
        <f t="shared" si="46"/>
        <v>0.9995375000000003</v>
      </c>
      <c r="AT126" s="513">
        <f t="shared" si="46"/>
        <v>0.99954166666666699</v>
      </c>
      <c r="AU126" s="513">
        <f t="shared" si="46"/>
        <v>0.99954583333333369</v>
      </c>
      <c r="AV126" s="515">
        <f>AV124-(AV124-AV127)*0.5</f>
        <v>0.99955000000000005</v>
      </c>
    </row>
    <row r="127" spans="34:48">
      <c r="AH127" s="344">
        <f>(AV127-AJ127)/12</f>
        <v>0</v>
      </c>
      <c r="AI127" s="355"/>
      <c r="AJ127" s="392">
        <f>$AV$127</f>
        <v>0.99950000000000006</v>
      </c>
      <c r="AK127" s="513">
        <f>++AJ127+$AH$127</f>
        <v>0.99950000000000006</v>
      </c>
      <c r="AL127" s="513">
        <f t="shared" ref="AL127:AU127" si="47">++AK127+$AH$127</f>
        <v>0.99950000000000006</v>
      </c>
      <c r="AM127" s="513">
        <f t="shared" si="47"/>
        <v>0.99950000000000006</v>
      </c>
      <c r="AN127" s="513">
        <f t="shared" si="47"/>
        <v>0.99950000000000006</v>
      </c>
      <c r="AO127" s="513">
        <f t="shared" si="47"/>
        <v>0.99950000000000006</v>
      </c>
      <c r="AP127" s="513">
        <f t="shared" si="47"/>
        <v>0.99950000000000006</v>
      </c>
      <c r="AQ127" s="513">
        <f t="shared" si="47"/>
        <v>0.99950000000000006</v>
      </c>
      <c r="AR127" s="513">
        <f t="shared" si="47"/>
        <v>0.99950000000000006</v>
      </c>
      <c r="AS127" s="513">
        <f t="shared" si="47"/>
        <v>0.99950000000000006</v>
      </c>
      <c r="AT127" s="513">
        <f t="shared" si="47"/>
        <v>0.99950000000000006</v>
      </c>
      <c r="AU127" s="513">
        <f t="shared" si="47"/>
        <v>0.99950000000000006</v>
      </c>
      <c r="AV127" s="397">
        <v>0.99950000000000006</v>
      </c>
    </row>
    <row r="128" spans="34:48">
      <c r="AH128" s="405" t="s">
        <v>4</v>
      </c>
      <c r="AJ128" s="398"/>
      <c r="AK128" s="517" t="e">
        <f t="shared" ref="AK128:AV128" si="48">AK129/AK130</f>
        <v>#VALUE!</v>
      </c>
      <c r="AL128" s="517" t="e">
        <f t="shared" si="48"/>
        <v>#VALUE!</v>
      </c>
      <c r="AM128" s="517" t="e">
        <f t="shared" si="48"/>
        <v>#VALUE!</v>
      </c>
      <c r="AN128" s="517" t="e">
        <f t="shared" si="48"/>
        <v>#VALUE!</v>
      </c>
      <c r="AO128" s="517" t="e">
        <f t="shared" si="48"/>
        <v>#VALUE!</v>
      </c>
      <c r="AP128" s="517" t="e">
        <f t="shared" si="48"/>
        <v>#DIV/0!</v>
      </c>
      <c r="AQ128" s="517" t="e">
        <f t="shared" si="48"/>
        <v>#DIV/0!</v>
      </c>
      <c r="AR128" s="517" t="e">
        <f t="shared" si="48"/>
        <v>#DIV/0!</v>
      </c>
      <c r="AS128" s="517" t="e">
        <f t="shared" si="48"/>
        <v>#DIV/0!</v>
      </c>
      <c r="AT128" s="517" t="e">
        <f t="shared" si="48"/>
        <v>#DIV/0!</v>
      </c>
      <c r="AU128" s="517" t="e">
        <f t="shared" si="48"/>
        <v>#DIV/0!</v>
      </c>
      <c r="AV128" s="518" t="e">
        <f t="shared" si="48"/>
        <v>#DIV/0!</v>
      </c>
    </row>
    <row r="129" spans="34:48">
      <c r="AH129" s="715" t="s">
        <v>16</v>
      </c>
      <c r="AI129" s="716"/>
      <c r="AJ129" s="399"/>
      <c r="AK129" s="400" t="str">
        <f t="shared" ref="AK129:AM130" si="49">AK115</f>
        <v>NP</v>
      </c>
      <c r="AL129" s="400" t="str">
        <f t="shared" si="49"/>
        <v>NP</v>
      </c>
      <c r="AM129" s="400" t="str">
        <f t="shared" si="49"/>
        <v>NP</v>
      </c>
      <c r="AN129" s="400" t="str">
        <f>AN115</f>
        <v>NP</v>
      </c>
      <c r="AO129" s="400" t="str">
        <f>AO115</f>
        <v>NP</v>
      </c>
      <c r="AP129" s="400">
        <f t="shared" ref="AN129:AR130" si="50">AP115</f>
        <v>0</v>
      </c>
      <c r="AQ129" s="400">
        <f t="shared" si="50"/>
        <v>0</v>
      </c>
      <c r="AR129" s="400">
        <f t="shared" si="50"/>
        <v>0</v>
      </c>
      <c r="AS129" s="400">
        <f t="shared" ref="AS129:AV130" si="51">AS115</f>
        <v>0</v>
      </c>
      <c r="AT129" s="400">
        <f t="shared" si="51"/>
        <v>0</v>
      </c>
      <c r="AU129" s="400">
        <f t="shared" si="51"/>
        <v>0</v>
      </c>
      <c r="AV129" s="401">
        <f t="shared" si="51"/>
        <v>0</v>
      </c>
    </row>
    <row r="130" spans="34:48">
      <c r="AH130" s="715" t="s">
        <v>17</v>
      </c>
      <c r="AI130" s="716"/>
      <c r="AJ130" s="399"/>
      <c r="AK130" s="400" t="str">
        <f t="shared" si="49"/>
        <v>NP</v>
      </c>
      <c r="AL130" s="400" t="str">
        <f t="shared" si="49"/>
        <v>NP</v>
      </c>
      <c r="AM130" s="400" t="str">
        <f t="shared" si="49"/>
        <v>NP</v>
      </c>
      <c r="AN130" s="400" t="str">
        <f t="shared" si="50"/>
        <v>NP</v>
      </c>
      <c r="AO130" s="400" t="str">
        <f t="shared" ref="AO130" si="52">AO116</f>
        <v>NP</v>
      </c>
      <c r="AP130" s="400">
        <f t="shared" si="50"/>
        <v>0</v>
      </c>
      <c r="AQ130" s="400">
        <f t="shared" si="50"/>
        <v>0</v>
      </c>
      <c r="AR130" s="400">
        <f t="shared" si="50"/>
        <v>0</v>
      </c>
      <c r="AS130" s="400">
        <f t="shared" si="51"/>
        <v>0</v>
      </c>
      <c r="AT130" s="400">
        <f t="shared" si="51"/>
        <v>0</v>
      </c>
      <c r="AU130" s="400">
        <f t="shared" si="51"/>
        <v>0</v>
      </c>
      <c r="AV130" s="401">
        <f t="shared" si="51"/>
        <v>0</v>
      </c>
    </row>
    <row r="131" spans="34:48">
      <c r="AH131" s="405" t="s">
        <v>5</v>
      </c>
      <c r="AK131" s="361" t="e">
        <f>(AK128-AK127)/(AK124-AK127)</f>
        <v>#VALUE!</v>
      </c>
      <c r="AL131" s="361" t="e">
        <f>(AL128-AL127)/(AL124-AL127)</f>
        <v>#VALUE!</v>
      </c>
      <c r="AM131" s="361" t="e">
        <f t="shared" ref="AM131:AV131" si="53">(AM128-AM127)/(AM124-AM127)</f>
        <v>#VALUE!</v>
      </c>
      <c r="AN131" s="361" t="e">
        <f t="shared" si="53"/>
        <v>#VALUE!</v>
      </c>
      <c r="AO131" s="361" t="e">
        <f t="shared" si="53"/>
        <v>#VALUE!</v>
      </c>
      <c r="AP131" s="361" t="e">
        <f t="shared" si="53"/>
        <v>#DIV/0!</v>
      </c>
      <c r="AQ131" s="361" t="e">
        <f t="shared" si="53"/>
        <v>#DIV/0!</v>
      </c>
      <c r="AR131" s="361" t="e">
        <f t="shared" si="53"/>
        <v>#DIV/0!</v>
      </c>
      <c r="AS131" s="361" t="e">
        <f t="shared" si="53"/>
        <v>#DIV/0!</v>
      </c>
      <c r="AT131" s="361" t="e">
        <f t="shared" si="53"/>
        <v>#DIV/0!</v>
      </c>
      <c r="AU131" s="361" t="e">
        <f t="shared" si="53"/>
        <v>#DIV/0!</v>
      </c>
      <c r="AV131" s="362" t="e">
        <f t="shared" si="53"/>
        <v>#DIV/0!</v>
      </c>
    </row>
    <row r="132" spans="34:48">
      <c r="AH132" s="405" t="s">
        <v>6</v>
      </c>
      <c r="AK132" s="363">
        <v>1</v>
      </c>
      <c r="AL132" s="363">
        <v>1</v>
      </c>
      <c r="AM132" s="363">
        <v>1</v>
      </c>
      <c r="AN132" s="363">
        <v>1</v>
      </c>
      <c r="AO132" s="363">
        <v>1</v>
      </c>
      <c r="AP132" s="363" t="e">
        <f t="shared" ref="AP132:AV132" si="54">IF(OR(AP131&gt;=100%),100%,IF(OR(AP131&lt;=0%),0%,AVERAGE(AP131)))</f>
        <v>#DIV/0!</v>
      </c>
      <c r="AQ132" s="363" t="e">
        <f t="shared" si="54"/>
        <v>#DIV/0!</v>
      </c>
      <c r="AR132" s="363" t="e">
        <f t="shared" si="54"/>
        <v>#DIV/0!</v>
      </c>
      <c r="AS132" s="363" t="e">
        <f t="shared" si="54"/>
        <v>#DIV/0!</v>
      </c>
      <c r="AT132" s="363" t="e">
        <f t="shared" si="54"/>
        <v>#DIV/0!</v>
      </c>
      <c r="AU132" s="363" t="e">
        <f t="shared" si="54"/>
        <v>#DIV/0!</v>
      </c>
      <c r="AV132" s="364" t="e">
        <f t="shared" si="54"/>
        <v>#DIV/0!</v>
      </c>
    </row>
    <row r="133" spans="34:48">
      <c r="AH133" s="717" t="s">
        <v>7</v>
      </c>
      <c r="AI133" s="718"/>
      <c r="AK133" s="451">
        <f>AK132*0.1</f>
        <v>0.1</v>
      </c>
      <c r="AL133" s="451">
        <f t="shared" ref="AL133:AV133" si="55">AL132*0.1</f>
        <v>0.1</v>
      </c>
      <c r="AM133" s="451">
        <f t="shared" si="55"/>
        <v>0.1</v>
      </c>
      <c r="AN133" s="451">
        <f t="shared" si="55"/>
        <v>0.1</v>
      </c>
      <c r="AO133" s="451">
        <f t="shared" si="55"/>
        <v>0.1</v>
      </c>
      <c r="AP133" s="451" t="e">
        <f t="shared" si="55"/>
        <v>#DIV/0!</v>
      </c>
      <c r="AQ133" s="451" t="e">
        <f t="shared" si="55"/>
        <v>#DIV/0!</v>
      </c>
      <c r="AR133" s="451" t="e">
        <f t="shared" si="55"/>
        <v>#DIV/0!</v>
      </c>
      <c r="AS133" s="451" t="e">
        <f t="shared" si="55"/>
        <v>#DIV/0!</v>
      </c>
      <c r="AT133" s="451" t="e">
        <f t="shared" si="55"/>
        <v>#DIV/0!</v>
      </c>
      <c r="AU133" s="451" t="e">
        <f t="shared" si="55"/>
        <v>#DIV/0!</v>
      </c>
      <c r="AV133" s="452" t="e">
        <f t="shared" si="55"/>
        <v>#DIV/0!</v>
      </c>
    </row>
    <row r="134" spans="34:48">
      <c r="AH134" s="367"/>
      <c r="AI134" s="368"/>
      <c r="AJ134" s="368"/>
      <c r="AK134" s="368"/>
      <c r="AL134" s="368"/>
      <c r="AM134" s="368"/>
      <c r="AN134" s="368"/>
      <c r="AO134" s="368"/>
      <c r="AP134" s="368"/>
      <c r="AQ134" s="368"/>
      <c r="AR134" s="368"/>
      <c r="AS134" s="368"/>
      <c r="AT134" s="368"/>
      <c r="AU134" s="368"/>
      <c r="AV134" s="391"/>
    </row>
    <row r="135" spans="34:48">
      <c r="AH135" s="1120" t="s">
        <v>26</v>
      </c>
      <c r="AI135" s="1121"/>
      <c r="AK135" s="337">
        <v>2.1000000000000001E-2</v>
      </c>
      <c r="AL135" s="337">
        <v>0.04</v>
      </c>
      <c r="AM135" s="337">
        <v>8.1750000000000003E-2</v>
      </c>
      <c r="AN135" s="337">
        <v>3.8199999999999998E-2</v>
      </c>
      <c r="AO135" s="337">
        <v>5.4760000000000003E-2</v>
      </c>
      <c r="AP135" s="337"/>
      <c r="AQ135" s="337"/>
      <c r="AR135" s="337"/>
      <c r="AS135" s="337"/>
      <c r="AT135" s="337"/>
      <c r="AU135" s="337"/>
      <c r="AV135" s="484"/>
    </row>
    <row r="136" spans="34:48">
      <c r="AH136" s="405"/>
      <c r="AL136" s="368"/>
      <c r="AV136" s="406"/>
    </row>
    <row r="137" spans="34:48">
      <c r="AH137" s="405"/>
      <c r="AL137" s="368"/>
      <c r="AV137" s="406"/>
    </row>
    <row r="138" spans="34:48">
      <c r="AH138" s="341" t="s">
        <v>115</v>
      </c>
      <c r="AJ138" s="547">
        <v>45352</v>
      </c>
      <c r="AK138" s="547">
        <v>45383</v>
      </c>
      <c r="AL138" s="547">
        <v>45413</v>
      </c>
      <c r="AM138" s="547">
        <v>45444</v>
      </c>
      <c r="AN138" s="547">
        <v>45474</v>
      </c>
      <c r="AO138" s="547">
        <v>45505</v>
      </c>
      <c r="AP138" s="547">
        <v>45536</v>
      </c>
      <c r="AQ138" s="547">
        <v>45566</v>
      </c>
      <c r="AR138" s="547">
        <v>45597</v>
      </c>
      <c r="AS138" s="547">
        <v>45627</v>
      </c>
      <c r="AT138" s="547">
        <v>45658</v>
      </c>
      <c r="AU138" s="547">
        <v>45689</v>
      </c>
      <c r="AV138" s="548">
        <v>45717</v>
      </c>
    </row>
    <row r="139" spans="34:48">
      <c r="AH139" s="372">
        <f>(AV139-AJ139)/12</f>
        <v>0</v>
      </c>
      <c r="AI139" s="355"/>
      <c r="AJ139" s="392">
        <f>$AV$139</f>
        <v>2.9999999999999997E-4</v>
      </c>
      <c r="AK139" s="392">
        <f>++AJ139+$AH$139</f>
        <v>2.9999999999999997E-4</v>
      </c>
      <c r="AL139" s="392">
        <f t="shared" ref="AL139:AU139" si="56">++AK139+$AH$139</f>
        <v>2.9999999999999997E-4</v>
      </c>
      <c r="AM139" s="392">
        <f t="shared" si="56"/>
        <v>2.9999999999999997E-4</v>
      </c>
      <c r="AN139" s="392">
        <f t="shared" si="56"/>
        <v>2.9999999999999997E-4</v>
      </c>
      <c r="AO139" s="392">
        <f t="shared" si="56"/>
        <v>2.9999999999999997E-4</v>
      </c>
      <c r="AP139" s="392">
        <f t="shared" si="56"/>
        <v>2.9999999999999997E-4</v>
      </c>
      <c r="AQ139" s="392">
        <f t="shared" si="56"/>
        <v>2.9999999999999997E-4</v>
      </c>
      <c r="AR139" s="392">
        <f t="shared" si="56"/>
        <v>2.9999999999999997E-4</v>
      </c>
      <c r="AS139" s="392">
        <f t="shared" si="56"/>
        <v>2.9999999999999997E-4</v>
      </c>
      <c r="AT139" s="392">
        <f t="shared" si="56"/>
        <v>2.9999999999999997E-4</v>
      </c>
      <c r="AU139" s="392">
        <f t="shared" si="56"/>
        <v>2.9999999999999997E-4</v>
      </c>
      <c r="AV139" s="362">
        <v>2.9999999999999997E-4</v>
      </c>
    </row>
    <row r="140" spans="34:48">
      <c r="AH140" s="372">
        <f>(AV140-AJ140)/12</f>
        <v>0</v>
      </c>
      <c r="AI140" s="505" t="s">
        <v>2</v>
      </c>
      <c r="AJ140" s="392">
        <f>$AV$139</f>
        <v>2.9999999999999997E-4</v>
      </c>
      <c r="AK140" s="392">
        <f>++AJ140+$AH$140</f>
        <v>2.9999999999999997E-4</v>
      </c>
      <c r="AL140" s="392">
        <f t="shared" ref="AL140:AU140" si="57">++AK140+$AH$140</f>
        <v>2.9999999999999997E-4</v>
      </c>
      <c r="AM140" s="392">
        <f t="shared" si="57"/>
        <v>2.9999999999999997E-4</v>
      </c>
      <c r="AN140" s="392">
        <f t="shared" si="57"/>
        <v>2.9999999999999997E-4</v>
      </c>
      <c r="AO140" s="392">
        <f t="shared" si="57"/>
        <v>2.9999999999999997E-4</v>
      </c>
      <c r="AP140" s="392">
        <f t="shared" si="57"/>
        <v>2.9999999999999997E-4</v>
      </c>
      <c r="AQ140" s="392">
        <f t="shared" si="57"/>
        <v>2.9999999999999997E-4</v>
      </c>
      <c r="AR140" s="392">
        <f t="shared" si="57"/>
        <v>2.9999999999999997E-4</v>
      </c>
      <c r="AS140" s="392">
        <f t="shared" si="57"/>
        <v>2.9999999999999997E-4</v>
      </c>
      <c r="AT140" s="392">
        <f t="shared" si="57"/>
        <v>2.9999999999999997E-4</v>
      </c>
      <c r="AU140" s="392">
        <f t="shared" si="57"/>
        <v>2.9999999999999997E-4</v>
      </c>
      <c r="AV140" s="407">
        <f>AV139-(AV139-AV142)*0.5</f>
        <v>2.9999999999999997E-4</v>
      </c>
    </row>
    <row r="141" spans="34:48">
      <c r="AH141" s="372">
        <f>(AV141-AJ141)/12</f>
        <v>0</v>
      </c>
      <c r="AI141" s="349" t="s">
        <v>2</v>
      </c>
      <c r="AJ141" s="392">
        <f>$AV$139</f>
        <v>2.9999999999999997E-4</v>
      </c>
      <c r="AK141" s="392">
        <f>++AJ141+$AH$141</f>
        <v>2.9999999999999997E-4</v>
      </c>
      <c r="AL141" s="392">
        <f t="shared" ref="AL141:AU141" si="58">++AK141+$AH$141</f>
        <v>2.9999999999999997E-4</v>
      </c>
      <c r="AM141" s="392">
        <f t="shared" si="58"/>
        <v>2.9999999999999997E-4</v>
      </c>
      <c r="AN141" s="392">
        <f t="shared" si="58"/>
        <v>2.9999999999999997E-4</v>
      </c>
      <c r="AO141" s="392">
        <f t="shared" si="58"/>
        <v>2.9999999999999997E-4</v>
      </c>
      <c r="AP141" s="392">
        <f t="shared" si="58"/>
        <v>2.9999999999999997E-4</v>
      </c>
      <c r="AQ141" s="392">
        <f t="shared" si="58"/>
        <v>2.9999999999999997E-4</v>
      </c>
      <c r="AR141" s="392">
        <f t="shared" si="58"/>
        <v>2.9999999999999997E-4</v>
      </c>
      <c r="AS141" s="392">
        <f t="shared" si="58"/>
        <v>2.9999999999999997E-4</v>
      </c>
      <c r="AT141" s="392">
        <f t="shared" si="58"/>
        <v>2.9999999999999997E-4</v>
      </c>
      <c r="AU141" s="392">
        <f t="shared" si="58"/>
        <v>2.9999999999999997E-4</v>
      </c>
      <c r="AV141" s="408">
        <f>AV139-(AV139-AV142)*0.8</f>
        <v>2.9999999999999997E-4</v>
      </c>
    </row>
    <row r="142" spans="34:48">
      <c r="AH142" s="372">
        <f>(AV142-AJ142)/12</f>
        <v>0</v>
      </c>
      <c r="AI142" s="506" t="s">
        <v>2</v>
      </c>
      <c r="AJ142" s="392">
        <f>$AV$139</f>
        <v>2.9999999999999997E-4</v>
      </c>
      <c r="AK142" s="392">
        <f>++AJ142+$AH$142</f>
        <v>2.9999999999999997E-4</v>
      </c>
      <c r="AL142" s="392">
        <f t="shared" ref="AL142:AU142" si="59">++AK142+$AH$142</f>
        <v>2.9999999999999997E-4</v>
      </c>
      <c r="AM142" s="392">
        <f t="shared" si="59"/>
        <v>2.9999999999999997E-4</v>
      </c>
      <c r="AN142" s="392">
        <f t="shared" si="59"/>
        <v>2.9999999999999997E-4</v>
      </c>
      <c r="AO142" s="392">
        <f t="shared" si="59"/>
        <v>2.9999999999999997E-4</v>
      </c>
      <c r="AP142" s="392">
        <f t="shared" si="59"/>
        <v>2.9999999999999997E-4</v>
      </c>
      <c r="AQ142" s="392">
        <f t="shared" si="59"/>
        <v>2.9999999999999997E-4</v>
      </c>
      <c r="AR142" s="392">
        <f t="shared" si="59"/>
        <v>2.9999999999999997E-4</v>
      </c>
      <c r="AS142" s="392">
        <f t="shared" si="59"/>
        <v>2.9999999999999997E-4</v>
      </c>
      <c r="AT142" s="392">
        <f t="shared" si="59"/>
        <v>2.9999999999999997E-4</v>
      </c>
      <c r="AU142" s="392">
        <f t="shared" si="59"/>
        <v>2.9999999999999997E-4</v>
      </c>
      <c r="AV142" s="409">
        <v>2.9999999999999997E-4</v>
      </c>
    </row>
    <row r="143" spans="34:48">
      <c r="AH143" s="405" t="s">
        <v>4</v>
      </c>
      <c r="AJ143" s="361"/>
      <c r="AK143" s="361">
        <f t="shared" ref="AK143:AV143" si="60">AK135/(AK144/1000)</f>
        <v>1.2959763021476179E-4</v>
      </c>
      <c r="AL143" s="361">
        <f t="shared" si="60"/>
        <v>1.6897315016643855E-4</v>
      </c>
      <c r="AM143" s="361">
        <f t="shared" si="60"/>
        <v>3.3865453856734591E-4</v>
      </c>
      <c r="AN143" s="361">
        <f t="shared" si="60"/>
        <v>1.7579763575190075E-4</v>
      </c>
      <c r="AO143" s="361">
        <f t="shared" si="60"/>
        <v>2.59801714738761E-4</v>
      </c>
      <c r="AP143" s="361" t="e">
        <f t="shared" si="60"/>
        <v>#DIV/0!</v>
      </c>
      <c r="AQ143" s="361" t="e">
        <f t="shared" si="60"/>
        <v>#DIV/0!</v>
      </c>
      <c r="AR143" s="361" t="e">
        <f t="shared" si="60"/>
        <v>#DIV/0!</v>
      </c>
      <c r="AS143" s="361" t="e">
        <f t="shared" si="60"/>
        <v>#DIV/0!</v>
      </c>
      <c r="AT143" s="361" t="e">
        <f t="shared" si="60"/>
        <v>#DIV/0!</v>
      </c>
      <c r="AU143" s="361" t="e">
        <f t="shared" si="60"/>
        <v>#DIV/0!</v>
      </c>
      <c r="AV143" s="362" t="e">
        <f t="shared" si="60"/>
        <v>#DIV/0!</v>
      </c>
    </row>
    <row r="144" spans="34:48">
      <c r="AH144" s="353" t="s">
        <v>138</v>
      </c>
      <c r="AJ144" s="368"/>
      <c r="AK144" s="507">
        <v>162040</v>
      </c>
      <c r="AL144" s="507">
        <v>236724</v>
      </c>
      <c r="AM144" s="519">
        <v>241396.44</v>
      </c>
      <c r="AN144" s="519">
        <v>217295.3</v>
      </c>
      <c r="AO144" s="519">
        <v>210776.13</v>
      </c>
      <c r="AP144" s="507"/>
      <c r="AQ144" s="507"/>
      <c r="AR144" s="507"/>
      <c r="AS144" s="507"/>
      <c r="AT144" s="507"/>
      <c r="AU144" s="507"/>
      <c r="AV144" s="520"/>
    </row>
    <row r="145" spans="34:48">
      <c r="AH145" s="405" t="s">
        <v>5</v>
      </c>
      <c r="AK145" s="618" t="e">
        <f>(AK139-AK143)/(AK139-AK142)</f>
        <v>#DIV/0!</v>
      </c>
      <c r="AL145" s="361" t="e">
        <f t="shared" ref="AL145:AV145" si="61">(AL139-AL143)/(AL139-AL142)</f>
        <v>#DIV/0!</v>
      </c>
      <c r="AM145" s="361" t="e">
        <f t="shared" si="61"/>
        <v>#DIV/0!</v>
      </c>
      <c r="AN145" s="361" t="e">
        <f t="shared" si="61"/>
        <v>#DIV/0!</v>
      </c>
      <c r="AO145" s="361" t="e">
        <f t="shared" si="61"/>
        <v>#DIV/0!</v>
      </c>
      <c r="AP145" s="361" t="e">
        <f t="shared" si="61"/>
        <v>#DIV/0!</v>
      </c>
      <c r="AQ145" s="361" t="e">
        <f t="shared" si="61"/>
        <v>#DIV/0!</v>
      </c>
      <c r="AR145" s="361" t="e">
        <f t="shared" si="61"/>
        <v>#DIV/0!</v>
      </c>
      <c r="AS145" s="361" t="e">
        <f t="shared" si="61"/>
        <v>#DIV/0!</v>
      </c>
      <c r="AT145" s="361" t="e">
        <f t="shared" si="61"/>
        <v>#DIV/0!</v>
      </c>
      <c r="AU145" s="361" t="e">
        <f t="shared" si="61"/>
        <v>#DIV/0!</v>
      </c>
      <c r="AV145" s="362" t="e">
        <f t="shared" si="61"/>
        <v>#DIV/0!</v>
      </c>
    </row>
    <row r="146" spans="34:48">
      <c r="AH146" s="405" t="s">
        <v>6</v>
      </c>
      <c r="AK146" s="363">
        <v>1</v>
      </c>
      <c r="AL146" s="363">
        <v>1</v>
      </c>
      <c r="AM146" s="363">
        <v>1</v>
      </c>
      <c r="AN146" s="363">
        <v>1</v>
      </c>
      <c r="AO146" s="363">
        <v>1</v>
      </c>
      <c r="AP146" s="363" t="e">
        <f t="shared" ref="AP146:AV146" si="62">IF(OR(AP145&gt;=100%),100%,IF(OR(AP145&lt;=0%),0%,AVERAGE(AP145)))</f>
        <v>#DIV/0!</v>
      </c>
      <c r="AQ146" s="363" t="e">
        <f t="shared" si="62"/>
        <v>#DIV/0!</v>
      </c>
      <c r="AR146" s="363" t="e">
        <f t="shared" si="62"/>
        <v>#DIV/0!</v>
      </c>
      <c r="AS146" s="363" t="e">
        <f t="shared" si="62"/>
        <v>#DIV/0!</v>
      </c>
      <c r="AT146" s="363" t="e">
        <f t="shared" si="62"/>
        <v>#DIV/0!</v>
      </c>
      <c r="AU146" s="363" t="e">
        <f t="shared" si="62"/>
        <v>#DIV/0!</v>
      </c>
      <c r="AV146" s="364" t="e">
        <f t="shared" si="62"/>
        <v>#DIV/0!</v>
      </c>
    </row>
    <row r="147" spans="34:48">
      <c r="AH147" s="717" t="s">
        <v>7</v>
      </c>
      <c r="AI147" s="718"/>
      <c r="AK147" s="451">
        <f>AK146*0.2</f>
        <v>0.2</v>
      </c>
      <c r="AL147" s="451">
        <f t="shared" ref="AL147:AV147" si="63">AL146*0.2</f>
        <v>0.2</v>
      </c>
      <c r="AM147" s="451">
        <f t="shared" si="63"/>
        <v>0.2</v>
      </c>
      <c r="AN147" s="451">
        <f t="shared" si="63"/>
        <v>0.2</v>
      </c>
      <c r="AO147" s="451">
        <f t="shared" si="63"/>
        <v>0.2</v>
      </c>
      <c r="AP147" s="451" t="e">
        <f t="shared" si="63"/>
        <v>#DIV/0!</v>
      </c>
      <c r="AQ147" s="451" t="e">
        <f t="shared" si="63"/>
        <v>#DIV/0!</v>
      </c>
      <c r="AR147" s="451" t="e">
        <f t="shared" si="63"/>
        <v>#DIV/0!</v>
      </c>
      <c r="AS147" s="451" t="e">
        <f t="shared" si="63"/>
        <v>#DIV/0!</v>
      </c>
      <c r="AT147" s="451" t="e">
        <f t="shared" si="63"/>
        <v>#DIV/0!</v>
      </c>
      <c r="AU147" s="451" t="e">
        <f t="shared" si="63"/>
        <v>#DIV/0!</v>
      </c>
      <c r="AV147" s="452" t="e">
        <f t="shared" si="63"/>
        <v>#DIV/0!</v>
      </c>
    </row>
    <row r="148" spans="34:48">
      <c r="AH148" s="405"/>
      <c r="AL148" s="368"/>
      <c r="AV148" s="406"/>
    </row>
    <row r="149" spans="34:48">
      <c r="AH149" s="405"/>
      <c r="AK149" s="363"/>
      <c r="AL149" s="363"/>
      <c r="AM149" s="363"/>
      <c r="AN149" s="363"/>
      <c r="AO149" s="363"/>
      <c r="AP149" s="363"/>
      <c r="AQ149" s="363"/>
      <c r="AR149" s="363"/>
      <c r="AS149" s="363"/>
      <c r="AT149" s="363"/>
      <c r="AU149" s="363"/>
      <c r="AV149" s="364"/>
    </row>
    <row r="150" spans="34:48">
      <c r="AH150" s="341" t="s">
        <v>119</v>
      </c>
      <c r="AJ150" s="547">
        <v>45352</v>
      </c>
      <c r="AK150" s="547">
        <v>45383</v>
      </c>
      <c r="AL150" s="547">
        <v>45413</v>
      </c>
      <c r="AM150" s="547">
        <v>45444</v>
      </c>
      <c r="AN150" s="547">
        <v>45474</v>
      </c>
      <c r="AO150" s="547">
        <v>45505</v>
      </c>
      <c r="AP150" s="547">
        <v>45536</v>
      </c>
      <c r="AQ150" s="547">
        <v>45566</v>
      </c>
      <c r="AR150" s="547">
        <v>45597</v>
      </c>
      <c r="AS150" s="547">
        <v>45627</v>
      </c>
      <c r="AT150" s="547">
        <v>45658</v>
      </c>
      <c r="AU150" s="547">
        <v>45689</v>
      </c>
      <c r="AV150" s="548">
        <v>45717</v>
      </c>
    </row>
    <row r="151" spans="34:48">
      <c r="AH151" s="344">
        <f>(AV151-AJ151)/12</f>
        <v>0</v>
      </c>
      <c r="AI151" s="505" t="s">
        <v>2</v>
      </c>
      <c r="AJ151" s="392">
        <f>$AV$154</f>
        <v>1</v>
      </c>
      <c r="AK151" s="513">
        <f>++AJ151+$AH$151</f>
        <v>1</v>
      </c>
      <c r="AL151" s="513">
        <f t="shared" ref="AL151:AU151" si="64">++AK151+$AH$151</f>
        <v>1</v>
      </c>
      <c r="AM151" s="513">
        <f t="shared" si="64"/>
        <v>1</v>
      </c>
      <c r="AN151" s="513">
        <f t="shared" si="64"/>
        <v>1</v>
      </c>
      <c r="AO151" s="513">
        <f t="shared" si="64"/>
        <v>1</v>
      </c>
      <c r="AP151" s="513">
        <f t="shared" si="64"/>
        <v>1</v>
      </c>
      <c r="AQ151" s="513">
        <f t="shared" si="64"/>
        <v>1</v>
      </c>
      <c r="AR151" s="513">
        <f t="shared" si="64"/>
        <v>1</v>
      </c>
      <c r="AS151" s="513">
        <f t="shared" si="64"/>
        <v>1</v>
      </c>
      <c r="AT151" s="513">
        <f t="shared" si="64"/>
        <v>1</v>
      </c>
      <c r="AU151" s="513">
        <f t="shared" si="64"/>
        <v>1</v>
      </c>
      <c r="AV151" s="521">
        <v>1</v>
      </c>
    </row>
    <row r="152" spans="34:48">
      <c r="AH152" s="344">
        <f>(AV152-AJ152)/12</f>
        <v>0</v>
      </c>
      <c r="AI152" s="349" t="s">
        <v>2</v>
      </c>
      <c r="AJ152" s="392">
        <f>$AV$154</f>
        <v>1</v>
      </c>
      <c r="AK152" s="513">
        <f>++AJ152+$AH$152</f>
        <v>1</v>
      </c>
      <c r="AL152" s="513">
        <f t="shared" ref="AL152:AU152" si="65">++AK152+$AH$152</f>
        <v>1</v>
      </c>
      <c r="AM152" s="513">
        <f t="shared" si="65"/>
        <v>1</v>
      </c>
      <c r="AN152" s="513">
        <f>++AM152+$AH$152</f>
        <v>1</v>
      </c>
      <c r="AO152" s="513">
        <f t="shared" si="65"/>
        <v>1</v>
      </c>
      <c r="AP152" s="513">
        <f t="shared" si="65"/>
        <v>1</v>
      </c>
      <c r="AQ152" s="513">
        <f t="shared" si="65"/>
        <v>1</v>
      </c>
      <c r="AR152" s="513">
        <f t="shared" si="65"/>
        <v>1</v>
      </c>
      <c r="AS152" s="513">
        <f t="shared" si="65"/>
        <v>1</v>
      </c>
      <c r="AT152" s="513">
        <f t="shared" si="65"/>
        <v>1</v>
      </c>
      <c r="AU152" s="513">
        <f t="shared" si="65"/>
        <v>1</v>
      </c>
      <c r="AV152" s="521">
        <f>AV151-(AV151-AV154)*0.2</f>
        <v>1</v>
      </c>
    </row>
    <row r="153" spans="34:48">
      <c r="AH153" s="344">
        <f>(AV153-AJ153)/12</f>
        <v>0</v>
      </c>
      <c r="AI153" s="506" t="s">
        <v>2</v>
      </c>
      <c r="AJ153" s="392">
        <f>$AV$154</f>
        <v>1</v>
      </c>
      <c r="AK153" s="513">
        <f>++AJ153+$AH$153</f>
        <v>1</v>
      </c>
      <c r="AL153" s="513">
        <f t="shared" ref="AL153:AU153" si="66">++AK153+$AH$153</f>
        <v>1</v>
      </c>
      <c r="AM153" s="513">
        <f t="shared" si="66"/>
        <v>1</v>
      </c>
      <c r="AN153" s="513">
        <f t="shared" si="66"/>
        <v>1</v>
      </c>
      <c r="AO153" s="513">
        <f t="shared" si="66"/>
        <v>1</v>
      </c>
      <c r="AP153" s="513">
        <f t="shared" si="66"/>
        <v>1</v>
      </c>
      <c r="AQ153" s="513">
        <f t="shared" si="66"/>
        <v>1</v>
      </c>
      <c r="AR153" s="513">
        <f t="shared" si="66"/>
        <v>1</v>
      </c>
      <c r="AS153" s="513">
        <f t="shared" si="66"/>
        <v>1</v>
      </c>
      <c r="AT153" s="513">
        <f t="shared" si="66"/>
        <v>1</v>
      </c>
      <c r="AU153" s="513">
        <f t="shared" si="66"/>
        <v>1</v>
      </c>
      <c r="AV153" s="521">
        <f>AV151-(AV151-AV154)*0.5</f>
        <v>1</v>
      </c>
    </row>
    <row r="154" spans="34:48">
      <c r="AH154" s="344">
        <f>(AV154-AJ154)/12</f>
        <v>0</v>
      </c>
      <c r="AI154" s="355"/>
      <c r="AJ154" s="392">
        <f>$AV$154</f>
        <v>1</v>
      </c>
      <c r="AK154" s="513">
        <f>++AJ154+$AH$154</f>
        <v>1</v>
      </c>
      <c r="AL154" s="513">
        <f t="shared" ref="AL154:AU154" si="67">++AK154+$AH$154</f>
        <v>1</v>
      </c>
      <c r="AM154" s="513">
        <f t="shared" si="67"/>
        <v>1</v>
      </c>
      <c r="AN154" s="513">
        <f t="shared" si="67"/>
        <v>1</v>
      </c>
      <c r="AO154" s="513">
        <f t="shared" si="67"/>
        <v>1</v>
      </c>
      <c r="AP154" s="513">
        <f t="shared" si="67"/>
        <v>1</v>
      </c>
      <c r="AQ154" s="513">
        <f t="shared" si="67"/>
        <v>1</v>
      </c>
      <c r="AR154" s="513">
        <f t="shared" si="67"/>
        <v>1</v>
      </c>
      <c r="AS154" s="513">
        <f t="shared" si="67"/>
        <v>1</v>
      </c>
      <c r="AT154" s="513">
        <f t="shared" si="67"/>
        <v>1</v>
      </c>
      <c r="AU154" s="513">
        <f t="shared" si="67"/>
        <v>1</v>
      </c>
      <c r="AV154" s="522">
        <v>1</v>
      </c>
    </row>
    <row r="155" spans="34:48">
      <c r="AH155" s="405" t="s">
        <v>4</v>
      </c>
      <c r="AJ155" s="398"/>
      <c r="AK155" s="361">
        <f t="shared" ref="AK155:AU155" si="68">AK157/AK156</f>
        <v>1</v>
      </c>
      <c r="AL155" s="361">
        <f t="shared" si="68"/>
        <v>1</v>
      </c>
      <c r="AM155" s="361">
        <f t="shared" si="68"/>
        <v>1</v>
      </c>
      <c r="AN155" s="361">
        <f t="shared" si="68"/>
        <v>1</v>
      </c>
      <c r="AO155" s="361">
        <f t="shared" si="68"/>
        <v>1</v>
      </c>
      <c r="AP155" s="361" t="e">
        <f t="shared" si="68"/>
        <v>#DIV/0!</v>
      </c>
      <c r="AQ155" s="361" t="e">
        <f t="shared" si="68"/>
        <v>#DIV/0!</v>
      </c>
      <c r="AR155" s="361" t="e">
        <f t="shared" si="68"/>
        <v>#DIV/0!</v>
      </c>
      <c r="AS155" s="361" t="e">
        <f t="shared" si="68"/>
        <v>#DIV/0!</v>
      </c>
      <c r="AT155" s="361" t="e">
        <f>AT157/AT156</f>
        <v>#DIV/0!</v>
      </c>
      <c r="AU155" s="361" t="e">
        <f t="shared" si="68"/>
        <v>#DIV/0!</v>
      </c>
      <c r="AV155" s="362" t="e">
        <f>AV157/AV156</f>
        <v>#DIV/0!</v>
      </c>
    </row>
    <row r="156" spans="34:48">
      <c r="AH156" s="715" t="s">
        <v>21</v>
      </c>
      <c r="AI156" s="716"/>
      <c r="AJ156" s="399"/>
      <c r="AK156" s="507">
        <v>120</v>
      </c>
      <c r="AL156" s="507">
        <v>129</v>
      </c>
      <c r="AM156" s="523">
        <v>146</v>
      </c>
      <c r="AN156" s="507">
        <v>152</v>
      </c>
      <c r="AO156" s="524">
        <v>155</v>
      </c>
      <c r="AP156" s="523"/>
      <c r="AQ156" s="525"/>
      <c r="AR156" s="507"/>
      <c r="AS156" s="507"/>
      <c r="AT156" s="507"/>
      <c r="AU156" s="507"/>
      <c r="AV156" s="520"/>
    </row>
    <row r="157" spans="34:48">
      <c r="AH157" s="715" t="s">
        <v>22</v>
      </c>
      <c r="AI157" s="716"/>
      <c r="AJ157" s="399"/>
      <c r="AK157" s="507">
        <v>120</v>
      </c>
      <c r="AL157" s="507">
        <v>129</v>
      </c>
      <c r="AM157" s="523">
        <v>146</v>
      </c>
      <c r="AN157" s="507">
        <v>152</v>
      </c>
      <c r="AO157" s="524">
        <v>155</v>
      </c>
      <c r="AP157" s="523"/>
      <c r="AQ157" s="525"/>
      <c r="AR157" s="507"/>
      <c r="AS157" s="507"/>
      <c r="AT157" s="507"/>
      <c r="AU157" s="507"/>
      <c r="AV157" s="520"/>
    </row>
    <row r="158" spans="34:48">
      <c r="AH158" s="405" t="s">
        <v>5</v>
      </c>
      <c r="AK158" s="361" t="e">
        <f>(AK155-AK154)/(AK151-AK154)</f>
        <v>#DIV/0!</v>
      </c>
      <c r="AL158" s="361" t="e">
        <f>(AL155-AL154)/(AL151-AL154)</f>
        <v>#DIV/0!</v>
      </c>
      <c r="AM158" s="361" t="e">
        <f>(AM155-AM154)/(AM151-AM154)</f>
        <v>#DIV/0!</v>
      </c>
      <c r="AN158" s="361" t="e">
        <f>(AN155-AN154)/(AN151-AN154)</f>
        <v>#DIV/0!</v>
      </c>
      <c r="AO158" s="361" t="e">
        <f t="shared" ref="AO158:AV158" si="69">(AO155-AO154)/(AO151-AO154)</f>
        <v>#DIV/0!</v>
      </c>
      <c r="AP158" s="361" t="e">
        <f t="shared" si="69"/>
        <v>#DIV/0!</v>
      </c>
      <c r="AQ158" s="361" t="e">
        <f t="shared" si="69"/>
        <v>#DIV/0!</v>
      </c>
      <c r="AR158" s="361" t="e">
        <f t="shared" si="69"/>
        <v>#DIV/0!</v>
      </c>
      <c r="AS158" s="361" t="e">
        <f t="shared" si="69"/>
        <v>#DIV/0!</v>
      </c>
      <c r="AT158" s="361" t="e">
        <f t="shared" si="69"/>
        <v>#DIV/0!</v>
      </c>
      <c r="AU158" s="361" t="e">
        <f t="shared" si="69"/>
        <v>#DIV/0!</v>
      </c>
      <c r="AV158" s="362" t="e">
        <f t="shared" si="69"/>
        <v>#DIV/0!</v>
      </c>
    </row>
    <row r="159" spans="34:48">
      <c r="AH159" s="405" t="s">
        <v>6</v>
      </c>
      <c r="AK159" s="363">
        <v>1</v>
      </c>
      <c r="AL159" s="363">
        <v>1</v>
      </c>
      <c r="AM159" s="363">
        <v>1</v>
      </c>
      <c r="AN159" s="363">
        <v>1</v>
      </c>
      <c r="AO159" s="363">
        <v>1</v>
      </c>
      <c r="AP159" s="363" t="e">
        <f t="shared" ref="AP159:AV159" si="70">IF(OR(AP158&gt;=100%),100%,IF(OR(AP158&lt;=0%),0%,AVERAGE(AP158)))</f>
        <v>#DIV/0!</v>
      </c>
      <c r="AQ159" s="363" t="e">
        <f t="shared" si="70"/>
        <v>#DIV/0!</v>
      </c>
      <c r="AR159" s="363" t="e">
        <f t="shared" si="70"/>
        <v>#DIV/0!</v>
      </c>
      <c r="AS159" s="363" t="e">
        <f t="shared" si="70"/>
        <v>#DIV/0!</v>
      </c>
      <c r="AT159" s="363" t="e">
        <f t="shared" si="70"/>
        <v>#DIV/0!</v>
      </c>
      <c r="AU159" s="363" t="e">
        <f t="shared" si="70"/>
        <v>#DIV/0!</v>
      </c>
      <c r="AV159" s="364" t="e">
        <f t="shared" si="70"/>
        <v>#DIV/0!</v>
      </c>
    </row>
    <row r="160" spans="34:48">
      <c r="AH160" s="717" t="s">
        <v>7</v>
      </c>
      <c r="AI160" s="718"/>
      <c r="AK160" s="451">
        <f>AK159*0.075</f>
        <v>7.4999999999999997E-2</v>
      </c>
      <c r="AL160" s="451">
        <f t="shared" ref="AL160:AV160" si="71">AL159*0.075</f>
        <v>7.4999999999999997E-2</v>
      </c>
      <c r="AM160" s="451">
        <f t="shared" si="71"/>
        <v>7.4999999999999997E-2</v>
      </c>
      <c r="AN160" s="451">
        <f t="shared" si="71"/>
        <v>7.4999999999999997E-2</v>
      </c>
      <c r="AO160" s="451">
        <f t="shared" si="71"/>
        <v>7.4999999999999997E-2</v>
      </c>
      <c r="AP160" s="451" t="e">
        <f t="shared" si="71"/>
        <v>#DIV/0!</v>
      </c>
      <c r="AQ160" s="451" t="e">
        <f t="shared" si="71"/>
        <v>#DIV/0!</v>
      </c>
      <c r="AR160" s="451" t="e">
        <f t="shared" si="71"/>
        <v>#DIV/0!</v>
      </c>
      <c r="AS160" s="451" t="e">
        <f t="shared" si="71"/>
        <v>#DIV/0!</v>
      </c>
      <c r="AT160" s="451" t="e">
        <f t="shared" si="71"/>
        <v>#DIV/0!</v>
      </c>
      <c r="AU160" s="451" t="e">
        <f t="shared" si="71"/>
        <v>#DIV/0!</v>
      </c>
      <c r="AV160" s="452" t="e">
        <f t="shared" si="71"/>
        <v>#DIV/0!</v>
      </c>
    </row>
    <row r="161" spans="34:48">
      <c r="AH161" s="405"/>
      <c r="AK161" s="363"/>
      <c r="AL161" s="363"/>
      <c r="AM161" s="363"/>
      <c r="AN161" s="363"/>
      <c r="AO161" s="363"/>
      <c r="AP161" s="363"/>
      <c r="AQ161" s="363"/>
      <c r="AR161" s="363"/>
      <c r="AS161" s="363"/>
      <c r="AT161" s="363"/>
      <c r="AU161" s="363"/>
      <c r="AV161" s="364"/>
    </row>
    <row r="162" spans="34:48">
      <c r="AH162" s="405"/>
      <c r="AK162" s="363"/>
      <c r="AL162" s="363"/>
      <c r="AM162" s="363"/>
      <c r="AN162" s="363"/>
      <c r="AO162" s="363"/>
      <c r="AP162" s="363"/>
      <c r="AQ162" s="363"/>
      <c r="AR162" s="363"/>
      <c r="AS162" s="363"/>
      <c r="AT162" s="363"/>
      <c r="AU162" s="363"/>
      <c r="AV162" s="364"/>
    </row>
    <row r="163" spans="34:48">
      <c r="AH163" s="341" t="s">
        <v>120</v>
      </c>
      <c r="AJ163" s="547">
        <v>45352</v>
      </c>
      <c r="AK163" s="547">
        <v>45383</v>
      </c>
      <c r="AL163" s="547">
        <v>45413</v>
      </c>
      <c r="AM163" s="547">
        <v>45444</v>
      </c>
      <c r="AN163" s="547">
        <v>45474</v>
      </c>
      <c r="AO163" s="547">
        <v>45505</v>
      </c>
      <c r="AP163" s="547">
        <v>45536</v>
      </c>
      <c r="AQ163" s="547">
        <v>45566</v>
      </c>
      <c r="AR163" s="547">
        <v>45597</v>
      </c>
      <c r="AS163" s="547">
        <v>45627</v>
      </c>
      <c r="AT163" s="547">
        <v>45658</v>
      </c>
      <c r="AU163" s="547">
        <v>45689</v>
      </c>
      <c r="AV163" s="548">
        <v>45717</v>
      </c>
    </row>
    <row r="164" spans="34:48">
      <c r="AH164" s="372">
        <f>(AV164-AJ164)/12</f>
        <v>0</v>
      </c>
      <c r="AI164" s="355"/>
      <c r="AJ164" s="374">
        <f>$AV$164</f>
        <v>0</v>
      </c>
      <c r="AK164" s="374">
        <f t="shared" ref="AK164:AU164" si="72">$AV$164</f>
        <v>0</v>
      </c>
      <c r="AL164" s="374">
        <f t="shared" si="72"/>
        <v>0</v>
      </c>
      <c r="AM164" s="374">
        <f t="shared" si="72"/>
        <v>0</v>
      </c>
      <c r="AN164" s="374">
        <f t="shared" si="72"/>
        <v>0</v>
      </c>
      <c r="AO164" s="374">
        <f t="shared" si="72"/>
        <v>0</v>
      </c>
      <c r="AP164" s="374">
        <f t="shared" si="72"/>
        <v>0</v>
      </c>
      <c r="AQ164" s="374">
        <f t="shared" si="72"/>
        <v>0</v>
      </c>
      <c r="AR164" s="374">
        <f t="shared" si="72"/>
        <v>0</v>
      </c>
      <c r="AS164" s="374">
        <f t="shared" si="72"/>
        <v>0</v>
      </c>
      <c r="AT164" s="374">
        <f t="shared" si="72"/>
        <v>0</v>
      </c>
      <c r="AU164" s="374">
        <f t="shared" si="72"/>
        <v>0</v>
      </c>
      <c r="AV164" s="384">
        <v>0</v>
      </c>
    </row>
    <row r="165" spans="34:48">
      <c r="AH165" s="372">
        <f>(AV165-AJ165)/12</f>
        <v>0</v>
      </c>
      <c r="AI165" s="505" t="s">
        <v>2</v>
      </c>
      <c r="AJ165" s="374">
        <f>$AV$164</f>
        <v>0</v>
      </c>
      <c r="AK165" s="374">
        <f>++AJ165+$AH$165</f>
        <v>0</v>
      </c>
      <c r="AL165" s="374">
        <f t="shared" ref="AL165:AU165" si="73">++AK165+$AH$165</f>
        <v>0</v>
      </c>
      <c r="AM165" s="374">
        <f t="shared" si="73"/>
        <v>0</v>
      </c>
      <c r="AN165" s="374">
        <f t="shared" si="73"/>
        <v>0</v>
      </c>
      <c r="AO165" s="374">
        <f t="shared" si="73"/>
        <v>0</v>
      </c>
      <c r="AP165" s="374">
        <f t="shared" si="73"/>
        <v>0</v>
      </c>
      <c r="AQ165" s="374">
        <f t="shared" si="73"/>
        <v>0</v>
      </c>
      <c r="AR165" s="374">
        <f t="shared" si="73"/>
        <v>0</v>
      </c>
      <c r="AS165" s="374">
        <f t="shared" si="73"/>
        <v>0</v>
      </c>
      <c r="AT165" s="374">
        <f t="shared" si="73"/>
        <v>0</v>
      </c>
      <c r="AU165" s="374">
        <f t="shared" si="73"/>
        <v>0</v>
      </c>
      <c r="AV165" s="379">
        <f>AV164-(AV164-AV167)*0.5</f>
        <v>0</v>
      </c>
    </row>
    <row r="166" spans="34:48">
      <c r="AH166" s="372">
        <f>(AV166-AJ166)/12</f>
        <v>0</v>
      </c>
      <c r="AI166" s="349" t="s">
        <v>2</v>
      </c>
      <c r="AJ166" s="374">
        <f>$AV$164</f>
        <v>0</v>
      </c>
      <c r="AK166" s="374">
        <f>++AJ166+$AH$166</f>
        <v>0</v>
      </c>
      <c r="AL166" s="374">
        <f t="shared" ref="AL166:AU166" si="74">++AK166+$AH$166</f>
        <v>0</v>
      </c>
      <c r="AM166" s="374">
        <f t="shared" si="74"/>
        <v>0</v>
      </c>
      <c r="AN166" s="374">
        <f t="shared" si="74"/>
        <v>0</v>
      </c>
      <c r="AO166" s="374">
        <f t="shared" si="74"/>
        <v>0</v>
      </c>
      <c r="AP166" s="374">
        <f t="shared" si="74"/>
        <v>0</v>
      </c>
      <c r="AQ166" s="374">
        <f t="shared" si="74"/>
        <v>0</v>
      </c>
      <c r="AR166" s="374">
        <f t="shared" si="74"/>
        <v>0</v>
      </c>
      <c r="AS166" s="374">
        <f t="shared" si="74"/>
        <v>0</v>
      </c>
      <c r="AT166" s="374">
        <f t="shared" si="74"/>
        <v>0</v>
      </c>
      <c r="AU166" s="374">
        <f t="shared" si="74"/>
        <v>0</v>
      </c>
      <c r="AV166" s="377">
        <f>AV164-(AV164-AV167)*0.8</f>
        <v>0</v>
      </c>
    </row>
    <row r="167" spans="34:48">
      <c r="AH167" s="372">
        <f>(AV167-AJ167)/12</f>
        <v>0</v>
      </c>
      <c r="AI167" s="506" t="s">
        <v>2</v>
      </c>
      <c r="AJ167" s="374">
        <f>$AV$164</f>
        <v>0</v>
      </c>
      <c r="AK167" s="374">
        <f>++AJ167+$AH$167</f>
        <v>0</v>
      </c>
      <c r="AL167" s="374">
        <f t="shared" ref="AL167:AU167" si="75">++AK167+$AH$167</f>
        <v>0</v>
      </c>
      <c r="AM167" s="374">
        <f t="shared" si="75"/>
        <v>0</v>
      </c>
      <c r="AN167" s="374">
        <f t="shared" si="75"/>
        <v>0</v>
      </c>
      <c r="AO167" s="374">
        <f t="shared" si="75"/>
        <v>0</v>
      </c>
      <c r="AP167" s="374">
        <f t="shared" si="75"/>
        <v>0</v>
      </c>
      <c r="AQ167" s="374">
        <f t="shared" si="75"/>
        <v>0</v>
      </c>
      <c r="AR167" s="374">
        <f t="shared" si="75"/>
        <v>0</v>
      </c>
      <c r="AS167" s="374">
        <f t="shared" si="75"/>
        <v>0</v>
      </c>
      <c r="AT167" s="374">
        <f t="shared" si="75"/>
        <v>0</v>
      </c>
      <c r="AU167" s="374">
        <f t="shared" si="75"/>
        <v>0</v>
      </c>
      <c r="AV167" s="375">
        <v>0</v>
      </c>
    </row>
    <row r="168" spans="34:48">
      <c r="AH168" s="405" t="s">
        <v>4</v>
      </c>
      <c r="AJ168" s="383"/>
      <c r="AK168" s="383">
        <f>AK170/AK169*1000000</f>
        <v>0</v>
      </c>
      <c r="AL168" s="383">
        <f t="shared" ref="AL168:AU168" si="76">AL170/AL169*1000000</f>
        <v>0</v>
      </c>
      <c r="AM168" s="383">
        <f t="shared" si="76"/>
        <v>0</v>
      </c>
      <c r="AN168" s="383">
        <f t="shared" si="76"/>
        <v>0</v>
      </c>
      <c r="AO168" s="383">
        <f t="shared" si="76"/>
        <v>0</v>
      </c>
      <c r="AP168" s="383" t="e">
        <f t="shared" si="76"/>
        <v>#DIV/0!</v>
      </c>
      <c r="AQ168" s="383" t="e">
        <f t="shared" si="76"/>
        <v>#DIV/0!</v>
      </c>
      <c r="AR168" s="383" t="e">
        <f t="shared" si="76"/>
        <v>#DIV/0!</v>
      </c>
      <c r="AS168" s="383" t="e">
        <f t="shared" si="76"/>
        <v>#DIV/0!</v>
      </c>
      <c r="AT168" s="383" t="e">
        <f t="shared" si="76"/>
        <v>#DIV/0!</v>
      </c>
      <c r="AU168" s="383" t="e">
        <f t="shared" si="76"/>
        <v>#DIV/0!</v>
      </c>
      <c r="AV168" s="384" t="e">
        <f>AV170/AV169*1000000</f>
        <v>#DIV/0!</v>
      </c>
    </row>
    <row r="169" spans="34:48">
      <c r="AH169" s="1120" t="s">
        <v>24</v>
      </c>
      <c r="AI169" s="1121"/>
      <c r="AJ169" s="383"/>
      <c r="AK169" s="507">
        <v>6876</v>
      </c>
      <c r="AL169" s="526">
        <v>7515</v>
      </c>
      <c r="AM169" s="527">
        <v>7938</v>
      </c>
      <c r="AN169" s="507">
        <v>7562</v>
      </c>
      <c r="AO169" s="507">
        <v>8428</v>
      </c>
      <c r="AP169" s="507"/>
      <c r="AQ169" s="507"/>
      <c r="AR169" s="507"/>
      <c r="AS169" s="507"/>
      <c r="AT169" s="507"/>
      <c r="AU169" s="507"/>
      <c r="AV169" s="520"/>
    </row>
    <row r="170" spans="34:48">
      <c r="AH170" s="405"/>
      <c r="AI170" s="294" t="s">
        <v>14</v>
      </c>
      <c r="AJ170" s="383"/>
      <c r="AK170" s="507">
        <v>0</v>
      </c>
      <c r="AL170" s="526">
        <v>0</v>
      </c>
      <c r="AM170" s="527">
        <v>0</v>
      </c>
      <c r="AN170" s="507">
        <v>0</v>
      </c>
      <c r="AO170" s="507">
        <v>0</v>
      </c>
      <c r="AP170" s="507"/>
      <c r="AQ170" s="507"/>
      <c r="AR170" s="507"/>
      <c r="AS170" s="507"/>
      <c r="AT170" s="507"/>
      <c r="AU170" s="507"/>
      <c r="AV170" s="520"/>
    </row>
    <row r="171" spans="34:48">
      <c r="AH171" s="405"/>
      <c r="AJ171" s="418"/>
      <c r="AK171" s="419"/>
      <c r="AL171" s="331"/>
      <c r="AM171" s="331"/>
      <c r="AN171" s="331"/>
      <c r="AO171" s="331"/>
      <c r="AP171" s="418"/>
      <c r="AQ171" s="331"/>
      <c r="AR171" s="331"/>
      <c r="AS171" s="331"/>
      <c r="AT171" s="331"/>
      <c r="AU171" s="331"/>
      <c r="AV171" s="360"/>
    </row>
    <row r="172" spans="34:48">
      <c r="AH172" s="405" t="s">
        <v>5</v>
      </c>
      <c r="AK172" s="361" t="e">
        <f>(AK164-AK168)/(AK164-AK167)</f>
        <v>#DIV/0!</v>
      </c>
      <c r="AL172" s="361" t="e">
        <f t="shared" ref="AL172:AV172" si="77">(AL164-AL168)/(AL164-AL167)</f>
        <v>#DIV/0!</v>
      </c>
      <c r="AM172" s="361" t="e">
        <f>(AM164-AM168)/(AM164-AM167)</f>
        <v>#DIV/0!</v>
      </c>
      <c r="AN172" s="361" t="e">
        <f>(AN164-AN168)/(AN164-AN167)</f>
        <v>#DIV/0!</v>
      </c>
      <c r="AO172" s="361" t="e">
        <f t="shared" si="77"/>
        <v>#DIV/0!</v>
      </c>
      <c r="AP172" s="361" t="e">
        <f t="shared" si="77"/>
        <v>#DIV/0!</v>
      </c>
      <c r="AQ172" s="361" t="e">
        <f t="shared" si="77"/>
        <v>#DIV/0!</v>
      </c>
      <c r="AR172" s="361" t="e">
        <f t="shared" si="77"/>
        <v>#DIV/0!</v>
      </c>
      <c r="AS172" s="361" t="e">
        <f t="shared" si="77"/>
        <v>#DIV/0!</v>
      </c>
      <c r="AT172" s="361" t="e">
        <f t="shared" si="77"/>
        <v>#DIV/0!</v>
      </c>
      <c r="AU172" s="361" t="e">
        <f t="shared" si="77"/>
        <v>#DIV/0!</v>
      </c>
      <c r="AV172" s="362" t="e">
        <f t="shared" si="77"/>
        <v>#DIV/0!</v>
      </c>
    </row>
    <row r="173" spans="34:48">
      <c r="AH173" s="405" t="s">
        <v>6</v>
      </c>
      <c r="AK173" s="363">
        <v>1</v>
      </c>
      <c r="AL173" s="363">
        <v>1</v>
      </c>
      <c r="AM173" s="363">
        <v>1</v>
      </c>
      <c r="AN173" s="363">
        <v>1</v>
      </c>
      <c r="AO173" s="363">
        <v>1</v>
      </c>
      <c r="AP173" s="363" t="e">
        <f t="shared" ref="AP173:AV173" si="78">IF(OR(AP172&gt;=100%),100%,IF(OR(AP172&lt;=0%),0%,AVERAGE(AP172)))</f>
        <v>#DIV/0!</v>
      </c>
      <c r="AQ173" s="363" t="e">
        <f t="shared" si="78"/>
        <v>#DIV/0!</v>
      </c>
      <c r="AR173" s="363" t="e">
        <f t="shared" si="78"/>
        <v>#DIV/0!</v>
      </c>
      <c r="AS173" s="363" t="e">
        <f t="shared" si="78"/>
        <v>#DIV/0!</v>
      </c>
      <c r="AT173" s="363" t="e">
        <f t="shared" si="78"/>
        <v>#DIV/0!</v>
      </c>
      <c r="AU173" s="363" t="e">
        <f t="shared" si="78"/>
        <v>#DIV/0!</v>
      </c>
      <c r="AV173" s="364" t="e">
        <f t="shared" si="78"/>
        <v>#DIV/0!</v>
      </c>
    </row>
    <row r="174" spans="34:48">
      <c r="AH174" s="717" t="s">
        <v>7</v>
      </c>
      <c r="AI174" s="718"/>
      <c r="AK174" s="451">
        <f>AK173*0.075</f>
        <v>7.4999999999999997E-2</v>
      </c>
      <c r="AL174" s="451">
        <f t="shared" ref="AL174:AV174" si="79">AL173*0.075</f>
        <v>7.4999999999999997E-2</v>
      </c>
      <c r="AM174" s="451">
        <f t="shared" si="79"/>
        <v>7.4999999999999997E-2</v>
      </c>
      <c r="AN174" s="451">
        <f t="shared" si="79"/>
        <v>7.4999999999999997E-2</v>
      </c>
      <c r="AO174" s="451">
        <f t="shared" si="79"/>
        <v>7.4999999999999997E-2</v>
      </c>
      <c r="AP174" s="451" t="e">
        <f t="shared" si="79"/>
        <v>#DIV/0!</v>
      </c>
      <c r="AQ174" s="451" t="e">
        <f t="shared" si="79"/>
        <v>#DIV/0!</v>
      </c>
      <c r="AR174" s="451" t="e">
        <f t="shared" si="79"/>
        <v>#DIV/0!</v>
      </c>
      <c r="AS174" s="451" t="e">
        <f t="shared" si="79"/>
        <v>#DIV/0!</v>
      </c>
      <c r="AT174" s="451" t="e">
        <f t="shared" si="79"/>
        <v>#DIV/0!</v>
      </c>
      <c r="AU174" s="451" t="e">
        <f t="shared" si="79"/>
        <v>#DIV/0!</v>
      </c>
      <c r="AV174" s="452" t="e">
        <f t="shared" si="79"/>
        <v>#DIV/0!</v>
      </c>
    </row>
    <row r="175" spans="34:48">
      <c r="AH175" s="405"/>
      <c r="AK175" s="363"/>
      <c r="AL175" s="363"/>
      <c r="AM175" s="363"/>
      <c r="AN175" s="363"/>
      <c r="AO175" s="363"/>
      <c r="AP175" s="363"/>
      <c r="AQ175" s="363"/>
      <c r="AR175" s="363"/>
      <c r="AS175" s="363"/>
      <c r="AT175" s="363"/>
      <c r="AU175" s="363"/>
      <c r="AV175" s="364"/>
    </row>
    <row r="176" spans="34:48">
      <c r="AH176" s="341" t="s">
        <v>116</v>
      </c>
      <c r="AJ176" s="547">
        <v>45352</v>
      </c>
      <c r="AK176" s="547">
        <v>45383</v>
      </c>
      <c r="AL176" s="547">
        <v>45413</v>
      </c>
      <c r="AM176" s="547">
        <v>45444</v>
      </c>
      <c r="AN176" s="547">
        <v>45474</v>
      </c>
      <c r="AO176" s="547">
        <v>45505</v>
      </c>
      <c r="AP176" s="547">
        <v>45536</v>
      </c>
      <c r="AQ176" s="547">
        <v>45566</v>
      </c>
      <c r="AR176" s="547">
        <v>45597</v>
      </c>
      <c r="AS176" s="547">
        <v>45627</v>
      </c>
      <c r="AT176" s="547">
        <v>45658</v>
      </c>
      <c r="AU176" s="547">
        <v>45689</v>
      </c>
      <c r="AV176" s="548">
        <v>45717</v>
      </c>
    </row>
    <row r="177" spans="34:48">
      <c r="AH177" s="344">
        <f>(AV177-AJ177)/12</f>
        <v>0</v>
      </c>
      <c r="AI177" s="506" t="s">
        <v>2</v>
      </c>
      <c r="AJ177" s="513">
        <f>$AV$180</f>
        <v>1</v>
      </c>
      <c r="AK177" s="513">
        <f>++AJ177+$AH$177</f>
        <v>1</v>
      </c>
      <c r="AL177" s="513">
        <f t="shared" ref="AL177:AU177" si="80">++AK177+$AH$177</f>
        <v>1</v>
      </c>
      <c r="AM177" s="513">
        <f t="shared" si="80"/>
        <v>1</v>
      </c>
      <c r="AN177" s="513">
        <f t="shared" si="80"/>
        <v>1</v>
      </c>
      <c r="AO177" s="513">
        <f t="shared" si="80"/>
        <v>1</v>
      </c>
      <c r="AP177" s="513">
        <f t="shared" si="80"/>
        <v>1</v>
      </c>
      <c r="AQ177" s="513">
        <f t="shared" si="80"/>
        <v>1</v>
      </c>
      <c r="AR177" s="513">
        <f t="shared" si="80"/>
        <v>1</v>
      </c>
      <c r="AS177" s="513">
        <f t="shared" si="80"/>
        <v>1</v>
      </c>
      <c r="AT177" s="513">
        <f t="shared" si="80"/>
        <v>1</v>
      </c>
      <c r="AU177" s="513">
        <f t="shared" si="80"/>
        <v>1</v>
      </c>
      <c r="AV177" s="512">
        <v>1</v>
      </c>
    </row>
    <row r="178" spans="34:48">
      <c r="AH178" s="344">
        <f>(AV178-AJ178)/12</f>
        <v>0</v>
      </c>
      <c r="AI178" s="508" t="s">
        <v>2</v>
      </c>
      <c r="AJ178" s="513">
        <f>$AV$180</f>
        <v>1</v>
      </c>
      <c r="AK178" s="513">
        <f>++AJ178+$AH$178</f>
        <v>1</v>
      </c>
      <c r="AL178" s="513">
        <f t="shared" ref="AL178:AU178" si="81">++AK178+$AH$178</f>
        <v>1</v>
      </c>
      <c r="AM178" s="513">
        <f t="shared" si="81"/>
        <v>1</v>
      </c>
      <c r="AN178" s="513">
        <f t="shared" si="81"/>
        <v>1</v>
      </c>
      <c r="AO178" s="513">
        <f t="shared" si="81"/>
        <v>1</v>
      </c>
      <c r="AP178" s="513">
        <f t="shared" si="81"/>
        <v>1</v>
      </c>
      <c r="AQ178" s="513">
        <f t="shared" si="81"/>
        <v>1</v>
      </c>
      <c r="AR178" s="513">
        <f t="shared" si="81"/>
        <v>1</v>
      </c>
      <c r="AS178" s="513">
        <f t="shared" si="81"/>
        <v>1</v>
      </c>
      <c r="AT178" s="513">
        <f t="shared" si="81"/>
        <v>1</v>
      </c>
      <c r="AU178" s="513">
        <f t="shared" si="81"/>
        <v>1</v>
      </c>
      <c r="AV178" s="514">
        <f>AV177-(AV177-AV180)*0.2</f>
        <v>1</v>
      </c>
    </row>
    <row r="179" spans="34:48">
      <c r="AH179" s="344">
        <f>(AV179-AJ179)/12</f>
        <v>0</v>
      </c>
      <c r="AI179" s="505" t="s">
        <v>2</v>
      </c>
      <c r="AJ179" s="513">
        <f>$AV$180</f>
        <v>1</v>
      </c>
      <c r="AK179" s="513">
        <f>++AJ179+$AH$179</f>
        <v>1</v>
      </c>
      <c r="AL179" s="513">
        <f t="shared" ref="AL179:AU179" si="82">++AK179+$AH$179</f>
        <v>1</v>
      </c>
      <c r="AM179" s="513">
        <f t="shared" si="82"/>
        <v>1</v>
      </c>
      <c r="AN179" s="513">
        <f t="shared" si="82"/>
        <v>1</v>
      </c>
      <c r="AO179" s="513">
        <f t="shared" si="82"/>
        <v>1</v>
      </c>
      <c r="AP179" s="513">
        <f t="shared" si="82"/>
        <v>1</v>
      </c>
      <c r="AQ179" s="513">
        <f t="shared" si="82"/>
        <v>1</v>
      </c>
      <c r="AR179" s="513">
        <f t="shared" si="82"/>
        <v>1</v>
      </c>
      <c r="AS179" s="513">
        <f t="shared" si="82"/>
        <v>1</v>
      </c>
      <c r="AT179" s="513">
        <f t="shared" si="82"/>
        <v>1</v>
      </c>
      <c r="AU179" s="513">
        <f t="shared" si="82"/>
        <v>1</v>
      </c>
      <c r="AV179" s="515">
        <f>AV177-(AV177-AV180)*0.5</f>
        <v>1</v>
      </c>
    </row>
    <row r="180" spans="34:48">
      <c r="AH180" s="344">
        <f>(AV180-AJ180)/12</f>
        <v>0</v>
      </c>
      <c r="AI180" s="355"/>
      <c r="AJ180" s="392">
        <f>$AV$180</f>
        <v>1</v>
      </c>
      <c r="AK180" s="392">
        <f>$AV$180</f>
        <v>1</v>
      </c>
      <c r="AL180" s="392">
        <f t="shared" ref="AL180:AU180" si="83">$AV$180</f>
        <v>1</v>
      </c>
      <c r="AM180" s="392">
        <f t="shared" si="83"/>
        <v>1</v>
      </c>
      <c r="AN180" s="392">
        <f t="shared" si="83"/>
        <v>1</v>
      </c>
      <c r="AO180" s="392">
        <f t="shared" si="83"/>
        <v>1</v>
      </c>
      <c r="AP180" s="392">
        <f t="shared" si="83"/>
        <v>1</v>
      </c>
      <c r="AQ180" s="392">
        <f t="shared" si="83"/>
        <v>1</v>
      </c>
      <c r="AR180" s="392">
        <f t="shared" si="83"/>
        <v>1</v>
      </c>
      <c r="AS180" s="392">
        <f t="shared" si="83"/>
        <v>1</v>
      </c>
      <c r="AT180" s="392">
        <f t="shared" si="83"/>
        <v>1</v>
      </c>
      <c r="AU180" s="392">
        <f t="shared" si="83"/>
        <v>1</v>
      </c>
      <c r="AV180" s="397">
        <v>1</v>
      </c>
    </row>
    <row r="181" spans="34:48">
      <c r="AH181" s="405" t="s">
        <v>4</v>
      </c>
      <c r="AJ181" s="398"/>
      <c r="AK181" s="361" t="e">
        <f t="shared" ref="AK181:AV181" si="84">AK183/AK182</f>
        <v>#VALUE!</v>
      </c>
      <c r="AL181" s="361">
        <f t="shared" si="84"/>
        <v>0</v>
      </c>
      <c r="AM181" s="361" t="e">
        <f t="shared" si="84"/>
        <v>#VALUE!</v>
      </c>
      <c r="AN181" s="361" t="e">
        <f t="shared" si="84"/>
        <v>#VALUE!</v>
      </c>
      <c r="AO181" s="361" t="e">
        <f t="shared" si="84"/>
        <v>#VALUE!</v>
      </c>
      <c r="AP181" s="361" t="e">
        <f t="shared" si="84"/>
        <v>#DIV/0!</v>
      </c>
      <c r="AQ181" s="361" t="e">
        <f t="shared" si="84"/>
        <v>#DIV/0!</v>
      </c>
      <c r="AR181" s="361" t="e">
        <f t="shared" si="84"/>
        <v>#DIV/0!</v>
      </c>
      <c r="AS181" s="361" t="e">
        <f t="shared" si="84"/>
        <v>#DIV/0!</v>
      </c>
      <c r="AT181" s="361" t="e">
        <f t="shared" si="84"/>
        <v>#DIV/0!</v>
      </c>
      <c r="AU181" s="361" t="e">
        <f t="shared" si="84"/>
        <v>#DIV/0!</v>
      </c>
      <c r="AV181" s="362" t="e">
        <f t="shared" si="84"/>
        <v>#DIV/0!</v>
      </c>
    </row>
    <row r="182" spans="34:48">
      <c r="AH182" s="715" t="s">
        <v>21</v>
      </c>
      <c r="AI182" s="716"/>
      <c r="AJ182" s="399"/>
      <c r="AK182" s="455" t="s">
        <v>305</v>
      </c>
      <c r="AL182" s="455">
        <v>1</v>
      </c>
      <c r="AM182" s="455" t="s">
        <v>305</v>
      </c>
      <c r="AN182" s="455" t="s">
        <v>305</v>
      </c>
      <c r="AO182" s="455" t="s">
        <v>305</v>
      </c>
      <c r="AP182" s="455"/>
      <c r="AQ182" s="455"/>
      <c r="AR182" s="455"/>
      <c r="AS182" s="455"/>
      <c r="AT182" s="455"/>
      <c r="AU182" s="455"/>
      <c r="AV182" s="460"/>
    </row>
    <row r="183" spans="34:48">
      <c r="AH183" s="715" t="s">
        <v>22</v>
      </c>
      <c r="AI183" s="716"/>
      <c r="AJ183" s="399"/>
      <c r="AK183" s="455"/>
      <c r="AL183" s="455"/>
      <c r="AM183" s="455"/>
      <c r="AN183" s="455"/>
      <c r="AO183" s="455"/>
      <c r="AP183" s="455"/>
      <c r="AQ183" s="455"/>
      <c r="AR183" s="455"/>
      <c r="AS183" s="455"/>
      <c r="AT183" s="455"/>
      <c r="AU183" s="455"/>
      <c r="AV183" s="460"/>
    </row>
    <row r="184" spans="34:48">
      <c r="AH184" s="405" t="s">
        <v>5</v>
      </c>
      <c r="AK184" s="361">
        <v>1</v>
      </c>
      <c r="AL184" s="361">
        <v>1</v>
      </c>
      <c r="AM184" s="361">
        <v>1</v>
      </c>
      <c r="AN184" s="361">
        <v>1</v>
      </c>
      <c r="AO184" s="361">
        <v>1</v>
      </c>
      <c r="AP184" s="361">
        <v>1</v>
      </c>
      <c r="AQ184" s="361">
        <v>1</v>
      </c>
      <c r="AR184" s="361">
        <v>1</v>
      </c>
      <c r="AS184" s="361">
        <v>1</v>
      </c>
      <c r="AT184" s="361">
        <v>1</v>
      </c>
      <c r="AU184" s="361">
        <v>1</v>
      </c>
      <c r="AV184" s="362">
        <v>1</v>
      </c>
    </row>
    <row r="185" spans="34:48">
      <c r="AH185" s="405" t="s">
        <v>6</v>
      </c>
      <c r="AK185" s="363">
        <v>1</v>
      </c>
      <c r="AL185" s="363">
        <v>1</v>
      </c>
      <c r="AM185" s="363">
        <f>IF(OR(AM184&gt;=100%),100%,IF(OR(AM184&lt;=0%),0%,AVERAGE(AM184)))</f>
        <v>1</v>
      </c>
      <c r="AN185" s="363">
        <f t="shared" ref="AN185:AV185" si="85">IF(OR(AN184&gt;=100%),100%,IF(OR(AN184&lt;=0%),0%,AVERAGE(AN184)))</f>
        <v>1</v>
      </c>
      <c r="AO185" s="363">
        <f t="shared" si="85"/>
        <v>1</v>
      </c>
      <c r="AP185" s="363">
        <f t="shared" si="85"/>
        <v>1</v>
      </c>
      <c r="AQ185" s="363">
        <f t="shared" si="85"/>
        <v>1</v>
      </c>
      <c r="AR185" s="363">
        <f t="shared" si="85"/>
        <v>1</v>
      </c>
      <c r="AS185" s="363">
        <f t="shared" si="85"/>
        <v>1</v>
      </c>
      <c r="AT185" s="363">
        <f t="shared" si="85"/>
        <v>1</v>
      </c>
      <c r="AU185" s="363">
        <f t="shared" si="85"/>
        <v>1</v>
      </c>
      <c r="AV185" s="364">
        <f t="shared" si="85"/>
        <v>1</v>
      </c>
    </row>
    <row r="186" spans="34:48">
      <c r="AH186" s="717" t="s">
        <v>7</v>
      </c>
      <c r="AI186" s="718"/>
      <c r="AK186" s="451">
        <f>AK185*0.075</f>
        <v>7.4999999999999997E-2</v>
      </c>
      <c r="AL186" s="451">
        <f t="shared" ref="AL186:AV186" si="86">AL185*0.075</f>
        <v>7.4999999999999997E-2</v>
      </c>
      <c r="AM186" s="451">
        <f t="shared" si="86"/>
        <v>7.4999999999999997E-2</v>
      </c>
      <c r="AN186" s="451">
        <f t="shared" si="86"/>
        <v>7.4999999999999997E-2</v>
      </c>
      <c r="AO186" s="451">
        <f t="shared" si="86"/>
        <v>7.4999999999999997E-2</v>
      </c>
      <c r="AP186" s="451">
        <f t="shared" si="86"/>
        <v>7.4999999999999997E-2</v>
      </c>
      <c r="AQ186" s="451">
        <f t="shared" si="86"/>
        <v>7.4999999999999997E-2</v>
      </c>
      <c r="AR186" s="451">
        <f t="shared" si="86"/>
        <v>7.4999999999999997E-2</v>
      </c>
      <c r="AS186" s="451">
        <f t="shared" si="86"/>
        <v>7.4999999999999997E-2</v>
      </c>
      <c r="AT186" s="451">
        <f t="shared" si="86"/>
        <v>7.4999999999999997E-2</v>
      </c>
      <c r="AU186" s="451">
        <f t="shared" si="86"/>
        <v>7.4999999999999997E-2</v>
      </c>
      <c r="AV186" s="452">
        <f t="shared" si="86"/>
        <v>7.4999999999999997E-2</v>
      </c>
    </row>
    <row r="187" spans="34:48">
      <c r="AH187" s="405"/>
      <c r="AK187" s="363"/>
      <c r="AL187" s="363"/>
      <c r="AM187" s="363"/>
      <c r="AN187" s="363"/>
      <c r="AO187" s="363"/>
      <c r="AP187" s="363"/>
      <c r="AQ187" s="363"/>
      <c r="AR187" s="363"/>
      <c r="AS187" s="363"/>
      <c r="AT187" s="363"/>
      <c r="AU187" s="363"/>
      <c r="AV187" s="364"/>
    </row>
    <row r="188" spans="34:48">
      <c r="AH188" s="405"/>
      <c r="AK188" s="363"/>
      <c r="AL188" s="363"/>
      <c r="AM188" s="363"/>
      <c r="AN188" s="363"/>
      <c r="AO188" s="363"/>
      <c r="AP188" s="363"/>
      <c r="AQ188" s="363"/>
      <c r="AR188" s="363"/>
      <c r="AS188" s="363"/>
      <c r="AT188" s="363"/>
      <c r="AU188" s="363"/>
      <c r="AV188" s="364"/>
    </row>
    <row r="189" spans="34:48">
      <c r="AH189" s="341" t="s">
        <v>117</v>
      </c>
      <c r="AJ189" s="547">
        <v>45352</v>
      </c>
      <c r="AK189" s="547">
        <v>45383</v>
      </c>
      <c r="AL189" s="547">
        <v>45413</v>
      </c>
      <c r="AM189" s="547">
        <v>45444</v>
      </c>
      <c r="AN189" s="547">
        <v>45474</v>
      </c>
      <c r="AO189" s="547">
        <v>45505</v>
      </c>
      <c r="AP189" s="547">
        <v>45536</v>
      </c>
      <c r="AQ189" s="547">
        <v>45566</v>
      </c>
      <c r="AR189" s="547">
        <v>45597</v>
      </c>
      <c r="AS189" s="547">
        <v>45627</v>
      </c>
      <c r="AT189" s="547">
        <v>45658</v>
      </c>
      <c r="AU189" s="547">
        <v>45689</v>
      </c>
      <c r="AV189" s="548">
        <v>45717</v>
      </c>
    </row>
    <row r="190" spans="34:48">
      <c r="AH190" s="372">
        <f>(AV190-AJ190)/12</f>
        <v>0</v>
      </c>
      <c r="AI190" s="355"/>
      <c r="AJ190" s="374">
        <f>$AV$190</f>
        <v>0</v>
      </c>
      <c r="AK190" s="374">
        <f t="shared" ref="AK190:AU190" si="87">$AV$190</f>
        <v>0</v>
      </c>
      <c r="AL190" s="374">
        <f t="shared" si="87"/>
        <v>0</v>
      </c>
      <c r="AM190" s="374">
        <f t="shared" si="87"/>
        <v>0</v>
      </c>
      <c r="AN190" s="374">
        <f t="shared" si="87"/>
        <v>0</v>
      </c>
      <c r="AO190" s="374">
        <f t="shared" si="87"/>
        <v>0</v>
      </c>
      <c r="AP190" s="374">
        <f t="shared" si="87"/>
        <v>0</v>
      </c>
      <c r="AQ190" s="374">
        <f t="shared" si="87"/>
        <v>0</v>
      </c>
      <c r="AR190" s="374">
        <f t="shared" si="87"/>
        <v>0</v>
      </c>
      <c r="AS190" s="374">
        <f t="shared" si="87"/>
        <v>0</v>
      </c>
      <c r="AT190" s="374">
        <f t="shared" si="87"/>
        <v>0</v>
      </c>
      <c r="AU190" s="374">
        <f t="shared" si="87"/>
        <v>0</v>
      </c>
      <c r="AV190" s="384">
        <v>0</v>
      </c>
    </row>
    <row r="191" spans="34:48">
      <c r="AH191" s="372">
        <f>(AV191-AJ191)/12</f>
        <v>0</v>
      </c>
      <c r="AI191" s="505" t="s">
        <v>2</v>
      </c>
      <c r="AJ191" s="374">
        <f>$AV$190</f>
        <v>0</v>
      </c>
      <c r="AK191" s="374">
        <f>++AJ191+$AH$191</f>
        <v>0</v>
      </c>
      <c r="AL191" s="374">
        <f t="shared" ref="AL191:AU191" si="88">++AK191+$AH$191</f>
        <v>0</v>
      </c>
      <c r="AM191" s="374">
        <f t="shared" si="88"/>
        <v>0</v>
      </c>
      <c r="AN191" s="374">
        <f t="shared" si="88"/>
        <v>0</v>
      </c>
      <c r="AO191" s="374">
        <f t="shared" si="88"/>
        <v>0</v>
      </c>
      <c r="AP191" s="374">
        <f t="shared" si="88"/>
        <v>0</v>
      </c>
      <c r="AQ191" s="374">
        <f t="shared" si="88"/>
        <v>0</v>
      </c>
      <c r="AR191" s="374">
        <f t="shared" si="88"/>
        <v>0</v>
      </c>
      <c r="AS191" s="374">
        <f t="shared" si="88"/>
        <v>0</v>
      </c>
      <c r="AT191" s="374">
        <f t="shared" si="88"/>
        <v>0</v>
      </c>
      <c r="AU191" s="374">
        <f t="shared" si="88"/>
        <v>0</v>
      </c>
      <c r="AV191" s="379">
        <f>AV190-(AV190-AV193)*0.5</f>
        <v>0</v>
      </c>
    </row>
    <row r="192" spans="34:48">
      <c r="AH192" s="372">
        <f>(AV192-AJ192)/12</f>
        <v>0</v>
      </c>
      <c r="AI192" s="349" t="s">
        <v>2</v>
      </c>
      <c r="AJ192" s="374">
        <f>$AV$190</f>
        <v>0</v>
      </c>
      <c r="AK192" s="374">
        <f>++AJ192+$AH$192</f>
        <v>0</v>
      </c>
      <c r="AL192" s="374">
        <f t="shared" ref="AL192:AU192" si="89">++AK192+$AH$192</f>
        <v>0</v>
      </c>
      <c r="AM192" s="374">
        <f t="shared" si="89"/>
        <v>0</v>
      </c>
      <c r="AN192" s="374">
        <f t="shared" si="89"/>
        <v>0</v>
      </c>
      <c r="AO192" s="374">
        <f t="shared" si="89"/>
        <v>0</v>
      </c>
      <c r="AP192" s="374">
        <f t="shared" si="89"/>
        <v>0</v>
      </c>
      <c r="AQ192" s="374">
        <f t="shared" si="89"/>
        <v>0</v>
      </c>
      <c r="AR192" s="374">
        <f t="shared" si="89"/>
        <v>0</v>
      </c>
      <c r="AS192" s="374">
        <f t="shared" si="89"/>
        <v>0</v>
      </c>
      <c r="AT192" s="374">
        <f t="shared" si="89"/>
        <v>0</v>
      </c>
      <c r="AU192" s="374">
        <f t="shared" si="89"/>
        <v>0</v>
      </c>
      <c r="AV192" s="377">
        <f>AV190-(AV190-AV193)*0.8</f>
        <v>0</v>
      </c>
    </row>
    <row r="193" spans="34:48">
      <c r="AH193" s="372">
        <f>(AV193-AJ193)/12</f>
        <v>0</v>
      </c>
      <c r="AI193" s="506" t="s">
        <v>2</v>
      </c>
      <c r="AJ193" s="374">
        <f>$AV$190</f>
        <v>0</v>
      </c>
      <c r="AK193" s="374">
        <f>++AJ193+$AH$193</f>
        <v>0</v>
      </c>
      <c r="AL193" s="374">
        <f t="shared" ref="AL193:AU193" si="90">++AK193+$AH$193</f>
        <v>0</v>
      </c>
      <c r="AM193" s="374">
        <f t="shared" si="90"/>
        <v>0</v>
      </c>
      <c r="AN193" s="374">
        <f t="shared" si="90"/>
        <v>0</v>
      </c>
      <c r="AO193" s="374">
        <f t="shared" si="90"/>
        <v>0</v>
      </c>
      <c r="AP193" s="374">
        <f t="shared" si="90"/>
        <v>0</v>
      </c>
      <c r="AQ193" s="374">
        <f t="shared" si="90"/>
        <v>0</v>
      </c>
      <c r="AR193" s="374">
        <f t="shared" si="90"/>
        <v>0</v>
      </c>
      <c r="AS193" s="374">
        <f t="shared" si="90"/>
        <v>0</v>
      </c>
      <c r="AT193" s="374">
        <f t="shared" si="90"/>
        <v>0</v>
      </c>
      <c r="AU193" s="374">
        <f t="shared" si="90"/>
        <v>0</v>
      </c>
      <c r="AV193" s="375">
        <v>0</v>
      </c>
    </row>
    <row r="194" spans="34:48">
      <c r="AH194" s="405" t="s">
        <v>4</v>
      </c>
      <c r="AJ194" s="383"/>
      <c r="AK194" s="383" t="e">
        <f t="shared" ref="AK194:AU194" si="91">AK196/AK195*1000000</f>
        <v>#VALUE!</v>
      </c>
      <c r="AL194" s="383">
        <f t="shared" si="91"/>
        <v>0</v>
      </c>
      <c r="AM194" s="383" t="e">
        <f t="shared" si="91"/>
        <v>#VALUE!</v>
      </c>
      <c r="AN194" s="383" t="e">
        <f t="shared" si="91"/>
        <v>#VALUE!</v>
      </c>
      <c r="AO194" s="383" t="e">
        <f t="shared" si="91"/>
        <v>#VALUE!</v>
      </c>
      <c r="AP194" s="383" t="e">
        <f t="shared" si="91"/>
        <v>#DIV/0!</v>
      </c>
      <c r="AQ194" s="383" t="e">
        <f t="shared" si="91"/>
        <v>#DIV/0!</v>
      </c>
      <c r="AR194" s="383" t="e">
        <f t="shared" si="91"/>
        <v>#DIV/0!</v>
      </c>
      <c r="AS194" s="383" t="e">
        <f t="shared" si="91"/>
        <v>#DIV/0!</v>
      </c>
      <c r="AT194" s="383" t="e">
        <f t="shared" si="91"/>
        <v>#DIV/0!</v>
      </c>
      <c r="AU194" s="383" t="e">
        <f t="shared" si="91"/>
        <v>#DIV/0!</v>
      </c>
      <c r="AV194" s="384" t="e">
        <f>AV196/AV195*1000000</f>
        <v>#DIV/0!</v>
      </c>
    </row>
    <row r="195" spans="34:48">
      <c r="AH195" s="1120" t="s">
        <v>24</v>
      </c>
      <c r="AI195" s="1121"/>
      <c r="AJ195" s="383"/>
      <c r="AK195" s="455" t="s">
        <v>305</v>
      </c>
      <c r="AL195" s="455">
        <v>50</v>
      </c>
      <c r="AM195" s="455" t="s">
        <v>305</v>
      </c>
      <c r="AN195" s="455" t="s">
        <v>305</v>
      </c>
      <c r="AO195" s="455" t="s">
        <v>305</v>
      </c>
      <c r="AP195" s="455"/>
      <c r="AQ195" s="455"/>
      <c r="AR195" s="455"/>
      <c r="AS195" s="455"/>
      <c r="AT195" s="455"/>
      <c r="AU195" s="455"/>
      <c r="AV195" s="460"/>
    </row>
    <row r="196" spans="34:48">
      <c r="AH196" s="405"/>
      <c r="AI196" s="294" t="s">
        <v>14</v>
      </c>
      <c r="AJ196" s="383"/>
      <c r="AK196" s="455"/>
      <c r="AL196" s="455">
        <v>0</v>
      </c>
      <c r="AM196" s="455"/>
      <c r="AN196" s="455"/>
      <c r="AO196" s="455"/>
      <c r="AP196" s="455"/>
      <c r="AQ196" s="455"/>
      <c r="AR196" s="455"/>
      <c r="AS196" s="455"/>
      <c r="AT196" s="455"/>
      <c r="AU196" s="455"/>
      <c r="AV196" s="460"/>
    </row>
    <row r="197" spans="34:48">
      <c r="AH197" s="405"/>
      <c r="AJ197" s="418"/>
      <c r="AK197" s="419"/>
      <c r="AL197" s="331"/>
      <c r="AM197" s="331"/>
      <c r="AN197" s="331"/>
      <c r="AO197" s="331"/>
      <c r="AP197" s="418"/>
      <c r="AQ197" s="331"/>
      <c r="AR197" s="331"/>
      <c r="AS197" s="331"/>
      <c r="AT197" s="331"/>
      <c r="AU197" s="331"/>
      <c r="AV197" s="360"/>
    </row>
    <row r="198" spans="34:48">
      <c r="AH198" s="405" t="s">
        <v>5</v>
      </c>
      <c r="AK198" s="361">
        <v>1</v>
      </c>
      <c r="AL198" s="361">
        <v>1</v>
      </c>
      <c r="AM198" s="361">
        <v>1</v>
      </c>
      <c r="AN198" s="361">
        <v>1</v>
      </c>
      <c r="AO198" s="361">
        <v>1</v>
      </c>
      <c r="AP198" s="361">
        <v>1</v>
      </c>
      <c r="AQ198" s="361">
        <v>1</v>
      </c>
      <c r="AR198" s="361">
        <v>1</v>
      </c>
      <c r="AS198" s="361">
        <v>1</v>
      </c>
      <c r="AT198" s="361">
        <v>1</v>
      </c>
      <c r="AU198" s="361">
        <v>1</v>
      </c>
      <c r="AV198" s="362">
        <v>1</v>
      </c>
    </row>
    <row r="199" spans="34:48">
      <c r="AH199" s="405" t="s">
        <v>6</v>
      </c>
      <c r="AK199" s="363">
        <v>1</v>
      </c>
      <c r="AL199" s="363">
        <f t="shared" ref="AL199:AV199" si="92">IF(OR(AL198&gt;=100%),100%,IF(OR(AL198&lt;=0%),0%,AVERAGE(AL198)))</f>
        <v>1</v>
      </c>
      <c r="AM199" s="363">
        <f t="shared" si="92"/>
        <v>1</v>
      </c>
      <c r="AN199" s="363">
        <f t="shared" si="92"/>
        <v>1</v>
      </c>
      <c r="AO199" s="363">
        <f t="shared" si="92"/>
        <v>1</v>
      </c>
      <c r="AP199" s="363">
        <f t="shared" si="92"/>
        <v>1</v>
      </c>
      <c r="AQ199" s="363">
        <f t="shared" si="92"/>
        <v>1</v>
      </c>
      <c r="AR199" s="363">
        <f t="shared" si="92"/>
        <v>1</v>
      </c>
      <c r="AS199" s="363">
        <f t="shared" si="92"/>
        <v>1</v>
      </c>
      <c r="AT199" s="363">
        <f t="shared" si="92"/>
        <v>1</v>
      </c>
      <c r="AU199" s="363">
        <f t="shared" si="92"/>
        <v>1</v>
      </c>
      <c r="AV199" s="364">
        <f t="shared" si="92"/>
        <v>1</v>
      </c>
    </row>
    <row r="200" spans="34:48">
      <c r="AH200" s="717" t="s">
        <v>7</v>
      </c>
      <c r="AI200" s="718"/>
      <c r="AK200" s="451">
        <f>AK199*0.075</f>
        <v>7.4999999999999997E-2</v>
      </c>
      <c r="AL200" s="451">
        <f t="shared" ref="AL200:AU200" si="93">AL199*0.075</f>
        <v>7.4999999999999997E-2</v>
      </c>
      <c r="AM200" s="451">
        <f t="shared" si="93"/>
        <v>7.4999999999999997E-2</v>
      </c>
      <c r="AN200" s="451">
        <f t="shared" si="93"/>
        <v>7.4999999999999997E-2</v>
      </c>
      <c r="AO200" s="451">
        <f t="shared" si="93"/>
        <v>7.4999999999999997E-2</v>
      </c>
      <c r="AP200" s="451">
        <f t="shared" si="93"/>
        <v>7.4999999999999997E-2</v>
      </c>
      <c r="AQ200" s="451">
        <f t="shared" si="93"/>
        <v>7.4999999999999997E-2</v>
      </c>
      <c r="AR200" s="451">
        <f t="shared" si="93"/>
        <v>7.4999999999999997E-2</v>
      </c>
      <c r="AS200" s="451">
        <f t="shared" si="93"/>
        <v>7.4999999999999997E-2</v>
      </c>
      <c r="AT200" s="451">
        <f t="shared" si="93"/>
        <v>7.4999999999999997E-2</v>
      </c>
      <c r="AU200" s="451">
        <f t="shared" si="93"/>
        <v>7.4999999999999997E-2</v>
      </c>
      <c r="AV200" s="452">
        <f>AV199*0.075</f>
        <v>7.4999999999999997E-2</v>
      </c>
    </row>
    <row r="201" spans="34:48">
      <c r="AH201" s="405"/>
      <c r="AK201" s="363"/>
      <c r="AL201" s="363"/>
      <c r="AM201" s="363"/>
      <c r="AN201" s="363"/>
      <c r="AO201" s="363"/>
      <c r="AP201" s="363"/>
      <c r="AQ201" s="363"/>
      <c r="AR201" s="363"/>
      <c r="AS201" s="363"/>
      <c r="AT201" s="363"/>
      <c r="AU201" s="363"/>
      <c r="AV201" s="364"/>
    </row>
    <row r="202" spans="34:48">
      <c r="AH202" s="405"/>
      <c r="AK202" s="363"/>
      <c r="AL202" s="363"/>
      <c r="AM202" s="363"/>
      <c r="AN202" s="363"/>
      <c r="AO202" s="363"/>
      <c r="AP202" s="363"/>
      <c r="AQ202" s="363"/>
      <c r="AR202" s="363"/>
      <c r="AS202" s="363"/>
      <c r="AT202" s="363"/>
      <c r="AU202" s="363"/>
      <c r="AV202" s="364"/>
    </row>
    <row r="203" spans="34:48">
      <c r="AH203" s="405"/>
      <c r="AV203" s="406"/>
    </row>
    <row r="204" spans="34:48" ht="16" thickBot="1">
      <c r="AH204" s="424" t="s">
        <v>25</v>
      </c>
      <c r="AI204" s="190"/>
      <c r="AJ204" s="191"/>
      <c r="AK204" s="619">
        <f>SUM(AK63,AK77,AK93,AK106,AK120,AK133,AK147,AK160,AK174,AK186,AK200)</f>
        <v>0.99999999999999978</v>
      </c>
      <c r="AL204" s="619">
        <f t="shared" ref="AL204:AU204" si="94">SUM(AL63,AL77,AL93,AL106,AL120,AL133,AL147,AL160,AL174,AL186,AL200)</f>
        <v>0.99999999999999978</v>
      </c>
      <c r="AM204" s="619">
        <f t="shared" si="94"/>
        <v>0.99999999999999978</v>
      </c>
      <c r="AN204" s="619">
        <f t="shared" si="94"/>
        <v>0.99999999999999978</v>
      </c>
      <c r="AO204" s="619">
        <f>SUM(AO63,AO77,AO93,AO106,AO120,AO133,AO147,AO160,AO174,AO186,AO200)</f>
        <v>0.99999999999999978</v>
      </c>
      <c r="AP204" s="496" t="e">
        <f>SUM(AP63,AP77,AP93,AP106,AP120,AP133,AP147,AP160,AP174,AP186,AP200)</f>
        <v>#DIV/0!</v>
      </c>
      <c r="AQ204" s="496" t="e">
        <f t="shared" si="94"/>
        <v>#DIV/0!</v>
      </c>
      <c r="AR204" s="496" t="e">
        <f t="shared" si="94"/>
        <v>#DIV/0!</v>
      </c>
      <c r="AS204" s="496" t="e">
        <f t="shared" si="94"/>
        <v>#DIV/0!</v>
      </c>
      <c r="AT204" s="496" t="e">
        <f t="shared" si="94"/>
        <v>#DIV/0!</v>
      </c>
      <c r="AU204" s="496" t="e">
        <f t="shared" si="94"/>
        <v>#DIV/0!</v>
      </c>
      <c r="AV204" s="497" t="e">
        <f>SUM(AV63,AV77,AV93,AV106,AV120,AV133,AV147,AV160,AV174,AV186,AV200)</f>
        <v>#DIV/0!</v>
      </c>
    </row>
  </sheetData>
  <mergeCells count="249">
    <mergeCell ref="A2:A3"/>
    <mergeCell ref="B2:D2"/>
    <mergeCell ref="E2:H2"/>
    <mergeCell ref="I2:Q2"/>
    <mergeCell ref="R2:S2"/>
    <mergeCell ref="T2:Y2"/>
    <mergeCell ref="I4:Q4"/>
    <mergeCell ref="Z2:AG2"/>
    <mergeCell ref="B3:D3"/>
    <mergeCell ref="E3:H3"/>
    <mergeCell ref="I3:Q3"/>
    <mergeCell ref="R3:S3"/>
    <mergeCell ref="T3:Y3"/>
    <mergeCell ref="Z3:AG4"/>
    <mergeCell ref="B4:D4"/>
    <mergeCell ref="E4:H4"/>
    <mergeCell ref="R4:S4"/>
    <mergeCell ref="T4:Y4"/>
    <mergeCell ref="A5:A12"/>
    <mergeCell ref="B5:D5"/>
    <mergeCell ref="E5:H5"/>
    <mergeCell ref="I5:Q5"/>
    <mergeCell ref="R5:S5"/>
    <mergeCell ref="T5:U5"/>
    <mergeCell ref="V5:W5"/>
    <mergeCell ref="X5:Y5"/>
    <mergeCell ref="Z5:AA5"/>
    <mergeCell ref="X10:X12"/>
    <mergeCell ref="S10:S12"/>
    <mergeCell ref="T10:T12"/>
    <mergeCell ref="S7:S9"/>
    <mergeCell ref="I12:Q12"/>
    <mergeCell ref="B6:D12"/>
    <mergeCell ref="E6:H12"/>
    <mergeCell ref="I6:Q6"/>
    <mergeCell ref="R7:R9"/>
    <mergeCell ref="U10:U12"/>
    <mergeCell ref="Y7:Y9"/>
    <mergeCell ref="X7:X9"/>
    <mergeCell ref="U7:U9"/>
    <mergeCell ref="V7:V9"/>
    <mergeCell ref="W7:W9"/>
    <mergeCell ref="AB5:AC5"/>
    <mergeCell ref="AD5:AE5"/>
    <mergeCell ref="AF5:AG5"/>
    <mergeCell ref="AC7:AC12"/>
    <mergeCell ref="Z7:Z9"/>
    <mergeCell ref="AB7:AB12"/>
    <mergeCell ref="Z10:Z12"/>
    <mergeCell ref="AA10:AA12"/>
    <mergeCell ref="AE7:AE12"/>
    <mergeCell ref="AG7:AG12"/>
    <mergeCell ref="AF7:AF12"/>
    <mergeCell ref="AA7:AA9"/>
    <mergeCell ref="AD7:AD12"/>
    <mergeCell ref="V10:V12"/>
    <mergeCell ref="W10:W12"/>
    <mergeCell ref="Y10:Y12"/>
    <mergeCell ref="B13:D13"/>
    <mergeCell ref="R13:Y13"/>
    <mergeCell ref="T7:T9"/>
    <mergeCell ref="I8:Q8"/>
    <mergeCell ref="I9:Q9"/>
    <mergeCell ref="I10:Q10"/>
    <mergeCell ref="R10:R12"/>
    <mergeCell ref="I7:Q7"/>
    <mergeCell ref="Z13:AG13"/>
    <mergeCell ref="S14:Y14"/>
    <mergeCell ref="AA14:AG14"/>
    <mergeCell ref="AA15:AG15"/>
    <mergeCell ref="S15:Y15"/>
    <mergeCell ref="S18:Y18"/>
    <mergeCell ref="S20:Y20"/>
    <mergeCell ref="AA20:AG20"/>
    <mergeCell ref="S19:Y19"/>
    <mergeCell ref="S16:Y16"/>
    <mergeCell ref="AA17:AG18"/>
    <mergeCell ref="AA23:AG23"/>
    <mergeCell ref="AA19:AG19"/>
    <mergeCell ref="S21:Y21"/>
    <mergeCell ref="AA21:AG21"/>
    <mergeCell ref="B24:D24"/>
    <mergeCell ref="AA24:AG24"/>
    <mergeCell ref="S22:Y22"/>
    <mergeCell ref="AA22:AG22"/>
    <mergeCell ref="B22:D22"/>
    <mergeCell ref="B23:D23"/>
    <mergeCell ref="S24:Y24"/>
    <mergeCell ref="B19:D19"/>
    <mergeCell ref="A26:A27"/>
    <mergeCell ref="B26:D27"/>
    <mergeCell ref="E26:E27"/>
    <mergeCell ref="F26:F27"/>
    <mergeCell ref="G26:G27"/>
    <mergeCell ref="H26:H27"/>
    <mergeCell ref="I26:I27"/>
    <mergeCell ref="J26:J27"/>
    <mergeCell ref="K26:K27"/>
    <mergeCell ref="A28:A29"/>
    <mergeCell ref="B28:D29"/>
    <mergeCell ref="E28:E29"/>
    <mergeCell ref="F28:F29"/>
    <mergeCell ref="G28:G29"/>
    <mergeCell ref="H28:H29"/>
    <mergeCell ref="I28:I29"/>
    <mergeCell ref="J28:J29"/>
    <mergeCell ref="K28:K29"/>
    <mergeCell ref="A30:A31"/>
    <mergeCell ref="B30:D31"/>
    <mergeCell ref="E30:E31"/>
    <mergeCell ref="F30:F31"/>
    <mergeCell ref="G30:G31"/>
    <mergeCell ref="H30:H31"/>
    <mergeCell ref="I30:I31"/>
    <mergeCell ref="J30:J31"/>
    <mergeCell ref="K30:K31"/>
    <mergeCell ref="A32:A33"/>
    <mergeCell ref="B32:D33"/>
    <mergeCell ref="E32:E33"/>
    <mergeCell ref="F32:F33"/>
    <mergeCell ref="G32:G33"/>
    <mergeCell ref="H32:H33"/>
    <mergeCell ref="I32:I33"/>
    <mergeCell ref="J32:J33"/>
    <mergeCell ref="K32:K33"/>
    <mergeCell ref="A34:A35"/>
    <mergeCell ref="B34:D35"/>
    <mergeCell ref="E34:E35"/>
    <mergeCell ref="F34:F35"/>
    <mergeCell ref="G34:G35"/>
    <mergeCell ref="H34:H35"/>
    <mergeCell ref="I34:I35"/>
    <mergeCell ref="J34:J35"/>
    <mergeCell ref="K34:K35"/>
    <mergeCell ref="A37:A38"/>
    <mergeCell ref="B37:D38"/>
    <mergeCell ref="E37:E38"/>
    <mergeCell ref="F37:F38"/>
    <mergeCell ref="G37:G38"/>
    <mergeCell ref="H37:H38"/>
    <mergeCell ref="AG37:AG38"/>
    <mergeCell ref="L37:L38"/>
    <mergeCell ref="M37:M38"/>
    <mergeCell ref="N37:N38"/>
    <mergeCell ref="O37:O38"/>
    <mergeCell ref="P37:P38"/>
    <mergeCell ref="Q37:Q38"/>
    <mergeCell ref="I37:I38"/>
    <mergeCell ref="J37:J38"/>
    <mergeCell ref="K37:K38"/>
    <mergeCell ref="AH73:AI73"/>
    <mergeCell ref="S17:Y17"/>
    <mergeCell ref="AA16:AG16"/>
    <mergeCell ref="B17:D17"/>
    <mergeCell ref="B18:D18"/>
    <mergeCell ref="S37:X38"/>
    <mergeCell ref="Y37:Y38"/>
    <mergeCell ref="Z37:Z38"/>
    <mergeCell ref="B20:D20"/>
    <mergeCell ref="B21:D21"/>
    <mergeCell ref="AA32:AG33"/>
    <mergeCell ref="L34:L35"/>
    <mergeCell ref="M34:M35"/>
    <mergeCell ref="N34:N35"/>
    <mergeCell ref="O34:O35"/>
    <mergeCell ref="P34:P35"/>
    <mergeCell ref="Q34:Q35"/>
    <mergeCell ref="L32:L33"/>
    <mergeCell ref="R30:R31"/>
    <mergeCell ref="S30:Y31"/>
    <mergeCell ref="Z30:Z31"/>
    <mergeCell ref="AA30:AG31"/>
    <mergeCell ref="L28:L29"/>
    <mergeCell ref="AA26:AG27"/>
    <mergeCell ref="AA28:AG29"/>
    <mergeCell ref="L30:L31"/>
    <mergeCell ref="M30:M31"/>
    <mergeCell ref="N30:N31"/>
    <mergeCell ref="O30:O31"/>
    <mergeCell ref="P30:P31"/>
    <mergeCell ref="Q30:Q31"/>
    <mergeCell ref="B15:D15"/>
    <mergeCell ref="B14:D14"/>
    <mergeCell ref="M28:M29"/>
    <mergeCell ref="N28:N29"/>
    <mergeCell ref="O28:O29"/>
    <mergeCell ref="P28:P29"/>
    <mergeCell ref="Q28:Q29"/>
    <mergeCell ref="R28:R29"/>
    <mergeCell ref="S28:Y29"/>
    <mergeCell ref="Z28:Z29"/>
    <mergeCell ref="B25:D25"/>
    <mergeCell ref="S25:Y25"/>
    <mergeCell ref="AA25:AG25"/>
    <mergeCell ref="L26:L27"/>
    <mergeCell ref="M26:M27"/>
    <mergeCell ref="N26:N27"/>
    <mergeCell ref="O26:O27"/>
    <mergeCell ref="B16:D16"/>
    <mergeCell ref="M32:M33"/>
    <mergeCell ref="N32:N33"/>
    <mergeCell ref="O32:O33"/>
    <mergeCell ref="P32:P33"/>
    <mergeCell ref="Q32:Q33"/>
    <mergeCell ref="R32:R33"/>
    <mergeCell ref="S32:Y33"/>
    <mergeCell ref="Z32:Z33"/>
    <mergeCell ref="P26:P27"/>
    <mergeCell ref="Q26:Q27"/>
    <mergeCell ref="R26:R27"/>
    <mergeCell ref="S26:Y27"/>
    <mergeCell ref="Z26:Z27"/>
    <mergeCell ref="S23:Y23"/>
    <mergeCell ref="AH135:AI135"/>
    <mergeCell ref="AH147:AI147"/>
    <mergeCell ref="AH156:AI156"/>
    <mergeCell ref="AH157:AI157"/>
    <mergeCell ref="AH160:AI160"/>
    <mergeCell ref="AH129:AI129"/>
    <mergeCell ref="AH130:AI130"/>
    <mergeCell ref="AH133:AI133"/>
    <mergeCell ref="AH93:AI93"/>
    <mergeCell ref="AH103:AI103"/>
    <mergeCell ref="AH106:AI106"/>
    <mergeCell ref="AH120:AI120"/>
    <mergeCell ref="A14:A16"/>
    <mergeCell ref="AH183:AI183"/>
    <mergeCell ref="AH186:AI186"/>
    <mergeCell ref="AH195:AI195"/>
    <mergeCell ref="AH200:AI200"/>
    <mergeCell ref="R34:R35"/>
    <mergeCell ref="S34:Y35"/>
    <mergeCell ref="Z34:Z35"/>
    <mergeCell ref="AA34:AG35"/>
    <mergeCell ref="AH174:AI174"/>
    <mergeCell ref="AH75:AI75"/>
    <mergeCell ref="AH76:AI76"/>
    <mergeCell ref="AH77:AI77"/>
    <mergeCell ref="AA37:AF38"/>
    <mergeCell ref="AH169:AI169"/>
    <mergeCell ref="AH102:AI102"/>
    <mergeCell ref="AH57:AI57"/>
    <mergeCell ref="AH59:AI59"/>
    <mergeCell ref="R37:R38"/>
    <mergeCell ref="AH182:AI182"/>
    <mergeCell ref="AH61:AI61"/>
    <mergeCell ref="AH62:AI62"/>
    <mergeCell ref="AH63:AI63"/>
    <mergeCell ref="AH71:AI71"/>
  </mergeCells>
  <conditionalFormatting sqref="AK62">
    <cfRule type="cellIs" dxfId="44" priority="64" stopIfTrue="1" operator="between">
      <formula>-1000</formula>
      <formula>0.494</formula>
    </cfRule>
    <cfRule type="cellIs" dxfId="43" priority="65" stopIfTrue="1" operator="between">
      <formula>0.495</formula>
      <formula>0.794</formula>
    </cfRule>
    <cfRule type="cellIs" dxfId="42" priority="66" stopIfTrue="1" operator="between">
      <formula>0.795</formula>
      <formula>1000</formula>
    </cfRule>
  </conditionalFormatting>
  <conditionalFormatting sqref="AK76">
    <cfRule type="cellIs" dxfId="41" priority="16" stopIfTrue="1" operator="between">
      <formula>-1000</formula>
      <formula>0.494</formula>
    </cfRule>
    <cfRule type="cellIs" dxfId="40" priority="17" stopIfTrue="1" operator="between">
      <formula>0.495</formula>
      <formula>0.794</formula>
    </cfRule>
    <cfRule type="cellIs" dxfId="39" priority="18" stopIfTrue="1" operator="between">
      <formula>0.795</formula>
      <formula>1000</formula>
    </cfRule>
  </conditionalFormatting>
  <conditionalFormatting sqref="AK76:AL76">
    <cfRule type="cellIs" dxfId="38" priority="10" stopIfTrue="1" operator="between">
      <formula>-1000</formula>
      <formula>0.494</formula>
    </cfRule>
    <cfRule type="cellIs" dxfId="37" priority="11" stopIfTrue="1" operator="between">
      <formula>0.495</formula>
      <formula>0.794</formula>
    </cfRule>
    <cfRule type="cellIs" dxfId="36" priority="12" stopIfTrue="1" operator="between">
      <formula>0.795</formula>
      <formula>1000</formula>
    </cfRule>
  </conditionalFormatting>
  <conditionalFormatting sqref="AK62:AM62 AK92:AV92 AK105:AV105 AK185:AV185 AK199:AV199 AK132:AV132 AK119:AV119 AK146:AV146 AK173:AV173 AK159:AV159">
    <cfRule type="cellIs" dxfId="35" priority="71" stopIfTrue="1" operator="between">
      <formula>0.495</formula>
      <formula>0.794</formula>
    </cfRule>
    <cfRule type="cellIs" dxfId="34" priority="72" stopIfTrue="1" operator="between">
      <formula>0.795</formula>
      <formula>1000</formula>
    </cfRule>
  </conditionalFormatting>
  <conditionalFormatting sqref="AK92:AV92 AK105:AV105 AK185:AV185 AK199:AV199 AK62:AM62 AK132:AV132 AK119:AV119 AK146:AV146 AK173:AV173 AK159:AV159">
    <cfRule type="cellIs" dxfId="33" priority="70" stopIfTrue="1" operator="between">
      <formula>-1000</formula>
      <formula>0.494</formula>
    </cfRule>
  </conditionalFormatting>
  <conditionalFormatting sqref="AK92:AV92 AK105:AV105 AK185:AV185 AK199:AV199 AK132:AV132 AK119:AV119 AK146:AV146 AK173:AV173 AK159:AV159">
    <cfRule type="cellIs" dxfId="32" priority="67" stopIfTrue="1" operator="between">
      <formula>-1000</formula>
      <formula>0.494</formula>
    </cfRule>
    <cfRule type="cellIs" dxfId="31" priority="68" stopIfTrue="1" operator="between">
      <formula>0.495</formula>
      <formula>0.794</formula>
    </cfRule>
    <cfRule type="cellIs" dxfId="30" priority="69" stopIfTrue="1" operator="between">
      <formula>0.795</formula>
      <formula>1000</formula>
    </cfRule>
  </conditionalFormatting>
  <conditionalFormatting sqref="AL76:AV76">
    <cfRule type="cellIs" dxfId="29" priority="4" stopIfTrue="1" operator="between">
      <formula>-1000</formula>
      <formula>0.494</formula>
    </cfRule>
    <cfRule type="cellIs" dxfId="28" priority="5" stopIfTrue="1" operator="between">
      <formula>0.495</formula>
      <formula>0.794</formula>
    </cfRule>
    <cfRule type="cellIs" dxfId="27" priority="6" stopIfTrue="1" operator="between">
      <formula>0.795</formula>
      <formula>1000</formula>
    </cfRule>
  </conditionalFormatting>
  <conditionalFormatting sqref="AM76">
    <cfRule type="cellIs" dxfId="26" priority="1" stopIfTrue="1" operator="between">
      <formula>-1000</formula>
      <formula>0.494</formula>
    </cfRule>
    <cfRule type="cellIs" dxfId="25" priority="2" stopIfTrue="1" operator="between">
      <formula>0.495</formula>
      <formula>0.794</formula>
    </cfRule>
    <cfRule type="cellIs" dxfId="24" priority="3" stopIfTrue="1" operator="between">
      <formula>0.795</formula>
      <formula>1000</formula>
    </cfRule>
  </conditionalFormatting>
  <conditionalFormatting sqref="AN62:AV62">
    <cfRule type="cellIs" dxfId="23" priority="52" stopIfTrue="1" operator="between">
      <formula>-1000</formula>
      <formula>0.494</formula>
    </cfRule>
    <cfRule type="cellIs" dxfId="22" priority="53" stopIfTrue="1" operator="between">
      <formula>0.495</formula>
      <formula>0.794</formula>
    </cfRule>
    <cfRule type="cellIs" dxfId="21" priority="54" stopIfTrue="1" operator="between">
      <formula>0.795</formula>
      <formula>1000</formula>
    </cfRule>
  </conditionalFormatting>
  <printOptions horizontalCentered="1" verticalCentered="1"/>
  <pageMargins left="0" right="0" top="0.31" bottom="0" header="0.25" footer="0"/>
  <pageSetup paperSize="8" scale="54" orientation="landscape" horizontalDpi="4294967293" verticalDpi="4294967293" r:id="rId1"/>
  <rowBreaks count="1" manualBreakCount="1">
    <brk id="48" max="16383" man="1"/>
  </rowBreaks>
  <colBreaks count="1" manualBreakCount="1">
    <brk id="33" max="1048575" man="1"/>
  </colBreaks>
  <drawing r:id="rId2"/>
  <legacyDrawing r:id="rId3"/>
  <oleObjects>
    <mc:AlternateContent xmlns:mc="http://schemas.openxmlformats.org/markup-compatibility/2006">
      <mc:Choice Requires="x14">
        <oleObject progId="MSGraph.Chart.8" shapeId="17639" r:id="rId4">
          <objectPr defaultSize="0" autoPict="0" r:id="rId5">
            <anchor moveWithCells="1" sizeWithCells="1">
              <from>
                <xdr:col>15</xdr:col>
                <xdr:colOff>69850</xdr:colOff>
                <xdr:row>25</xdr:row>
                <xdr:rowOff>190500</xdr:rowOff>
              </from>
              <to>
                <xdr:col>23</xdr:col>
                <xdr:colOff>260350</xdr:colOff>
                <xdr:row>36</xdr:row>
                <xdr:rowOff>222250</xdr:rowOff>
              </to>
            </anchor>
          </objectPr>
        </oleObject>
      </mc:Choice>
      <mc:Fallback>
        <oleObject progId="MSGraph.Chart.8" shapeId="17639" r:id="rId4"/>
      </mc:Fallback>
    </mc:AlternateContent>
    <mc:AlternateContent xmlns:mc="http://schemas.openxmlformats.org/markup-compatibility/2006">
      <mc:Choice Requires="x14">
        <oleObject progId="MSGraph.Chart.8" shapeId="17640" r:id="rId6">
          <objectPr defaultSize="0" autoPict="0" r:id="rId7">
            <anchor moveWithCells="1" sizeWithCells="1">
              <from>
                <xdr:col>15</xdr:col>
                <xdr:colOff>50800</xdr:colOff>
                <xdr:row>36</xdr:row>
                <xdr:rowOff>298450</xdr:rowOff>
              </from>
              <to>
                <xdr:col>23</xdr:col>
                <xdr:colOff>241300</xdr:colOff>
                <xdr:row>47</xdr:row>
                <xdr:rowOff>76200</xdr:rowOff>
              </to>
            </anchor>
          </objectPr>
        </oleObject>
      </mc:Choice>
      <mc:Fallback>
        <oleObject progId="MSGraph.Chart.8" shapeId="17640" r:id="rId6"/>
      </mc:Fallback>
    </mc:AlternateContent>
    <mc:AlternateContent xmlns:mc="http://schemas.openxmlformats.org/markup-compatibility/2006">
      <mc:Choice Requires="x14">
        <oleObject progId="MSGraph.Chart.8" shapeId="17642" r:id="rId8">
          <objectPr defaultSize="0" autoPict="0" r:id="rId9">
            <anchor moveWithCells="1" sizeWithCells="1">
              <from>
                <xdr:col>6</xdr:col>
                <xdr:colOff>222250</xdr:colOff>
                <xdr:row>25</xdr:row>
                <xdr:rowOff>184150</xdr:rowOff>
              </from>
              <to>
                <xdr:col>14</xdr:col>
                <xdr:colOff>260350</xdr:colOff>
                <xdr:row>36</xdr:row>
                <xdr:rowOff>228600</xdr:rowOff>
              </to>
            </anchor>
          </objectPr>
        </oleObject>
      </mc:Choice>
      <mc:Fallback>
        <oleObject progId="MSGraph.Chart.8" shapeId="17642" r:id="rId8"/>
      </mc:Fallback>
    </mc:AlternateContent>
    <mc:AlternateContent xmlns:mc="http://schemas.openxmlformats.org/markup-compatibility/2006">
      <mc:Choice Requires="x14">
        <oleObject progId="MSGraph.Chart.8" shapeId="17643" r:id="rId10">
          <objectPr defaultSize="0" r:id="rId11">
            <anchor moveWithCells="1" sizeWithCells="1">
              <from>
                <xdr:col>6</xdr:col>
                <xdr:colOff>279400</xdr:colOff>
                <xdr:row>37</xdr:row>
                <xdr:rowOff>76200</xdr:rowOff>
              </from>
              <to>
                <xdr:col>14</xdr:col>
                <xdr:colOff>355600</xdr:colOff>
                <xdr:row>47</xdr:row>
                <xdr:rowOff>184150</xdr:rowOff>
              </to>
            </anchor>
          </objectPr>
        </oleObject>
      </mc:Choice>
      <mc:Fallback>
        <oleObject progId="MSGraph.Chart.8" shapeId="17643" r:id="rId10"/>
      </mc:Fallback>
    </mc:AlternateContent>
    <mc:AlternateContent xmlns:mc="http://schemas.openxmlformats.org/markup-compatibility/2006">
      <mc:Choice Requires="x14">
        <oleObject progId="MSGraph.Chart.8" shapeId="17644" r:id="rId12">
          <objectPr defaultSize="0" autoPict="0" r:id="rId13">
            <anchor moveWithCells="1" sizeWithCells="1">
              <from>
                <xdr:col>2</xdr:col>
                <xdr:colOff>31750</xdr:colOff>
                <xdr:row>37</xdr:row>
                <xdr:rowOff>31750</xdr:rowOff>
              </from>
              <to>
                <xdr:col>5</xdr:col>
                <xdr:colOff>317500</xdr:colOff>
                <xdr:row>47</xdr:row>
                <xdr:rowOff>184150</xdr:rowOff>
              </to>
            </anchor>
          </objectPr>
        </oleObject>
      </mc:Choice>
      <mc:Fallback>
        <oleObject progId="MSGraph.Chart.8" shapeId="17644" r:id="rId12"/>
      </mc:Fallback>
    </mc:AlternateContent>
    <mc:AlternateContent xmlns:mc="http://schemas.openxmlformats.org/markup-compatibility/2006">
      <mc:Choice Requires="x14">
        <oleObject progId="MSGraph.Chart.8" shapeId="17645" r:id="rId14">
          <objectPr defaultSize="0" autoPict="0" r:id="rId15">
            <anchor moveWithCells="1" sizeWithCells="1">
              <from>
                <xdr:col>2</xdr:col>
                <xdr:colOff>12700</xdr:colOff>
                <xdr:row>25</xdr:row>
                <xdr:rowOff>190500</xdr:rowOff>
              </from>
              <to>
                <xdr:col>5</xdr:col>
                <xdr:colOff>336550</xdr:colOff>
                <xdr:row>36</xdr:row>
                <xdr:rowOff>101600</xdr:rowOff>
              </to>
            </anchor>
          </objectPr>
        </oleObject>
      </mc:Choice>
      <mc:Fallback>
        <oleObject progId="MSGraph.Chart.8" shapeId="17645" r:id="rId1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T163"/>
  <sheetViews>
    <sheetView zoomScale="60" zoomScaleNormal="60" workbookViewId="0">
      <selection activeCell="A2" sqref="A2:A3"/>
    </sheetView>
  </sheetViews>
  <sheetFormatPr defaultColWidth="9.1796875" defaultRowHeight="15.5"/>
  <cols>
    <col min="1" max="1" width="12.81640625" style="294" customWidth="1"/>
    <col min="2" max="2" width="2.81640625" style="294" customWidth="1"/>
    <col min="3" max="3" width="9.1796875" style="294"/>
    <col min="4" max="4" width="45.1796875" style="294" customWidth="1"/>
    <col min="5" max="5" width="14.453125" style="294" customWidth="1"/>
    <col min="6" max="17" width="8.54296875" style="294" customWidth="1"/>
    <col min="18" max="27" width="11.54296875" style="294" customWidth="1"/>
    <col min="28" max="31" width="9.54296875" style="294" customWidth="1"/>
    <col min="32" max="32" width="41.54296875" style="294" bestFit="1" customWidth="1"/>
    <col min="33" max="33" width="16.54296875" style="294" bestFit="1" customWidth="1"/>
    <col min="34" max="34" width="13.1796875" style="294" customWidth="1"/>
    <col min="35" max="36" width="15.81640625" style="294" customWidth="1"/>
    <col min="37" max="37" width="15.54296875" style="294" customWidth="1"/>
    <col min="38" max="38" width="14.6328125" style="294" customWidth="1"/>
    <col min="39" max="46" width="13" style="294" customWidth="1"/>
    <col min="47" max="16384" width="9.1796875" style="294"/>
  </cols>
  <sheetData>
    <row r="1" spans="1:31" ht="16" thickBot="1"/>
    <row r="2" spans="1:31" ht="20.25" customHeight="1">
      <c r="A2" s="1226">
        <f>AM163</f>
        <v>0.74988915355297869</v>
      </c>
      <c r="B2" s="879" t="s">
        <v>27</v>
      </c>
      <c r="C2" s="879"/>
      <c r="D2" s="880"/>
      <c r="E2" s="861" t="s">
        <v>28</v>
      </c>
      <c r="F2" s="862"/>
      <c r="G2" s="862"/>
      <c r="H2" s="863"/>
      <c r="I2" s="1111" t="s">
        <v>66</v>
      </c>
      <c r="J2" s="862"/>
      <c r="K2" s="862"/>
      <c r="L2" s="862"/>
      <c r="M2" s="862"/>
      <c r="N2" s="862"/>
      <c r="O2" s="862"/>
      <c r="P2" s="862"/>
      <c r="Q2" s="862"/>
      <c r="R2" s="1112" t="s">
        <v>30</v>
      </c>
      <c r="S2" s="1113"/>
      <c r="T2" s="794"/>
      <c r="U2" s="795"/>
      <c r="V2" s="795"/>
      <c r="W2" s="796"/>
      <c r="X2" s="797" t="s">
        <v>31</v>
      </c>
      <c r="Y2" s="798"/>
      <c r="Z2" s="798"/>
      <c r="AA2" s="798"/>
      <c r="AB2" s="798"/>
      <c r="AC2" s="798"/>
      <c r="AD2" s="798"/>
      <c r="AE2" s="799"/>
    </row>
    <row r="3" spans="1:31" ht="20.25" customHeight="1" thickBot="1">
      <c r="A3" s="1227"/>
      <c r="B3" s="884" t="s">
        <v>32</v>
      </c>
      <c r="C3" s="885"/>
      <c r="D3" s="1228"/>
      <c r="E3" s="884" t="s">
        <v>33</v>
      </c>
      <c r="F3" s="885"/>
      <c r="G3" s="885"/>
      <c r="H3" s="885"/>
      <c r="I3" s="885" t="s">
        <v>34</v>
      </c>
      <c r="J3" s="885"/>
      <c r="K3" s="885"/>
      <c r="L3" s="1104"/>
      <c r="M3" s="1104"/>
      <c r="N3" s="1104"/>
      <c r="O3" s="1104"/>
      <c r="P3" s="1104"/>
      <c r="Q3" s="1104"/>
      <c r="R3" s="843" t="s">
        <v>35</v>
      </c>
      <c r="S3" s="844"/>
      <c r="T3" s="1188">
        <v>45544</v>
      </c>
      <c r="U3" s="1189"/>
      <c r="V3" s="1189"/>
      <c r="W3" s="1190"/>
      <c r="X3" s="834" t="s">
        <v>148</v>
      </c>
      <c r="Y3" s="835"/>
      <c r="Z3" s="835"/>
      <c r="AA3" s="835"/>
      <c r="AB3" s="835"/>
      <c r="AC3" s="835"/>
      <c r="AD3" s="835"/>
      <c r="AE3" s="836"/>
    </row>
    <row r="4" spans="1:31" ht="33.75" customHeight="1" thickBot="1">
      <c r="A4" s="427" t="s">
        <v>213</v>
      </c>
      <c r="B4" s="825" t="s">
        <v>36</v>
      </c>
      <c r="C4" s="859"/>
      <c r="D4" s="860"/>
      <c r="E4" s="1191" t="s">
        <v>96</v>
      </c>
      <c r="F4" s="1192"/>
      <c r="G4" s="1192"/>
      <c r="H4" s="1192"/>
      <c r="I4" s="728" t="s">
        <v>263</v>
      </c>
      <c r="J4" s="728"/>
      <c r="K4" s="728"/>
      <c r="L4" s="728"/>
      <c r="M4" s="728"/>
      <c r="N4" s="728"/>
      <c r="O4" s="728"/>
      <c r="P4" s="728"/>
      <c r="Q4" s="728"/>
      <c r="R4" s="1114" t="s">
        <v>37</v>
      </c>
      <c r="S4" s="1115"/>
      <c r="T4" s="845" t="s">
        <v>152</v>
      </c>
      <c r="U4" s="846"/>
      <c r="V4" s="846"/>
      <c r="W4" s="847"/>
      <c r="X4" s="837"/>
      <c r="Y4" s="838"/>
      <c r="Z4" s="838"/>
      <c r="AA4" s="838"/>
      <c r="AB4" s="838"/>
      <c r="AC4" s="838"/>
      <c r="AD4" s="838"/>
      <c r="AE4" s="839"/>
    </row>
    <row r="5" spans="1:31" ht="54" customHeight="1" thickBot="1">
      <c r="A5" s="1116" t="s">
        <v>39</v>
      </c>
      <c r="B5" s="874" t="s">
        <v>40</v>
      </c>
      <c r="C5" s="875"/>
      <c r="D5" s="876"/>
      <c r="E5" s="874" t="s">
        <v>41</v>
      </c>
      <c r="F5" s="875"/>
      <c r="G5" s="875"/>
      <c r="H5" s="887"/>
      <c r="I5" s="888" t="s">
        <v>42</v>
      </c>
      <c r="J5" s="875"/>
      <c r="K5" s="875"/>
      <c r="L5" s="875"/>
      <c r="M5" s="875"/>
      <c r="N5" s="875"/>
      <c r="O5" s="875"/>
      <c r="P5" s="875"/>
      <c r="Q5" s="875"/>
      <c r="R5" s="848" t="s">
        <v>214</v>
      </c>
      <c r="S5" s="1234"/>
      <c r="T5" s="848" t="s">
        <v>215</v>
      </c>
      <c r="U5" s="849"/>
      <c r="V5" s="828" t="s">
        <v>217</v>
      </c>
      <c r="W5" s="804"/>
      <c r="X5" s="803" t="s">
        <v>219</v>
      </c>
      <c r="Y5" s="804"/>
      <c r="Z5" s="828" t="s">
        <v>222</v>
      </c>
      <c r="AA5" s="804"/>
      <c r="AB5" s="828"/>
      <c r="AC5" s="868"/>
      <c r="AD5" s="828"/>
      <c r="AE5" s="868"/>
    </row>
    <row r="6" spans="1:31" ht="20.25" customHeight="1" thickBot="1">
      <c r="A6" s="872"/>
      <c r="B6" s="854" t="s">
        <v>43</v>
      </c>
      <c r="C6" s="855"/>
      <c r="D6" s="856"/>
      <c r="E6" s="861" t="s">
        <v>66</v>
      </c>
      <c r="F6" s="862"/>
      <c r="G6" s="862"/>
      <c r="H6" s="863"/>
      <c r="I6" s="809" t="s">
        <v>266</v>
      </c>
      <c r="J6" s="810"/>
      <c r="K6" s="810"/>
      <c r="L6" s="810"/>
      <c r="M6" s="810"/>
      <c r="N6" s="810"/>
      <c r="O6" s="810"/>
      <c r="P6" s="810"/>
      <c r="Q6" s="810"/>
      <c r="R6" s="498" t="s">
        <v>246</v>
      </c>
      <c r="S6" s="430" t="s">
        <v>254</v>
      </c>
      <c r="T6" s="498" t="s">
        <v>246</v>
      </c>
      <c r="U6" s="430" t="s">
        <v>254</v>
      </c>
      <c r="V6" s="498" t="s">
        <v>246</v>
      </c>
      <c r="W6" s="430" t="s">
        <v>254</v>
      </c>
      <c r="X6" s="498" t="s">
        <v>246</v>
      </c>
      <c r="Y6" s="430" t="s">
        <v>254</v>
      </c>
      <c r="Z6" s="498" t="s">
        <v>246</v>
      </c>
      <c r="AA6" s="430" t="s">
        <v>254</v>
      </c>
      <c r="AB6" s="528"/>
      <c r="AC6" s="529"/>
      <c r="AD6" s="499"/>
      <c r="AE6" s="296"/>
    </row>
    <row r="7" spans="1:31" ht="20.25" customHeight="1">
      <c r="A7" s="872"/>
      <c r="B7" s="857"/>
      <c r="C7" s="728"/>
      <c r="D7" s="729"/>
      <c r="E7" s="864"/>
      <c r="F7" s="865"/>
      <c r="G7" s="865"/>
      <c r="H7" s="866"/>
      <c r="I7" s="821" t="s">
        <v>267</v>
      </c>
      <c r="J7" s="822"/>
      <c r="K7" s="822"/>
      <c r="L7" s="822"/>
      <c r="M7" s="822"/>
      <c r="N7" s="822"/>
      <c r="O7" s="822"/>
      <c r="P7" s="822"/>
      <c r="Q7" s="823"/>
      <c r="R7" s="1242" t="s">
        <v>264</v>
      </c>
      <c r="S7" s="1245" t="s">
        <v>264</v>
      </c>
      <c r="T7" s="1204">
        <v>0.99719999999999998</v>
      </c>
      <c r="U7" s="1232">
        <v>0.99739999999999995</v>
      </c>
      <c r="V7" s="1213">
        <v>0.99960000000000004</v>
      </c>
      <c r="W7" s="1206">
        <v>0.99980000000000002</v>
      </c>
      <c r="X7" s="1213">
        <v>5.0000000000000001E-3</v>
      </c>
      <c r="Y7" s="1206">
        <v>4.4999999999999997E-3</v>
      </c>
      <c r="Z7" s="1208">
        <v>20</v>
      </c>
      <c r="AA7" s="1210">
        <v>15</v>
      </c>
      <c r="AB7" s="1235"/>
      <c r="AC7" s="1237"/>
      <c r="AD7" s="1172"/>
      <c r="AE7" s="1170"/>
    </row>
    <row r="8" spans="1:31" ht="13.5" customHeight="1">
      <c r="A8" s="872"/>
      <c r="B8" s="857"/>
      <c r="C8" s="728"/>
      <c r="D8" s="729"/>
      <c r="E8" s="864"/>
      <c r="F8" s="865"/>
      <c r="G8" s="865"/>
      <c r="H8" s="866"/>
      <c r="I8" s="800" t="s">
        <v>268</v>
      </c>
      <c r="J8" s="801"/>
      <c r="K8" s="801"/>
      <c r="L8" s="801"/>
      <c r="M8" s="801"/>
      <c r="N8" s="801"/>
      <c r="O8" s="801"/>
      <c r="P8" s="801"/>
      <c r="Q8" s="802"/>
      <c r="R8" s="1243"/>
      <c r="S8" s="1246"/>
      <c r="T8" s="1205"/>
      <c r="U8" s="1233"/>
      <c r="V8" s="1214"/>
      <c r="W8" s="1207"/>
      <c r="X8" s="1214"/>
      <c r="Y8" s="1207"/>
      <c r="Z8" s="1208"/>
      <c r="AA8" s="1211"/>
      <c r="AB8" s="1235"/>
      <c r="AC8" s="1237"/>
      <c r="AD8" s="1172"/>
      <c r="AE8" s="1170"/>
    </row>
    <row r="9" spans="1:31" ht="13.5" customHeight="1">
      <c r="A9" s="872"/>
      <c r="B9" s="857"/>
      <c r="C9" s="728"/>
      <c r="D9" s="729"/>
      <c r="E9" s="864"/>
      <c r="F9" s="865"/>
      <c r="G9" s="865"/>
      <c r="H9" s="866"/>
      <c r="I9" s="800" t="s">
        <v>269</v>
      </c>
      <c r="J9" s="801"/>
      <c r="K9" s="801"/>
      <c r="L9" s="801"/>
      <c r="M9" s="801"/>
      <c r="N9" s="801"/>
      <c r="O9" s="801"/>
      <c r="P9" s="801"/>
      <c r="Q9" s="802"/>
      <c r="R9" s="1244"/>
      <c r="S9" s="1247"/>
      <c r="T9" s="1205"/>
      <c r="U9" s="1233"/>
      <c r="V9" s="1214"/>
      <c r="W9" s="1207"/>
      <c r="X9" s="1214"/>
      <c r="Y9" s="1207"/>
      <c r="Z9" s="1208"/>
      <c r="AA9" s="1211"/>
      <c r="AB9" s="1235"/>
      <c r="AC9" s="1237"/>
      <c r="AD9" s="1172"/>
      <c r="AE9" s="1170"/>
    </row>
    <row r="10" spans="1:31" ht="13.5" customHeight="1">
      <c r="A10" s="872"/>
      <c r="B10" s="857"/>
      <c r="C10" s="728"/>
      <c r="D10" s="729"/>
      <c r="E10" s="864"/>
      <c r="F10" s="865"/>
      <c r="G10" s="865"/>
      <c r="H10" s="866"/>
      <c r="I10" s="800"/>
      <c r="J10" s="801"/>
      <c r="K10" s="801"/>
      <c r="L10" s="801"/>
      <c r="M10" s="801"/>
      <c r="N10" s="801"/>
      <c r="O10" s="801"/>
      <c r="P10" s="801"/>
      <c r="Q10" s="801"/>
      <c r="R10" s="1229" t="s">
        <v>169</v>
      </c>
      <c r="S10" s="1250" t="s">
        <v>169</v>
      </c>
      <c r="T10" s="1216">
        <v>2758</v>
      </c>
      <c r="U10" s="1211">
        <v>2649</v>
      </c>
      <c r="V10" s="1216">
        <v>26</v>
      </c>
      <c r="W10" s="1248">
        <v>1.4</v>
      </c>
      <c r="X10" s="1214"/>
      <c r="Y10" s="1207"/>
      <c r="Z10" s="1208"/>
      <c r="AA10" s="1211"/>
      <c r="AB10" s="1235"/>
      <c r="AC10" s="1237"/>
      <c r="AD10" s="1172"/>
      <c r="AE10" s="1170"/>
    </row>
    <row r="11" spans="1:31" ht="13.5" customHeight="1">
      <c r="A11" s="872"/>
      <c r="B11" s="857"/>
      <c r="C11" s="728"/>
      <c r="D11" s="729"/>
      <c r="E11" s="864"/>
      <c r="F11" s="865"/>
      <c r="G11" s="865"/>
      <c r="H11" s="866"/>
      <c r="R11" s="1230"/>
      <c r="S11" s="1251"/>
      <c r="T11" s="1216"/>
      <c r="U11" s="1211"/>
      <c r="V11" s="1216"/>
      <c r="W11" s="1248"/>
      <c r="X11" s="1214"/>
      <c r="Y11" s="1207"/>
      <c r="Z11" s="1208"/>
      <c r="AA11" s="1211"/>
      <c r="AB11" s="1235"/>
      <c r="AC11" s="1237"/>
      <c r="AD11" s="1172"/>
      <c r="AE11" s="1170"/>
    </row>
    <row r="12" spans="1:31" ht="13.5" customHeight="1" thickBot="1">
      <c r="A12" s="873"/>
      <c r="B12" s="858"/>
      <c r="C12" s="859"/>
      <c r="D12" s="860"/>
      <c r="E12" s="837"/>
      <c r="F12" s="838"/>
      <c r="G12" s="838"/>
      <c r="H12" s="867"/>
      <c r="I12" s="819"/>
      <c r="J12" s="820"/>
      <c r="K12" s="820"/>
      <c r="L12" s="820"/>
      <c r="M12" s="820"/>
      <c r="N12" s="820"/>
      <c r="O12" s="820"/>
      <c r="P12" s="820"/>
      <c r="Q12" s="820"/>
      <c r="R12" s="1231"/>
      <c r="S12" s="1252"/>
      <c r="T12" s="1217"/>
      <c r="U12" s="1212"/>
      <c r="V12" s="1217"/>
      <c r="W12" s="1249"/>
      <c r="X12" s="1215"/>
      <c r="Y12" s="1239"/>
      <c r="Z12" s="1209"/>
      <c r="AA12" s="1212"/>
      <c r="AB12" s="1236"/>
      <c r="AC12" s="1238"/>
      <c r="AD12" s="1173"/>
      <c r="AE12" s="1171"/>
    </row>
    <row r="13" spans="1:31" ht="36" customHeight="1" thickBot="1">
      <c r="A13" s="291" t="s">
        <v>45</v>
      </c>
      <c r="B13" s="1240" t="s">
        <v>153</v>
      </c>
      <c r="C13" s="1240"/>
      <c r="D13" s="1241"/>
      <c r="E13" s="292" t="s">
        <v>47</v>
      </c>
      <c r="F13" s="293" t="s">
        <v>48</v>
      </c>
      <c r="G13" s="293" t="s">
        <v>49</v>
      </c>
      <c r="H13" s="293" t="s">
        <v>50</v>
      </c>
      <c r="I13" s="293" t="s">
        <v>51</v>
      </c>
      <c r="J13" s="293" t="s">
        <v>52</v>
      </c>
      <c r="K13" s="293" t="s">
        <v>53</v>
      </c>
      <c r="L13" s="293" t="s">
        <v>54</v>
      </c>
      <c r="M13" s="293" t="s">
        <v>55</v>
      </c>
      <c r="N13" s="293" t="s">
        <v>56</v>
      </c>
      <c r="O13" s="293" t="s">
        <v>57</v>
      </c>
      <c r="P13" s="293" t="s">
        <v>58</v>
      </c>
      <c r="Q13" s="293" t="s">
        <v>59</v>
      </c>
      <c r="R13" s="782" t="s">
        <v>60</v>
      </c>
      <c r="S13" s="783"/>
      <c r="T13" s="783"/>
      <c r="U13" s="783"/>
      <c r="V13" s="783"/>
      <c r="W13" s="784"/>
      <c r="X13" s="782" t="s">
        <v>61</v>
      </c>
      <c r="Y13" s="783"/>
      <c r="Z13" s="783"/>
      <c r="AA13" s="783"/>
      <c r="AB13" s="783"/>
      <c r="AC13" s="783"/>
      <c r="AD13" s="783"/>
      <c r="AE13" s="784"/>
    </row>
    <row r="14" spans="1:31" ht="49" customHeight="1">
      <c r="A14" s="283">
        <v>1</v>
      </c>
      <c r="B14" s="1218" t="s">
        <v>255</v>
      </c>
      <c r="C14" s="1219"/>
      <c r="D14" s="1220"/>
      <c r="E14" s="530" t="s">
        <v>256</v>
      </c>
      <c r="F14" s="531"/>
      <c r="G14" s="531"/>
      <c r="H14" s="531"/>
      <c r="I14" s="531"/>
      <c r="J14" s="531"/>
      <c r="K14" s="531"/>
      <c r="L14" s="531"/>
      <c r="M14" s="531"/>
      <c r="N14" s="280"/>
      <c r="O14" s="280"/>
      <c r="P14" s="280"/>
      <c r="Q14" s="280"/>
      <c r="R14" s="302">
        <v>45383</v>
      </c>
      <c r="S14" s="1253" t="s">
        <v>320</v>
      </c>
      <c r="T14" s="1254"/>
      <c r="U14" s="1254"/>
      <c r="V14" s="1254"/>
      <c r="W14" s="1254"/>
      <c r="X14" s="302">
        <v>45383</v>
      </c>
      <c r="Y14" s="1141" t="s">
        <v>321</v>
      </c>
      <c r="Z14" s="1142"/>
      <c r="AA14" s="1142"/>
      <c r="AB14" s="1142"/>
      <c r="AC14" s="1142"/>
      <c r="AD14" s="1142"/>
      <c r="AE14" s="1143"/>
    </row>
    <row r="15" spans="1:31" ht="49" customHeight="1">
      <c r="A15" s="284">
        <v>2</v>
      </c>
      <c r="B15" s="1197" t="s">
        <v>257</v>
      </c>
      <c r="C15" s="1198"/>
      <c r="D15" s="1199"/>
      <c r="E15" s="532" t="s">
        <v>258</v>
      </c>
      <c r="F15" s="531"/>
      <c r="G15" s="531"/>
      <c r="H15" s="531"/>
      <c r="I15" s="531"/>
      <c r="J15" s="531"/>
      <c r="K15" s="531"/>
      <c r="L15" s="533"/>
      <c r="M15" s="533"/>
      <c r="N15" s="281"/>
      <c r="O15" s="281"/>
      <c r="P15" s="281"/>
      <c r="Q15" s="308"/>
      <c r="R15" s="302">
        <v>45414</v>
      </c>
      <c r="S15" s="757" t="s">
        <v>338</v>
      </c>
      <c r="T15" s="758"/>
      <c r="U15" s="758"/>
      <c r="V15" s="758"/>
      <c r="W15" s="759"/>
      <c r="X15" s="302">
        <v>45414</v>
      </c>
      <c r="Y15" s="1200" t="s">
        <v>349</v>
      </c>
      <c r="Z15" s="745"/>
      <c r="AA15" s="745"/>
      <c r="AB15" s="745"/>
      <c r="AC15" s="745"/>
      <c r="AD15" s="745"/>
      <c r="AE15" s="745"/>
    </row>
    <row r="16" spans="1:31" ht="66" customHeight="1">
      <c r="A16" s="284">
        <v>3</v>
      </c>
      <c r="B16" s="1197" t="s">
        <v>259</v>
      </c>
      <c r="C16" s="1198"/>
      <c r="D16" s="1199"/>
      <c r="E16" s="532" t="s">
        <v>260</v>
      </c>
      <c r="F16" s="531"/>
      <c r="G16" s="531"/>
      <c r="H16" s="531"/>
      <c r="I16" s="531"/>
      <c r="J16" s="531"/>
      <c r="K16" s="531"/>
      <c r="L16" s="534"/>
      <c r="M16" s="534"/>
      <c r="N16" s="311"/>
      <c r="O16" s="311"/>
      <c r="P16" s="311"/>
      <c r="Q16" s="312"/>
      <c r="R16" s="302">
        <v>45446</v>
      </c>
      <c r="S16" s="757" t="s">
        <v>347</v>
      </c>
      <c r="T16" s="758"/>
      <c r="U16" s="758"/>
      <c r="V16" s="758"/>
      <c r="W16" s="759"/>
      <c r="X16" s="302">
        <v>45446</v>
      </c>
      <c r="Y16" s="1200" t="s">
        <v>348</v>
      </c>
      <c r="Z16" s="745"/>
      <c r="AA16" s="745"/>
      <c r="AB16" s="745"/>
      <c r="AC16" s="745"/>
      <c r="AD16" s="745"/>
      <c r="AE16" s="745"/>
    </row>
    <row r="17" spans="1:31" ht="58.4" customHeight="1">
      <c r="A17" s="284">
        <v>4</v>
      </c>
      <c r="B17" s="1197" t="s">
        <v>261</v>
      </c>
      <c r="C17" s="1198"/>
      <c r="D17" s="1199"/>
      <c r="E17" s="532" t="s">
        <v>262</v>
      </c>
      <c r="F17" s="531"/>
      <c r="G17" s="531"/>
      <c r="H17" s="531"/>
      <c r="I17" s="531"/>
      <c r="J17" s="531"/>
      <c r="K17" s="531"/>
      <c r="L17" s="533"/>
      <c r="M17" s="533"/>
      <c r="N17" s="281"/>
      <c r="O17" s="281"/>
      <c r="P17" s="281"/>
      <c r="Q17" s="308"/>
      <c r="R17" s="302">
        <v>45474</v>
      </c>
      <c r="S17" s="757" t="s">
        <v>356</v>
      </c>
      <c r="T17" s="758"/>
      <c r="U17" s="758"/>
      <c r="V17" s="758"/>
      <c r="W17" s="759"/>
      <c r="X17" s="302">
        <v>45474</v>
      </c>
      <c r="Y17" s="895" t="s">
        <v>357</v>
      </c>
      <c r="Z17" s="896"/>
      <c r="AA17" s="896"/>
      <c r="AB17" s="896"/>
      <c r="AC17" s="896"/>
      <c r="AD17" s="896"/>
      <c r="AE17" s="897"/>
    </row>
    <row r="18" spans="1:31" ht="74.150000000000006" customHeight="1">
      <c r="A18" s="600"/>
      <c r="B18" s="1197"/>
      <c r="C18" s="1198"/>
      <c r="D18" s="1199"/>
      <c r="E18" s="532"/>
      <c r="F18" s="531"/>
      <c r="G18" s="531"/>
      <c r="H18" s="531"/>
      <c r="I18" s="533"/>
      <c r="J18" s="533"/>
      <c r="K18" s="533"/>
      <c r="L18" s="533"/>
      <c r="M18" s="533"/>
      <c r="N18" s="281"/>
      <c r="O18" s="281"/>
      <c r="P18" s="281"/>
      <c r="Q18" s="308"/>
      <c r="R18" s="302">
        <v>45505</v>
      </c>
      <c r="S18" s="757" t="s">
        <v>375</v>
      </c>
      <c r="T18" s="758"/>
      <c r="U18" s="758"/>
      <c r="V18" s="758"/>
      <c r="W18" s="759"/>
      <c r="X18" s="302">
        <v>45505</v>
      </c>
      <c r="Y18" s="895" t="s">
        <v>376</v>
      </c>
      <c r="Z18" s="896"/>
      <c r="AA18" s="896"/>
      <c r="AB18" s="896"/>
      <c r="AC18" s="896"/>
      <c r="AD18" s="896"/>
      <c r="AE18" s="897"/>
    </row>
    <row r="19" spans="1:31" ht="57.75" customHeight="1">
      <c r="A19" s="600"/>
      <c r="B19" s="1197"/>
      <c r="C19" s="1198"/>
      <c r="D19" s="1199"/>
      <c r="E19" s="532"/>
      <c r="F19" s="531"/>
      <c r="G19" s="531"/>
      <c r="H19" s="531"/>
      <c r="I19" s="533"/>
      <c r="J19" s="533"/>
      <c r="K19" s="533"/>
      <c r="L19" s="533"/>
      <c r="M19" s="533"/>
      <c r="N19" s="281"/>
      <c r="O19" s="280"/>
      <c r="P19" s="280"/>
      <c r="Q19" s="280"/>
      <c r="R19" s="302"/>
      <c r="S19" s="1080"/>
      <c r="T19" s="1081"/>
      <c r="U19" s="1081"/>
      <c r="V19" s="1081"/>
      <c r="W19" s="1082"/>
      <c r="X19" s="302"/>
      <c r="Y19" s="895"/>
      <c r="Z19" s="896"/>
      <c r="AA19" s="896"/>
      <c r="AB19" s="896"/>
      <c r="AC19" s="896"/>
      <c r="AD19" s="896"/>
      <c r="AE19" s="897"/>
    </row>
    <row r="20" spans="1:31" ht="60" customHeight="1">
      <c r="A20" s="285"/>
      <c r="B20" s="1221"/>
      <c r="C20" s="1221"/>
      <c r="D20" s="1222"/>
      <c r="E20" s="535"/>
      <c r="F20" s="311"/>
      <c r="G20" s="311"/>
      <c r="H20" s="311"/>
      <c r="I20" s="311"/>
      <c r="J20" s="311"/>
      <c r="K20" s="311"/>
      <c r="L20" s="311"/>
      <c r="M20" s="311"/>
      <c r="N20" s="311"/>
      <c r="O20" s="281"/>
      <c r="P20" s="281"/>
      <c r="Q20" s="308"/>
      <c r="R20" s="302"/>
      <c r="S20" s="1080"/>
      <c r="T20" s="1081"/>
      <c r="U20" s="1081"/>
      <c r="V20" s="1081"/>
      <c r="W20" s="1082"/>
      <c r="X20" s="302"/>
      <c r="Y20" s="895"/>
      <c r="Z20" s="896"/>
      <c r="AA20" s="896"/>
      <c r="AB20" s="896"/>
      <c r="AC20" s="896"/>
      <c r="AD20" s="896"/>
      <c r="AE20" s="897"/>
    </row>
    <row r="21" spans="1:31" ht="57" customHeight="1">
      <c r="A21" s="303"/>
      <c r="B21" s="740"/>
      <c r="C21" s="740"/>
      <c r="D21" s="741"/>
      <c r="E21" s="307"/>
      <c r="F21" s="281"/>
      <c r="G21" s="281"/>
      <c r="H21" s="281"/>
      <c r="I21" s="281"/>
      <c r="J21" s="281"/>
      <c r="K21" s="281"/>
      <c r="L21" s="281"/>
      <c r="M21" s="281"/>
      <c r="N21" s="281"/>
      <c r="O21" s="281"/>
      <c r="P21" s="281"/>
      <c r="Q21" s="308"/>
      <c r="R21" s="302"/>
      <c r="S21" s="1080"/>
      <c r="T21" s="1081"/>
      <c r="U21" s="1081"/>
      <c r="V21" s="1081"/>
      <c r="W21" s="1082"/>
      <c r="X21" s="302"/>
      <c r="Y21" s="895"/>
      <c r="Z21" s="896"/>
      <c r="AA21" s="896"/>
      <c r="AB21" s="896"/>
      <c r="AC21" s="896"/>
      <c r="AD21" s="896"/>
      <c r="AE21" s="897"/>
    </row>
    <row r="22" spans="1:31" ht="34.5" customHeight="1">
      <c r="A22" s="303"/>
      <c r="B22" s="1068"/>
      <c r="C22" s="1068"/>
      <c r="D22" s="1069"/>
      <c r="E22" s="307"/>
      <c r="F22" s="281"/>
      <c r="G22" s="281"/>
      <c r="H22" s="281"/>
      <c r="I22" s="281"/>
      <c r="J22" s="281"/>
      <c r="K22" s="281"/>
      <c r="L22" s="281"/>
      <c r="M22" s="281"/>
      <c r="N22" s="281"/>
      <c r="O22" s="281"/>
      <c r="P22" s="281"/>
      <c r="Q22" s="308"/>
      <c r="R22" s="302"/>
      <c r="S22" s="1080"/>
      <c r="T22" s="1081"/>
      <c r="U22" s="1081"/>
      <c r="V22" s="1081"/>
      <c r="W22" s="1082"/>
      <c r="X22" s="302"/>
      <c r="Y22" s="895"/>
      <c r="Z22" s="896"/>
      <c r="AA22" s="896"/>
      <c r="AB22" s="896"/>
      <c r="AC22" s="896"/>
      <c r="AD22" s="896"/>
      <c r="AE22" s="897"/>
    </row>
    <row r="23" spans="1:31" ht="34.5" customHeight="1">
      <c r="A23" s="536"/>
      <c r="B23" s="1068"/>
      <c r="C23" s="1068"/>
      <c r="D23" s="1069"/>
      <c r="E23" s="307"/>
      <c r="F23" s="281"/>
      <c r="G23" s="281"/>
      <c r="H23" s="281"/>
      <c r="I23" s="281"/>
      <c r="J23" s="281"/>
      <c r="K23" s="281"/>
      <c r="L23" s="281"/>
      <c r="M23" s="281"/>
      <c r="N23" s="281"/>
      <c r="O23" s="281"/>
      <c r="P23" s="281"/>
      <c r="Q23" s="308"/>
      <c r="R23" s="302"/>
      <c r="S23" s="1080"/>
      <c r="T23" s="1081"/>
      <c r="U23" s="1081"/>
      <c r="V23" s="1081"/>
      <c r="W23" s="1082"/>
      <c r="X23" s="302"/>
      <c r="Y23" s="895"/>
      <c r="Z23" s="896"/>
      <c r="AA23" s="896"/>
      <c r="AB23" s="896"/>
      <c r="AC23" s="896"/>
      <c r="AD23" s="896"/>
      <c r="AE23" s="897"/>
    </row>
    <row r="24" spans="1:31" ht="34.5" customHeight="1">
      <c r="A24" s="303"/>
      <c r="B24" s="1068"/>
      <c r="C24" s="1068"/>
      <c r="D24" s="1069"/>
      <c r="E24" s="307"/>
      <c r="F24" s="281"/>
      <c r="G24" s="281"/>
      <c r="H24" s="281"/>
      <c r="I24" s="281"/>
      <c r="J24" s="281"/>
      <c r="K24" s="281"/>
      <c r="L24" s="281"/>
      <c r="M24" s="281"/>
      <c r="N24" s="281"/>
      <c r="O24" s="281"/>
      <c r="P24" s="281"/>
      <c r="Q24" s="308"/>
      <c r="R24" s="302"/>
      <c r="S24" s="1080"/>
      <c r="T24" s="1081"/>
      <c r="U24" s="1081"/>
      <c r="V24" s="1081"/>
      <c r="W24" s="1082"/>
      <c r="X24" s="302"/>
      <c r="Y24" s="895"/>
      <c r="Z24" s="896"/>
      <c r="AA24" s="896"/>
      <c r="AB24" s="896"/>
      <c r="AC24" s="896"/>
      <c r="AD24" s="896"/>
      <c r="AE24" s="897"/>
    </row>
    <row r="25" spans="1:31" ht="34.5" customHeight="1" thickBot="1">
      <c r="A25" s="537"/>
      <c r="B25" s="1201"/>
      <c r="C25" s="1202"/>
      <c r="D25" s="1203"/>
      <c r="E25" s="538"/>
      <c r="F25" s="539"/>
      <c r="G25" s="539"/>
      <c r="H25" s="539"/>
      <c r="I25" s="534"/>
      <c r="J25" s="534"/>
      <c r="K25" s="534"/>
      <c r="L25" s="534"/>
      <c r="M25" s="534"/>
      <c r="N25" s="311"/>
      <c r="O25" s="311"/>
      <c r="P25" s="311"/>
      <c r="Q25" s="312"/>
      <c r="R25" s="540"/>
      <c r="S25" s="1223"/>
      <c r="T25" s="1224"/>
      <c r="U25" s="1224"/>
      <c r="V25" s="1224"/>
      <c r="W25" s="1225"/>
      <c r="X25" s="540"/>
      <c r="Y25" s="902"/>
      <c r="Z25" s="903"/>
      <c r="AA25" s="903"/>
      <c r="AB25" s="903"/>
      <c r="AC25" s="903"/>
      <c r="AD25" s="903"/>
      <c r="AE25" s="904"/>
    </row>
    <row r="26" spans="1:31" ht="24.65" customHeight="1">
      <c r="A26" s="541"/>
      <c r="B26" s="1196"/>
      <c r="C26" s="1196"/>
      <c r="D26" s="1196"/>
      <c r="E26" s="542"/>
      <c r="F26" s="543"/>
      <c r="G26" s="543"/>
      <c r="H26" s="543"/>
      <c r="I26" s="543"/>
      <c r="J26" s="543"/>
      <c r="K26" s="543"/>
      <c r="L26" s="543"/>
      <c r="M26" s="543"/>
      <c r="N26" s="544"/>
      <c r="O26" s="544"/>
      <c r="P26" s="544"/>
      <c r="Q26" s="544"/>
      <c r="R26" s="733"/>
      <c r="S26" s="728"/>
      <c r="T26" s="728"/>
      <c r="U26" s="728"/>
      <c r="V26" s="728"/>
      <c r="W26" s="728"/>
      <c r="X26" s="733"/>
      <c r="Y26" s="728"/>
      <c r="Z26" s="728"/>
      <c r="AA26" s="728"/>
      <c r="AB26" s="728"/>
      <c r="AC26" s="728"/>
      <c r="AD26" s="728"/>
      <c r="AE26" s="729"/>
    </row>
    <row r="27" spans="1:31" ht="24.65" customHeight="1">
      <c r="A27" s="545"/>
      <c r="B27" s="737"/>
      <c r="C27" s="737"/>
      <c r="D27" s="737"/>
      <c r="E27" s="321"/>
      <c r="F27" s="322"/>
      <c r="G27" s="322"/>
      <c r="H27" s="322"/>
      <c r="I27" s="322"/>
      <c r="J27" s="322"/>
      <c r="K27" s="322"/>
      <c r="L27" s="322"/>
      <c r="M27" s="322"/>
      <c r="N27" s="322"/>
      <c r="O27" s="322"/>
      <c r="P27" s="322"/>
      <c r="Q27" s="322"/>
      <c r="R27" s="733"/>
      <c r="S27" s="728"/>
      <c r="T27" s="728"/>
      <c r="U27" s="728"/>
      <c r="V27" s="728"/>
      <c r="W27" s="728"/>
      <c r="X27" s="733"/>
      <c r="Y27" s="728"/>
      <c r="Z27" s="728"/>
      <c r="AA27" s="728"/>
      <c r="AB27" s="728"/>
      <c r="AC27" s="728"/>
      <c r="AD27" s="728"/>
      <c r="AE27" s="729"/>
    </row>
    <row r="28" spans="1:31" ht="24.65" customHeight="1">
      <c r="A28" s="736"/>
      <c r="B28" s="737"/>
      <c r="C28" s="737"/>
      <c r="D28" s="737"/>
      <c r="E28" s="734"/>
      <c r="F28" s="730"/>
      <c r="G28" s="730"/>
      <c r="H28" s="730"/>
      <c r="I28" s="730"/>
      <c r="J28" s="730"/>
      <c r="K28" s="730"/>
      <c r="L28" s="730"/>
      <c r="M28" s="730"/>
      <c r="N28" s="730"/>
      <c r="O28" s="730"/>
      <c r="P28" s="730"/>
      <c r="Q28" s="730"/>
      <c r="R28" s="733"/>
      <c r="S28" s="728"/>
      <c r="T28" s="728"/>
      <c r="U28" s="728"/>
      <c r="V28" s="728"/>
      <c r="W28" s="728"/>
      <c r="X28" s="733"/>
      <c r="Y28" s="728"/>
      <c r="Z28" s="728"/>
      <c r="AA28" s="728"/>
      <c r="AB28" s="728"/>
      <c r="AC28" s="728"/>
      <c r="AD28" s="728"/>
      <c r="AE28" s="729"/>
    </row>
    <row r="29" spans="1:31" ht="24.65" customHeight="1">
      <c r="A29" s="736"/>
      <c r="B29" s="737"/>
      <c r="C29" s="737"/>
      <c r="D29" s="737"/>
      <c r="E29" s="734"/>
      <c r="F29" s="730"/>
      <c r="G29" s="730"/>
      <c r="H29" s="730"/>
      <c r="I29" s="730"/>
      <c r="J29" s="730"/>
      <c r="K29" s="730"/>
      <c r="L29" s="730"/>
      <c r="M29" s="730"/>
      <c r="N29" s="730"/>
      <c r="O29" s="730"/>
      <c r="P29" s="730"/>
      <c r="Q29" s="730"/>
      <c r="R29" s="733"/>
      <c r="S29" s="728"/>
      <c r="T29" s="728"/>
      <c r="U29" s="728"/>
      <c r="V29" s="728"/>
      <c r="W29" s="728"/>
      <c r="X29" s="733"/>
      <c r="Y29" s="728"/>
      <c r="Z29" s="728"/>
      <c r="AA29" s="728"/>
      <c r="AB29" s="728"/>
      <c r="AC29" s="728"/>
      <c r="AD29" s="728"/>
      <c r="AE29" s="729"/>
    </row>
    <row r="30" spans="1:31" ht="24.65" customHeight="1">
      <c r="A30" s="736"/>
      <c r="B30" s="737"/>
      <c r="C30" s="737"/>
      <c r="D30" s="737"/>
      <c r="E30" s="734"/>
      <c r="F30" s="730"/>
      <c r="G30" s="730"/>
      <c r="H30" s="730"/>
      <c r="I30" s="730"/>
      <c r="J30" s="730"/>
      <c r="K30" s="730"/>
      <c r="L30" s="730"/>
      <c r="M30" s="730"/>
      <c r="N30" s="730"/>
      <c r="O30" s="730"/>
      <c r="P30" s="730"/>
      <c r="Q30" s="730"/>
      <c r="R30" s="732"/>
      <c r="S30" s="728"/>
      <c r="T30" s="728"/>
      <c r="U30" s="728"/>
      <c r="V30" s="728"/>
      <c r="W30" s="728"/>
      <c r="X30" s="733"/>
      <c r="Y30" s="728"/>
      <c r="Z30" s="728"/>
      <c r="AA30" s="728"/>
      <c r="AB30" s="728"/>
      <c r="AC30" s="728"/>
      <c r="AD30" s="728"/>
      <c r="AE30" s="729"/>
    </row>
    <row r="31" spans="1:31" ht="24.65" customHeight="1">
      <c r="A31" s="736"/>
      <c r="B31" s="737"/>
      <c r="C31" s="737"/>
      <c r="D31" s="737"/>
      <c r="E31" s="734"/>
      <c r="F31" s="730"/>
      <c r="G31" s="730"/>
      <c r="H31" s="730"/>
      <c r="I31" s="730"/>
      <c r="J31" s="730"/>
      <c r="K31" s="730"/>
      <c r="L31" s="730"/>
      <c r="M31" s="730"/>
      <c r="N31" s="730"/>
      <c r="O31" s="730"/>
      <c r="P31" s="730"/>
      <c r="Q31" s="730"/>
      <c r="R31" s="732"/>
      <c r="S31" s="728"/>
      <c r="T31" s="728"/>
      <c r="U31" s="728"/>
      <c r="V31" s="728"/>
      <c r="W31" s="728"/>
      <c r="X31" s="733"/>
      <c r="Y31" s="728"/>
      <c r="Z31" s="728"/>
      <c r="AA31" s="728"/>
      <c r="AB31" s="728"/>
      <c r="AC31" s="728"/>
      <c r="AD31" s="728"/>
      <c r="AE31" s="729"/>
    </row>
    <row r="32" spans="1:31" ht="24.65" customHeight="1">
      <c r="A32" s="736"/>
      <c r="B32" s="737"/>
      <c r="C32" s="737"/>
      <c r="D32" s="737"/>
      <c r="E32" s="734"/>
      <c r="F32" s="734"/>
      <c r="G32" s="730"/>
      <c r="H32" s="730"/>
      <c r="I32" s="730"/>
      <c r="J32" s="730"/>
      <c r="K32" s="730"/>
      <c r="L32" s="730"/>
      <c r="M32" s="730"/>
      <c r="N32" s="730"/>
      <c r="O32" s="730"/>
      <c r="P32" s="730"/>
      <c r="Q32" s="730"/>
      <c r="R32" s="733"/>
      <c r="S32" s="728"/>
      <c r="T32" s="728"/>
      <c r="U32" s="728"/>
      <c r="V32" s="728"/>
      <c r="W32" s="728"/>
      <c r="X32" s="733"/>
      <c r="Y32" s="728"/>
      <c r="Z32" s="728"/>
      <c r="AA32" s="728"/>
      <c r="AB32" s="728"/>
      <c r="AC32" s="728"/>
      <c r="AD32" s="728"/>
      <c r="AE32" s="729"/>
    </row>
    <row r="33" spans="1:31" ht="24.65" customHeight="1">
      <c r="A33" s="736"/>
      <c r="B33" s="737"/>
      <c r="C33" s="737"/>
      <c r="D33" s="737"/>
      <c r="E33" s="734"/>
      <c r="F33" s="734"/>
      <c r="G33" s="730"/>
      <c r="H33" s="730"/>
      <c r="I33" s="730"/>
      <c r="J33" s="730"/>
      <c r="K33" s="730"/>
      <c r="L33" s="730"/>
      <c r="M33" s="730"/>
      <c r="N33" s="730"/>
      <c r="O33" s="730"/>
      <c r="P33" s="730"/>
      <c r="Q33" s="730"/>
      <c r="R33" s="733"/>
      <c r="S33" s="728"/>
      <c r="T33" s="728"/>
      <c r="U33" s="728"/>
      <c r="V33" s="728"/>
      <c r="W33" s="728"/>
      <c r="X33" s="733"/>
      <c r="Y33" s="728"/>
      <c r="Z33" s="728"/>
      <c r="AA33" s="728"/>
      <c r="AB33" s="728"/>
      <c r="AC33" s="728"/>
      <c r="AD33" s="728"/>
      <c r="AE33" s="729"/>
    </row>
    <row r="34" spans="1:31" ht="24.65" customHeight="1">
      <c r="A34" s="736"/>
      <c r="B34" s="737"/>
      <c r="C34" s="737"/>
      <c r="D34" s="737"/>
      <c r="E34" s="734"/>
      <c r="F34" s="734"/>
      <c r="G34" s="730"/>
      <c r="H34" s="730"/>
      <c r="I34" s="730"/>
      <c r="J34" s="730"/>
      <c r="K34" s="730"/>
      <c r="L34" s="730"/>
      <c r="M34" s="730"/>
      <c r="N34" s="730"/>
      <c r="O34" s="730"/>
      <c r="P34" s="730"/>
      <c r="Q34" s="730"/>
      <c r="R34" s="732"/>
      <c r="S34" s="728"/>
      <c r="T34" s="728"/>
      <c r="U34" s="728"/>
      <c r="V34" s="728"/>
      <c r="W34" s="728"/>
      <c r="X34" s="733"/>
      <c r="Y34" s="728"/>
      <c r="Z34" s="728"/>
      <c r="AA34" s="728"/>
      <c r="AB34" s="728"/>
      <c r="AC34" s="728"/>
      <c r="AD34" s="728"/>
      <c r="AE34" s="729"/>
    </row>
    <row r="35" spans="1:31" ht="24.65" customHeight="1">
      <c r="A35" s="736"/>
      <c r="B35" s="737"/>
      <c r="C35" s="737"/>
      <c r="D35" s="737"/>
      <c r="E35" s="734"/>
      <c r="F35" s="734"/>
      <c r="G35" s="730"/>
      <c r="H35" s="730"/>
      <c r="I35" s="730"/>
      <c r="J35" s="730"/>
      <c r="K35" s="730"/>
      <c r="L35" s="730"/>
      <c r="M35" s="730"/>
      <c r="N35" s="730"/>
      <c r="O35" s="730"/>
      <c r="P35" s="730"/>
      <c r="Q35" s="730"/>
      <c r="R35" s="732"/>
      <c r="S35" s="728"/>
      <c r="T35" s="728"/>
      <c r="U35" s="728"/>
      <c r="V35" s="728"/>
      <c r="W35" s="728"/>
      <c r="X35" s="733"/>
      <c r="Y35" s="728"/>
      <c r="Z35" s="728"/>
      <c r="AA35" s="728"/>
      <c r="AB35" s="728"/>
      <c r="AC35" s="728"/>
      <c r="AD35" s="728"/>
      <c r="AE35" s="729"/>
    </row>
    <row r="36" spans="1:31" ht="24.65" customHeight="1">
      <c r="A36" s="320"/>
      <c r="B36" s="323"/>
      <c r="C36" s="323"/>
      <c r="D36" s="323"/>
      <c r="E36" s="324"/>
      <c r="F36" s="325"/>
      <c r="G36" s="326"/>
      <c r="H36" s="326"/>
      <c r="I36" s="326"/>
      <c r="J36" s="326"/>
      <c r="K36" s="326"/>
      <c r="L36" s="326"/>
      <c r="M36" s="326"/>
      <c r="N36" s="326"/>
      <c r="O36" s="326"/>
      <c r="P36" s="326"/>
      <c r="Q36" s="326"/>
      <c r="R36" s="327"/>
      <c r="S36" s="328"/>
      <c r="T36" s="328"/>
      <c r="U36" s="328"/>
      <c r="V36" s="328"/>
      <c r="W36" s="325"/>
      <c r="X36" s="327"/>
      <c r="Y36" s="328"/>
      <c r="Z36" s="328"/>
      <c r="AA36" s="328"/>
      <c r="AB36" s="328"/>
      <c r="AC36" s="328"/>
      <c r="AD36" s="328"/>
      <c r="AE36" s="441"/>
    </row>
    <row r="37" spans="1:31" ht="24.65" customHeight="1">
      <c r="A37" s="1073"/>
      <c r="B37" s="727"/>
      <c r="C37" s="727"/>
      <c r="D37" s="727"/>
      <c r="E37" s="1074"/>
      <c r="F37" s="1072"/>
      <c r="G37" s="1071"/>
      <c r="H37" s="1071"/>
      <c r="I37" s="1071"/>
      <c r="J37" s="1071"/>
      <c r="K37" s="1071"/>
      <c r="L37" s="1071"/>
      <c r="M37" s="1071"/>
      <c r="N37" s="1071"/>
      <c r="O37" s="1071"/>
      <c r="P37" s="1071"/>
      <c r="Q37" s="1071"/>
      <c r="R37" s="735"/>
      <c r="S37" s="726"/>
      <c r="T37" s="726"/>
      <c r="U37" s="726"/>
      <c r="V37" s="726"/>
      <c r="W37" s="1072"/>
      <c r="X37" s="735"/>
      <c r="Y37" s="726"/>
      <c r="Z37" s="726"/>
      <c r="AA37" s="726"/>
      <c r="AB37" s="726"/>
      <c r="AC37" s="726"/>
      <c r="AD37" s="726"/>
      <c r="AE37" s="1070"/>
    </row>
    <row r="38" spans="1:31" ht="24.65" customHeight="1">
      <c r="A38" s="1073"/>
      <c r="B38" s="727"/>
      <c r="C38" s="727"/>
      <c r="D38" s="727"/>
      <c r="E38" s="1074"/>
      <c r="F38" s="1072"/>
      <c r="G38" s="1071"/>
      <c r="H38" s="1071"/>
      <c r="I38" s="1071"/>
      <c r="J38" s="1071"/>
      <c r="K38" s="1071"/>
      <c r="L38" s="1071"/>
      <c r="M38" s="1071"/>
      <c r="N38" s="1071"/>
      <c r="O38" s="1071"/>
      <c r="P38" s="1071"/>
      <c r="Q38" s="1071"/>
      <c r="R38" s="735"/>
      <c r="S38" s="726"/>
      <c r="T38" s="726"/>
      <c r="U38" s="726"/>
      <c r="V38" s="726"/>
      <c r="W38" s="1072"/>
      <c r="X38" s="735"/>
      <c r="Y38" s="726"/>
      <c r="Z38" s="726"/>
      <c r="AA38" s="726"/>
      <c r="AB38" s="726"/>
      <c r="AC38" s="726"/>
      <c r="AD38" s="726"/>
      <c r="AE38" s="1070"/>
    </row>
    <row r="39" spans="1:31" ht="24.65" customHeight="1">
      <c r="A39" s="1073"/>
      <c r="B39" s="727"/>
      <c r="C39" s="727"/>
      <c r="D39" s="727"/>
      <c r="E39" s="1074"/>
      <c r="F39" s="1072"/>
      <c r="G39" s="1071"/>
      <c r="H39" s="1071"/>
      <c r="I39" s="1071"/>
      <c r="J39" s="1071"/>
      <c r="K39" s="1071"/>
      <c r="L39" s="1071"/>
      <c r="M39" s="1071"/>
      <c r="N39" s="1071"/>
      <c r="O39" s="1071"/>
      <c r="P39" s="1071"/>
      <c r="Q39" s="1071"/>
      <c r="R39" s="735"/>
      <c r="S39" s="726"/>
      <c r="T39" s="726"/>
      <c r="U39" s="726"/>
      <c r="V39" s="726"/>
      <c r="W39" s="1072"/>
      <c r="X39" s="735"/>
      <c r="Y39" s="726"/>
      <c r="Z39" s="726"/>
      <c r="AA39" s="726"/>
      <c r="AB39" s="726"/>
      <c r="AC39" s="726"/>
      <c r="AD39" s="726"/>
      <c r="AE39" s="1070"/>
    </row>
    <row r="40" spans="1:31" ht="24.65" customHeight="1">
      <c r="A40" s="1073"/>
      <c r="B40" s="727"/>
      <c r="C40" s="727"/>
      <c r="D40" s="727"/>
      <c r="E40" s="1074"/>
      <c r="F40" s="1072"/>
      <c r="G40" s="1071"/>
      <c r="H40" s="1071"/>
      <c r="I40" s="1071"/>
      <c r="J40" s="1071"/>
      <c r="K40" s="1071"/>
      <c r="L40" s="1071"/>
      <c r="M40" s="1071"/>
      <c r="N40" s="1071"/>
      <c r="O40" s="1071"/>
      <c r="P40" s="1071"/>
      <c r="Q40" s="1071"/>
      <c r="R40" s="735"/>
      <c r="S40" s="726"/>
      <c r="T40" s="726"/>
      <c r="U40" s="726"/>
      <c r="V40" s="726"/>
      <c r="W40" s="1072"/>
      <c r="X40" s="735"/>
      <c r="Y40" s="726"/>
      <c r="Z40" s="726"/>
      <c r="AA40" s="726"/>
      <c r="AB40" s="726"/>
      <c r="AC40" s="726"/>
      <c r="AD40" s="726"/>
      <c r="AE40" s="1070"/>
    </row>
    <row r="41" spans="1:31" ht="24.65" customHeight="1">
      <c r="A41" s="1073"/>
      <c r="B41" s="727"/>
      <c r="C41" s="727"/>
      <c r="D41" s="727"/>
      <c r="E41" s="1074"/>
      <c r="F41" s="1071"/>
      <c r="G41" s="1071"/>
      <c r="H41" s="1071"/>
      <c r="I41" s="1071"/>
      <c r="J41" s="1071"/>
      <c r="K41" s="1071"/>
      <c r="L41" s="1071"/>
      <c r="M41" s="1071"/>
      <c r="N41" s="1071"/>
      <c r="O41" s="1071"/>
      <c r="P41" s="1071"/>
      <c r="Q41" s="1071"/>
      <c r="R41" s="735"/>
      <c r="S41" s="726"/>
      <c r="T41" s="726"/>
      <c r="U41" s="726"/>
      <c r="V41" s="726"/>
      <c r="W41" s="1072"/>
      <c r="X41" s="735"/>
      <c r="Y41" s="726"/>
      <c r="Z41" s="726"/>
      <c r="AA41" s="726"/>
      <c r="AB41" s="726"/>
      <c r="AC41" s="726"/>
      <c r="AD41" s="726"/>
      <c r="AE41" s="1070"/>
    </row>
    <row r="42" spans="1:31" ht="24.65" customHeight="1">
      <c r="A42" s="1073"/>
      <c r="B42" s="727"/>
      <c r="C42" s="727"/>
      <c r="D42" s="727"/>
      <c r="E42" s="1074"/>
      <c r="F42" s="1071"/>
      <c r="G42" s="1071"/>
      <c r="H42" s="1071"/>
      <c r="I42" s="1071"/>
      <c r="J42" s="1071"/>
      <c r="K42" s="1071"/>
      <c r="L42" s="1071"/>
      <c r="M42" s="1071"/>
      <c r="N42" s="1071"/>
      <c r="O42" s="1071"/>
      <c r="P42" s="1071"/>
      <c r="Q42" s="1071"/>
      <c r="R42" s="735"/>
      <c r="S42" s="726"/>
      <c r="T42" s="726"/>
      <c r="U42" s="726"/>
      <c r="V42" s="726"/>
      <c r="W42" s="1072"/>
      <c r="X42" s="735"/>
      <c r="Y42" s="726"/>
      <c r="Z42" s="726"/>
      <c r="AA42" s="726"/>
      <c r="AB42" s="726"/>
      <c r="AC42" s="726"/>
      <c r="AD42" s="726"/>
      <c r="AE42" s="1070"/>
    </row>
    <row r="43" spans="1:31" ht="24.65" customHeight="1">
      <c r="A43" s="1073"/>
      <c r="B43" s="1193"/>
      <c r="C43" s="1193"/>
      <c r="D43" s="1193"/>
      <c r="E43" s="1074"/>
      <c r="F43" s="1071"/>
      <c r="G43" s="1071"/>
      <c r="H43" s="1071"/>
      <c r="I43" s="1071"/>
      <c r="J43" s="1071"/>
      <c r="K43" s="1071"/>
      <c r="L43" s="1071"/>
      <c r="M43" s="1071"/>
      <c r="N43" s="1071"/>
      <c r="O43" s="1071"/>
      <c r="P43" s="1071"/>
      <c r="Q43" s="1071"/>
      <c r="R43" s="735"/>
      <c r="S43" s="726"/>
      <c r="T43" s="726"/>
      <c r="U43" s="726"/>
      <c r="V43" s="726"/>
      <c r="W43" s="1072"/>
      <c r="X43" s="735"/>
      <c r="Y43" s="726"/>
      <c r="Z43" s="726"/>
      <c r="AA43" s="726"/>
      <c r="AB43" s="726"/>
      <c r="AC43" s="726"/>
      <c r="AD43" s="726"/>
      <c r="AE43" s="1070"/>
    </row>
    <row r="44" spans="1:31" ht="24.65" customHeight="1">
      <c r="A44" s="1073"/>
      <c r="B44" s="1193"/>
      <c r="C44" s="1193"/>
      <c r="D44" s="1193"/>
      <c r="E44" s="1074"/>
      <c r="F44" s="1071"/>
      <c r="G44" s="1071"/>
      <c r="H44" s="1071"/>
      <c r="I44" s="1071"/>
      <c r="J44" s="1071"/>
      <c r="K44" s="1071"/>
      <c r="L44" s="1071"/>
      <c r="M44" s="1071"/>
      <c r="N44" s="1071"/>
      <c r="O44" s="1071"/>
      <c r="P44" s="1071"/>
      <c r="Q44" s="1071"/>
      <c r="R44" s="735"/>
      <c r="S44" s="726"/>
      <c r="T44" s="726"/>
      <c r="U44" s="726"/>
      <c r="V44" s="726"/>
      <c r="W44" s="1072"/>
      <c r="X44" s="735"/>
      <c r="Y44" s="726"/>
      <c r="Z44" s="726"/>
      <c r="AA44" s="726"/>
      <c r="AB44" s="726"/>
      <c r="AC44" s="726"/>
      <c r="AD44" s="726"/>
      <c r="AE44" s="1070"/>
    </row>
    <row r="45" spans="1:31" ht="24.65" customHeight="1">
      <c r="A45" s="1073"/>
      <c r="B45" s="1193"/>
      <c r="C45" s="1193"/>
      <c r="D45" s="1193"/>
      <c r="E45" s="1074"/>
      <c r="F45" s="1071"/>
      <c r="G45" s="1071"/>
      <c r="H45" s="1071"/>
      <c r="I45" s="1071"/>
      <c r="J45" s="1071"/>
      <c r="K45" s="1071"/>
      <c r="L45" s="1071"/>
      <c r="M45" s="1071"/>
      <c r="N45" s="1071"/>
      <c r="O45" s="1071"/>
      <c r="P45" s="1071"/>
      <c r="Q45" s="1071"/>
      <c r="R45" s="735"/>
      <c r="S45" s="726"/>
      <c r="T45" s="726"/>
      <c r="U45" s="726"/>
      <c r="V45" s="726"/>
      <c r="W45" s="1072"/>
      <c r="X45" s="735"/>
      <c r="Y45" s="726"/>
      <c r="Z45" s="726"/>
      <c r="AA45" s="726"/>
      <c r="AB45" s="726"/>
      <c r="AC45" s="726"/>
      <c r="AD45" s="726"/>
      <c r="AE45" s="1070"/>
    </row>
    <row r="46" spans="1:31" ht="24.65" customHeight="1">
      <c r="A46" s="1073"/>
      <c r="B46" s="1193"/>
      <c r="C46" s="1193"/>
      <c r="D46" s="1193"/>
      <c r="E46" s="1074"/>
      <c r="F46" s="1071"/>
      <c r="G46" s="1071"/>
      <c r="H46" s="1071"/>
      <c r="I46" s="1071"/>
      <c r="J46" s="1071"/>
      <c r="K46" s="1071"/>
      <c r="L46" s="1071"/>
      <c r="M46" s="1071"/>
      <c r="N46" s="1071"/>
      <c r="O46" s="1071"/>
      <c r="P46" s="1071"/>
      <c r="Q46" s="1071"/>
      <c r="R46" s="735"/>
      <c r="S46" s="726"/>
      <c r="T46" s="726"/>
      <c r="U46" s="726"/>
      <c r="V46" s="726"/>
      <c r="W46" s="1072"/>
      <c r="X46" s="735"/>
      <c r="Y46" s="726"/>
      <c r="Z46" s="726"/>
      <c r="AA46" s="726"/>
      <c r="AB46" s="726"/>
      <c r="AC46" s="726"/>
      <c r="AD46" s="726"/>
      <c r="AE46" s="1070"/>
    </row>
    <row r="47" spans="1:31" ht="24.65" customHeight="1">
      <c r="A47" s="330"/>
      <c r="B47" s="546"/>
      <c r="C47" s="546"/>
      <c r="D47" s="546"/>
      <c r="E47" s="324"/>
      <c r="F47" s="326"/>
      <c r="G47" s="326"/>
      <c r="H47" s="326"/>
      <c r="I47" s="326"/>
      <c r="J47" s="326"/>
      <c r="K47" s="326"/>
      <c r="L47" s="326"/>
      <c r="M47" s="326"/>
      <c r="N47" s="326"/>
      <c r="O47" s="326"/>
      <c r="P47" s="326"/>
      <c r="Q47" s="326"/>
      <c r="R47" s="327"/>
      <c r="S47" s="328"/>
      <c r="T47" s="328"/>
      <c r="U47" s="328"/>
      <c r="V47" s="328"/>
      <c r="W47" s="325"/>
      <c r="X47" s="327"/>
      <c r="Y47" s="328"/>
      <c r="Z47" s="328"/>
      <c r="AA47" s="328"/>
      <c r="AB47" s="328"/>
      <c r="AC47" s="328"/>
      <c r="AD47" s="328"/>
      <c r="AE47" s="441"/>
    </row>
    <row r="48" spans="1:31" ht="24.65" customHeight="1" thickBot="1">
      <c r="A48" s="442"/>
      <c r="B48" s="1194"/>
      <c r="C48" s="1194"/>
      <c r="D48" s="1194"/>
      <c r="E48" s="444"/>
      <c r="F48" s="446"/>
      <c r="G48" s="446"/>
      <c r="H48" s="446"/>
      <c r="I48" s="446"/>
      <c r="J48" s="446"/>
      <c r="K48" s="446"/>
      <c r="L48" s="446"/>
      <c r="M48" s="446"/>
      <c r="N48" s="446"/>
      <c r="O48" s="446"/>
      <c r="P48" s="446"/>
      <c r="Q48" s="446"/>
      <c r="R48" s="447"/>
      <c r="S48" s="1195"/>
      <c r="T48" s="1195"/>
      <c r="U48" s="1195"/>
      <c r="V48" s="1195"/>
      <c r="W48" s="445"/>
      <c r="X48" s="447"/>
      <c r="Y48" s="1195"/>
      <c r="Z48" s="1195"/>
      <c r="AA48" s="1195"/>
      <c r="AB48" s="1195"/>
      <c r="AC48" s="1195"/>
      <c r="AD48" s="1195"/>
      <c r="AE48" s="449"/>
    </row>
    <row r="50" spans="6:46" ht="16" thickBot="1">
      <c r="AG50" s="337"/>
      <c r="AH50" s="294" t="s">
        <v>95</v>
      </c>
    </row>
    <row r="51" spans="6:46">
      <c r="AF51" s="338" t="s">
        <v>103</v>
      </c>
      <c r="AG51" s="339"/>
      <c r="AH51" s="339"/>
      <c r="AI51" s="339"/>
      <c r="AJ51" s="339"/>
      <c r="AK51" s="339"/>
      <c r="AL51" s="339"/>
      <c r="AM51" s="339"/>
      <c r="AN51" s="339"/>
      <c r="AO51" s="339"/>
      <c r="AP51" s="339"/>
      <c r="AQ51" s="339"/>
      <c r="AR51" s="339"/>
      <c r="AS51" s="339"/>
      <c r="AT51" s="340"/>
    </row>
    <row r="52" spans="6:46">
      <c r="AF52" s="341" t="s">
        <v>1</v>
      </c>
      <c r="AH52" s="547">
        <v>45352</v>
      </c>
      <c r="AI52" s="547">
        <v>45383</v>
      </c>
      <c r="AJ52" s="547">
        <v>45413</v>
      </c>
      <c r="AK52" s="547">
        <v>45444</v>
      </c>
      <c r="AL52" s="547">
        <v>45474</v>
      </c>
      <c r="AM52" s="547">
        <v>45505</v>
      </c>
      <c r="AN52" s="547">
        <v>45536</v>
      </c>
      <c r="AO52" s="547">
        <v>45566</v>
      </c>
      <c r="AP52" s="547">
        <v>45597</v>
      </c>
      <c r="AQ52" s="547">
        <v>45627</v>
      </c>
      <c r="AR52" s="547">
        <v>45658</v>
      </c>
      <c r="AS52" s="547">
        <v>45689</v>
      </c>
      <c r="AT52" s="548">
        <v>45717</v>
      </c>
    </row>
    <row r="53" spans="6:46">
      <c r="F53" s="590"/>
      <c r="G53" s="590"/>
      <c r="H53" s="590"/>
      <c r="I53" s="590"/>
      <c r="J53" s="590"/>
      <c r="K53" s="590"/>
      <c r="L53" s="590"/>
      <c r="M53" s="590"/>
      <c r="N53" s="590"/>
      <c r="O53" s="590"/>
      <c r="P53" s="590"/>
      <c r="Q53" s="590"/>
      <c r="AF53" s="344">
        <f>(AT53-AH53)/12</f>
        <v>0</v>
      </c>
      <c r="AG53" s="345"/>
      <c r="AH53" s="345">
        <f>AT53</f>
        <v>2</v>
      </c>
      <c r="AI53" s="345">
        <v>2</v>
      </c>
      <c r="AJ53" s="345">
        <f t="shared" ref="AJ53:AS53" si="0">AI53+$AF$53</f>
        <v>2</v>
      </c>
      <c r="AK53" s="345">
        <f t="shared" si="0"/>
        <v>2</v>
      </c>
      <c r="AL53" s="345">
        <f t="shared" si="0"/>
        <v>2</v>
      </c>
      <c r="AM53" s="345">
        <f t="shared" si="0"/>
        <v>2</v>
      </c>
      <c r="AN53" s="345">
        <f t="shared" si="0"/>
        <v>2</v>
      </c>
      <c r="AO53" s="345">
        <f t="shared" si="0"/>
        <v>2</v>
      </c>
      <c r="AP53" s="345">
        <f t="shared" si="0"/>
        <v>2</v>
      </c>
      <c r="AQ53" s="345">
        <f t="shared" si="0"/>
        <v>2</v>
      </c>
      <c r="AR53" s="345">
        <f t="shared" si="0"/>
        <v>2</v>
      </c>
      <c r="AS53" s="345">
        <f t="shared" si="0"/>
        <v>2</v>
      </c>
      <c r="AT53" s="346">
        <v>2</v>
      </c>
    </row>
    <row r="54" spans="6:46">
      <c r="AF54" s="344">
        <f>(AT54-AH54)/12</f>
        <v>0</v>
      </c>
      <c r="AG54" s="347" t="s">
        <v>2</v>
      </c>
      <c r="AH54" s="345">
        <f t="shared" ref="AH54:AH55" si="1">AT54</f>
        <v>2</v>
      </c>
      <c r="AI54" s="345">
        <v>2</v>
      </c>
      <c r="AJ54" s="345">
        <f t="shared" ref="AJ54:AS54" si="2">AI54+$AF$54</f>
        <v>2</v>
      </c>
      <c r="AK54" s="345">
        <f t="shared" si="2"/>
        <v>2</v>
      </c>
      <c r="AL54" s="345">
        <f t="shared" si="2"/>
        <v>2</v>
      </c>
      <c r="AM54" s="345">
        <f t="shared" si="2"/>
        <v>2</v>
      </c>
      <c r="AN54" s="345">
        <f t="shared" si="2"/>
        <v>2</v>
      </c>
      <c r="AO54" s="345">
        <f t="shared" si="2"/>
        <v>2</v>
      </c>
      <c r="AP54" s="345">
        <f t="shared" si="2"/>
        <v>2</v>
      </c>
      <c r="AQ54" s="345">
        <f t="shared" si="2"/>
        <v>2</v>
      </c>
      <c r="AR54" s="345">
        <f t="shared" si="2"/>
        <v>2</v>
      </c>
      <c r="AS54" s="345">
        <f t="shared" si="2"/>
        <v>2</v>
      </c>
      <c r="AT54" s="348">
        <v>2</v>
      </c>
    </row>
    <row r="55" spans="6:46">
      <c r="AF55" s="344">
        <f>(AT55-AH55)/12</f>
        <v>0</v>
      </c>
      <c r="AG55" s="349" t="s">
        <v>2</v>
      </c>
      <c r="AH55" s="345">
        <f t="shared" si="1"/>
        <v>2</v>
      </c>
      <c r="AI55" s="345">
        <v>2</v>
      </c>
      <c r="AJ55" s="345">
        <f t="shared" ref="AJ55:AS55" si="3">AI55+$AF$55</f>
        <v>2</v>
      </c>
      <c r="AK55" s="345">
        <f t="shared" si="3"/>
        <v>2</v>
      </c>
      <c r="AL55" s="345">
        <f t="shared" si="3"/>
        <v>2</v>
      </c>
      <c r="AM55" s="345">
        <f t="shared" si="3"/>
        <v>2</v>
      </c>
      <c r="AN55" s="345">
        <f t="shared" si="3"/>
        <v>2</v>
      </c>
      <c r="AO55" s="345">
        <f t="shared" si="3"/>
        <v>2</v>
      </c>
      <c r="AP55" s="345">
        <f t="shared" si="3"/>
        <v>2</v>
      </c>
      <c r="AQ55" s="345">
        <f t="shared" si="3"/>
        <v>2</v>
      </c>
      <c r="AR55" s="345">
        <f t="shared" si="3"/>
        <v>2</v>
      </c>
      <c r="AS55" s="345">
        <f t="shared" si="3"/>
        <v>2</v>
      </c>
      <c r="AT55" s="350">
        <f>AT53-(AT53-AT56)*0.8</f>
        <v>2</v>
      </c>
    </row>
    <row r="56" spans="6:46">
      <c r="AF56" s="344">
        <f>(AT56-AH56)/12</f>
        <v>0</v>
      </c>
      <c r="AG56" s="351" t="s">
        <v>2</v>
      </c>
      <c r="AH56" s="345">
        <f>AT56</f>
        <v>2</v>
      </c>
      <c r="AI56" s="345">
        <v>2</v>
      </c>
      <c r="AJ56" s="345">
        <f>AI56+$AF$56</f>
        <v>2</v>
      </c>
      <c r="AK56" s="345">
        <f>AJ56+$AF$56</f>
        <v>2</v>
      </c>
      <c r="AL56" s="345">
        <f t="shared" ref="AL56:AS56" si="4">AK56+$AF$56</f>
        <v>2</v>
      </c>
      <c r="AM56" s="345">
        <f t="shared" si="4"/>
        <v>2</v>
      </c>
      <c r="AN56" s="345">
        <f t="shared" si="4"/>
        <v>2</v>
      </c>
      <c r="AO56" s="345">
        <f t="shared" si="4"/>
        <v>2</v>
      </c>
      <c r="AP56" s="345">
        <f t="shared" si="4"/>
        <v>2</v>
      </c>
      <c r="AQ56" s="345">
        <f t="shared" si="4"/>
        <v>2</v>
      </c>
      <c r="AR56" s="345">
        <f t="shared" si="4"/>
        <v>2</v>
      </c>
      <c r="AS56" s="345">
        <f t="shared" si="4"/>
        <v>2</v>
      </c>
      <c r="AT56" s="352">
        <v>2</v>
      </c>
    </row>
    <row r="57" spans="6:46">
      <c r="AF57" s="721" t="s">
        <v>3</v>
      </c>
      <c r="AG57" s="722"/>
      <c r="AH57" s="355"/>
      <c r="AI57" s="356">
        <v>0</v>
      </c>
      <c r="AJ57" s="356">
        <f>AI57+AJ59</f>
        <v>0</v>
      </c>
      <c r="AK57" s="356">
        <f t="shared" ref="AK57:AS57" si="5">AJ57+AK59</f>
        <v>0</v>
      </c>
      <c r="AL57" s="356">
        <f t="shared" si="5"/>
        <v>0</v>
      </c>
      <c r="AM57" s="356">
        <f t="shared" si="5"/>
        <v>1</v>
      </c>
      <c r="AN57" s="356">
        <f t="shared" si="5"/>
        <v>1</v>
      </c>
      <c r="AO57" s="356">
        <f t="shared" si="5"/>
        <v>1</v>
      </c>
      <c r="AP57" s="356">
        <f t="shared" si="5"/>
        <v>1</v>
      </c>
      <c r="AQ57" s="356">
        <f t="shared" si="5"/>
        <v>1</v>
      </c>
      <c r="AR57" s="356">
        <f t="shared" si="5"/>
        <v>1</v>
      </c>
      <c r="AS57" s="356">
        <f t="shared" si="5"/>
        <v>1</v>
      </c>
      <c r="AT57" s="357">
        <f>AS57+AT59</f>
        <v>1</v>
      </c>
    </row>
    <row r="58" spans="6:46">
      <c r="AF58" s="353"/>
      <c r="AG58" s="354"/>
      <c r="AH58" s="355"/>
      <c r="AI58" s="355"/>
      <c r="AJ58" s="356"/>
      <c r="AK58" s="355"/>
      <c r="AL58" s="355"/>
      <c r="AM58" s="355"/>
      <c r="AN58" s="356"/>
      <c r="AO58" s="356"/>
      <c r="AP58" s="356"/>
      <c r="AQ58" s="356"/>
      <c r="AR58" s="356"/>
      <c r="AS58" s="356"/>
      <c r="AT58" s="357"/>
    </row>
    <row r="59" spans="6:46">
      <c r="AF59" s="721" t="s">
        <v>4</v>
      </c>
      <c r="AG59" s="722"/>
      <c r="AH59" s="331"/>
      <c r="AI59" s="358">
        <v>0</v>
      </c>
      <c r="AJ59" s="358">
        <v>0</v>
      </c>
      <c r="AK59" s="358">
        <v>0</v>
      </c>
      <c r="AL59" s="358">
        <v>0</v>
      </c>
      <c r="AM59" s="358">
        <v>1</v>
      </c>
      <c r="AN59" s="358"/>
      <c r="AO59" s="358"/>
      <c r="AP59" s="358"/>
      <c r="AQ59" s="358"/>
      <c r="AR59" s="358"/>
      <c r="AS59" s="358"/>
      <c r="AT59" s="359"/>
    </row>
    <row r="60" spans="6:46">
      <c r="AF60" s="353"/>
      <c r="AG60" s="354"/>
      <c r="AH60" s="331"/>
      <c r="AI60" s="331">
        <v>0</v>
      </c>
      <c r="AJ60" s="331">
        <f>AJ59</f>
        <v>0</v>
      </c>
      <c r="AK60" s="331">
        <f>AK59</f>
        <v>0</v>
      </c>
      <c r="AL60" s="331">
        <f>AL59</f>
        <v>0</v>
      </c>
      <c r="AM60" s="331">
        <f t="shared" ref="AM60:AT60" si="6">AM59</f>
        <v>1</v>
      </c>
      <c r="AN60" s="331">
        <f t="shared" si="6"/>
        <v>0</v>
      </c>
      <c r="AO60" s="331">
        <f t="shared" si="6"/>
        <v>0</v>
      </c>
      <c r="AP60" s="331">
        <f t="shared" si="6"/>
        <v>0</v>
      </c>
      <c r="AQ60" s="331">
        <f t="shared" si="6"/>
        <v>0</v>
      </c>
      <c r="AR60" s="331">
        <f t="shared" si="6"/>
        <v>0</v>
      </c>
      <c r="AS60" s="331">
        <f t="shared" si="6"/>
        <v>0</v>
      </c>
      <c r="AT60" s="360">
        <f t="shared" si="6"/>
        <v>0</v>
      </c>
    </row>
    <row r="61" spans="6:46">
      <c r="AF61" s="721" t="s">
        <v>5</v>
      </c>
      <c r="AG61" s="722"/>
      <c r="AI61" s="361">
        <v>1</v>
      </c>
      <c r="AJ61" s="361">
        <v>1</v>
      </c>
      <c r="AK61" s="361">
        <v>1</v>
      </c>
      <c r="AL61" s="361">
        <v>1</v>
      </c>
      <c r="AM61" s="361" t="e">
        <f t="shared" ref="AM61:AT61" si="7">(AM53-AM57)/(AM53-AM56)</f>
        <v>#DIV/0!</v>
      </c>
      <c r="AN61" s="361" t="e">
        <f t="shared" si="7"/>
        <v>#DIV/0!</v>
      </c>
      <c r="AO61" s="361" t="e">
        <f t="shared" si="7"/>
        <v>#DIV/0!</v>
      </c>
      <c r="AP61" s="361" t="e">
        <f t="shared" si="7"/>
        <v>#DIV/0!</v>
      </c>
      <c r="AQ61" s="361" t="e">
        <f t="shared" si="7"/>
        <v>#DIV/0!</v>
      </c>
      <c r="AR61" s="361" t="e">
        <f t="shared" si="7"/>
        <v>#DIV/0!</v>
      </c>
      <c r="AS61" s="361" t="e">
        <f t="shared" si="7"/>
        <v>#DIV/0!</v>
      </c>
      <c r="AT61" s="362" t="e">
        <f t="shared" si="7"/>
        <v>#DIV/0!</v>
      </c>
    </row>
    <row r="62" spans="6:46">
      <c r="AF62" s="721" t="s">
        <v>6</v>
      </c>
      <c r="AG62" s="722"/>
      <c r="AI62" s="363">
        <v>1</v>
      </c>
      <c r="AJ62" s="363">
        <f t="shared" ref="AJ62:AT62" si="8">IF(OR(AJ61&gt;=100%),100%,IF(OR(AJ61&lt;=0%),0%,AVERAGE(AJ61)))</f>
        <v>1</v>
      </c>
      <c r="AK62" s="363">
        <f t="shared" si="8"/>
        <v>1</v>
      </c>
      <c r="AL62" s="363">
        <f t="shared" si="8"/>
        <v>1</v>
      </c>
      <c r="AM62" s="363">
        <v>0</v>
      </c>
      <c r="AN62" s="363" t="e">
        <f t="shared" si="8"/>
        <v>#DIV/0!</v>
      </c>
      <c r="AO62" s="363" t="e">
        <f t="shared" si="8"/>
        <v>#DIV/0!</v>
      </c>
      <c r="AP62" s="363" t="e">
        <f t="shared" si="8"/>
        <v>#DIV/0!</v>
      </c>
      <c r="AQ62" s="363" t="e">
        <f t="shared" si="8"/>
        <v>#DIV/0!</v>
      </c>
      <c r="AR62" s="363" t="e">
        <f t="shared" si="8"/>
        <v>#DIV/0!</v>
      </c>
      <c r="AS62" s="363" t="e">
        <f t="shared" si="8"/>
        <v>#DIV/0!</v>
      </c>
      <c r="AT62" s="364" t="e">
        <f t="shared" si="8"/>
        <v>#DIV/0!</v>
      </c>
    </row>
    <row r="63" spans="6:46">
      <c r="AF63" s="717" t="s">
        <v>7</v>
      </c>
      <c r="AG63" s="718"/>
      <c r="AI63" s="365">
        <v>0.05</v>
      </c>
      <c r="AJ63" s="365">
        <f t="shared" ref="AJ63:AT63" si="9">AJ62*0.05</f>
        <v>0.05</v>
      </c>
      <c r="AK63" s="365">
        <f t="shared" si="9"/>
        <v>0.05</v>
      </c>
      <c r="AL63" s="365">
        <f t="shared" si="9"/>
        <v>0.05</v>
      </c>
      <c r="AM63" s="636">
        <f t="shared" si="9"/>
        <v>0</v>
      </c>
      <c r="AN63" s="365" t="e">
        <f t="shared" si="9"/>
        <v>#DIV/0!</v>
      </c>
      <c r="AO63" s="365" t="e">
        <f t="shared" si="9"/>
        <v>#DIV/0!</v>
      </c>
      <c r="AP63" s="365" t="e">
        <f t="shared" si="9"/>
        <v>#DIV/0!</v>
      </c>
      <c r="AQ63" s="365" t="e">
        <f t="shared" si="9"/>
        <v>#DIV/0!</v>
      </c>
      <c r="AR63" s="365" t="e">
        <f t="shared" si="9"/>
        <v>#DIV/0!</v>
      </c>
      <c r="AS63" s="365" t="e">
        <f t="shared" si="9"/>
        <v>#DIV/0!</v>
      </c>
      <c r="AT63" s="366" t="e">
        <f t="shared" si="9"/>
        <v>#DIV/0!</v>
      </c>
    </row>
    <row r="64" spans="6:46">
      <c r="AF64" s="367"/>
      <c r="AG64" s="368"/>
      <c r="AH64" s="368"/>
      <c r="AI64" s="369"/>
      <c r="AJ64" s="369"/>
      <c r="AK64" s="369"/>
      <c r="AL64" s="369"/>
      <c r="AM64" s="369"/>
      <c r="AN64" s="369"/>
      <c r="AO64" s="369"/>
      <c r="AP64" s="369"/>
      <c r="AQ64" s="369"/>
      <c r="AR64" s="369"/>
      <c r="AS64" s="369"/>
      <c r="AT64" s="370"/>
    </row>
    <row r="65" spans="32:46">
      <c r="AF65" s="367"/>
      <c r="AG65" s="368"/>
      <c r="AH65" s="368"/>
      <c r="AI65" s="369"/>
      <c r="AJ65" s="369"/>
      <c r="AK65" s="369"/>
      <c r="AL65" s="369"/>
      <c r="AM65" s="369"/>
      <c r="AN65" s="369"/>
      <c r="AO65" s="369"/>
      <c r="AP65" s="369"/>
      <c r="AQ65" s="369"/>
      <c r="AR65" s="369"/>
      <c r="AS65" s="369"/>
      <c r="AT65" s="370"/>
    </row>
    <row r="66" spans="32:46">
      <c r="AF66" s="341" t="s">
        <v>8</v>
      </c>
      <c r="AH66" s="547">
        <v>45352</v>
      </c>
      <c r="AI66" s="547">
        <v>45383</v>
      </c>
      <c r="AJ66" s="547">
        <v>45413</v>
      </c>
      <c r="AK66" s="547">
        <v>45444</v>
      </c>
      <c r="AL66" s="547">
        <v>45474</v>
      </c>
      <c r="AM66" s="547">
        <v>45505</v>
      </c>
      <c r="AN66" s="547">
        <v>45536</v>
      </c>
      <c r="AO66" s="547">
        <v>45566</v>
      </c>
      <c r="AP66" s="547">
        <v>45597</v>
      </c>
      <c r="AQ66" s="547">
        <v>45627</v>
      </c>
      <c r="AR66" s="547">
        <v>45658</v>
      </c>
      <c r="AS66" s="547">
        <v>45689</v>
      </c>
      <c r="AT66" s="548">
        <v>45717</v>
      </c>
    </row>
    <row r="67" spans="32:46">
      <c r="AF67" s="344">
        <f>(AT67-AH67)/12</f>
        <v>0</v>
      </c>
      <c r="AG67" s="345"/>
      <c r="AH67" s="345">
        <f>AT67</f>
        <v>0</v>
      </c>
      <c r="AI67" s="345">
        <v>0</v>
      </c>
      <c r="AJ67" s="345">
        <f t="shared" ref="AJ67:AS67" si="10">AI67+$AF$53</f>
        <v>0</v>
      </c>
      <c r="AK67" s="345">
        <f t="shared" si="10"/>
        <v>0</v>
      </c>
      <c r="AL67" s="345">
        <f t="shared" si="10"/>
        <v>0</v>
      </c>
      <c r="AM67" s="345">
        <f t="shared" si="10"/>
        <v>0</v>
      </c>
      <c r="AN67" s="345">
        <f t="shared" si="10"/>
        <v>0</v>
      </c>
      <c r="AO67" s="345">
        <f t="shared" si="10"/>
        <v>0</v>
      </c>
      <c r="AP67" s="345">
        <f t="shared" si="10"/>
        <v>0</v>
      </c>
      <c r="AQ67" s="345">
        <f t="shared" si="10"/>
        <v>0</v>
      </c>
      <c r="AR67" s="345">
        <f t="shared" si="10"/>
        <v>0</v>
      </c>
      <c r="AS67" s="345">
        <f t="shared" si="10"/>
        <v>0</v>
      </c>
      <c r="AT67" s="346">
        <v>0</v>
      </c>
    </row>
    <row r="68" spans="32:46">
      <c r="AF68" s="344">
        <f>(AT68-AH68)/12</f>
        <v>0</v>
      </c>
      <c r="AG68" s="347" t="s">
        <v>2</v>
      </c>
      <c r="AH68" s="345">
        <f>AT67</f>
        <v>0</v>
      </c>
      <c r="AI68" s="345">
        <v>0</v>
      </c>
      <c r="AJ68" s="345">
        <f t="shared" ref="AJ68:AS68" si="11">AI68+$AF$54</f>
        <v>0</v>
      </c>
      <c r="AK68" s="345">
        <f t="shared" si="11"/>
        <v>0</v>
      </c>
      <c r="AL68" s="345">
        <f t="shared" si="11"/>
        <v>0</v>
      </c>
      <c r="AM68" s="345">
        <f t="shared" si="11"/>
        <v>0</v>
      </c>
      <c r="AN68" s="345">
        <f t="shared" si="11"/>
        <v>0</v>
      </c>
      <c r="AO68" s="345">
        <f t="shared" si="11"/>
        <v>0</v>
      </c>
      <c r="AP68" s="345">
        <f t="shared" si="11"/>
        <v>0</v>
      </c>
      <c r="AQ68" s="345">
        <f t="shared" si="11"/>
        <v>0</v>
      </c>
      <c r="AR68" s="345">
        <f t="shared" si="11"/>
        <v>0</v>
      </c>
      <c r="AS68" s="345">
        <f t="shared" si="11"/>
        <v>0</v>
      </c>
      <c r="AT68" s="348">
        <f>AT67-(AT67-AT70)*0.5</f>
        <v>0</v>
      </c>
    </row>
    <row r="69" spans="32:46">
      <c r="AF69" s="344">
        <f>(AT69-AH69)/12</f>
        <v>0</v>
      </c>
      <c r="AG69" s="349" t="s">
        <v>2</v>
      </c>
      <c r="AH69" s="345">
        <f>AT67</f>
        <v>0</v>
      </c>
      <c r="AI69" s="345">
        <v>0</v>
      </c>
      <c r="AJ69" s="345">
        <f t="shared" ref="AJ69:AS69" si="12">AI69+$AF$55</f>
        <v>0</v>
      </c>
      <c r="AK69" s="345">
        <f t="shared" si="12"/>
        <v>0</v>
      </c>
      <c r="AL69" s="345">
        <f t="shared" si="12"/>
        <v>0</v>
      </c>
      <c r="AM69" s="345">
        <f t="shared" si="12"/>
        <v>0</v>
      </c>
      <c r="AN69" s="345">
        <f t="shared" si="12"/>
        <v>0</v>
      </c>
      <c r="AO69" s="345">
        <f t="shared" si="12"/>
        <v>0</v>
      </c>
      <c r="AP69" s="345">
        <f t="shared" si="12"/>
        <v>0</v>
      </c>
      <c r="AQ69" s="345">
        <f t="shared" si="12"/>
        <v>0</v>
      </c>
      <c r="AR69" s="345">
        <f t="shared" si="12"/>
        <v>0</v>
      </c>
      <c r="AS69" s="345">
        <f t="shared" si="12"/>
        <v>0</v>
      </c>
      <c r="AT69" s="350">
        <f>AT67-(AT67-AT70)*0.8</f>
        <v>0</v>
      </c>
    </row>
    <row r="70" spans="32:46">
      <c r="AF70" s="344">
        <f>(AT70-AH70)/12</f>
        <v>0</v>
      </c>
      <c r="AG70" s="351" t="s">
        <v>2</v>
      </c>
      <c r="AH70" s="345">
        <f>AT67</f>
        <v>0</v>
      </c>
      <c r="AI70" s="345">
        <v>0</v>
      </c>
      <c r="AJ70" s="345">
        <f t="shared" ref="AJ70:AS70" si="13">AI70+$AF$56</f>
        <v>0</v>
      </c>
      <c r="AK70" s="345">
        <f t="shared" si="13"/>
        <v>0</v>
      </c>
      <c r="AL70" s="345">
        <f t="shared" si="13"/>
        <v>0</v>
      </c>
      <c r="AM70" s="345">
        <f t="shared" si="13"/>
        <v>0</v>
      </c>
      <c r="AN70" s="345">
        <f t="shared" si="13"/>
        <v>0</v>
      </c>
      <c r="AO70" s="345">
        <f t="shared" si="13"/>
        <v>0</v>
      </c>
      <c r="AP70" s="345">
        <f t="shared" si="13"/>
        <v>0</v>
      </c>
      <c r="AQ70" s="345">
        <f t="shared" si="13"/>
        <v>0</v>
      </c>
      <c r="AR70" s="345">
        <f t="shared" si="13"/>
        <v>0</v>
      </c>
      <c r="AS70" s="345">
        <f t="shared" si="13"/>
        <v>0</v>
      </c>
      <c r="AT70" s="352">
        <v>0</v>
      </c>
    </row>
    <row r="71" spans="32:46">
      <c r="AF71" s="721" t="s">
        <v>3</v>
      </c>
      <c r="AG71" s="722"/>
      <c r="AH71" s="355"/>
      <c r="AI71" s="356">
        <v>0</v>
      </c>
      <c r="AJ71" s="356">
        <f t="shared" ref="AJ71:AT71" si="14">AI71+AJ73</f>
        <v>0</v>
      </c>
      <c r="AK71" s="356">
        <f t="shared" si="14"/>
        <v>0</v>
      </c>
      <c r="AL71" s="356">
        <f t="shared" si="14"/>
        <v>0</v>
      </c>
      <c r="AM71" s="356">
        <f t="shared" si="14"/>
        <v>0</v>
      </c>
      <c r="AN71" s="356">
        <f t="shared" si="14"/>
        <v>0</v>
      </c>
      <c r="AO71" s="356">
        <f t="shared" si="14"/>
        <v>0</v>
      </c>
      <c r="AP71" s="356">
        <f t="shared" si="14"/>
        <v>0</v>
      </c>
      <c r="AQ71" s="356">
        <f t="shared" si="14"/>
        <v>0</v>
      </c>
      <c r="AR71" s="356">
        <f t="shared" si="14"/>
        <v>0</v>
      </c>
      <c r="AS71" s="356">
        <f t="shared" si="14"/>
        <v>0</v>
      </c>
      <c r="AT71" s="357">
        <f t="shared" si="14"/>
        <v>0</v>
      </c>
    </row>
    <row r="72" spans="32:46">
      <c r="AF72" s="353"/>
      <c r="AG72" s="354"/>
      <c r="AH72" s="355"/>
      <c r="AI72" s="355"/>
      <c r="AJ72" s="356"/>
      <c r="AK72" s="356"/>
      <c r="AL72" s="355"/>
      <c r="AM72" s="355"/>
      <c r="AN72" s="356"/>
      <c r="AO72" s="356"/>
      <c r="AP72" s="356"/>
      <c r="AQ72" s="356"/>
      <c r="AR72" s="356"/>
      <c r="AS72" s="356"/>
      <c r="AT72" s="357"/>
    </row>
    <row r="73" spans="32:46">
      <c r="AF73" s="721" t="s">
        <v>4</v>
      </c>
      <c r="AG73" s="722"/>
      <c r="AH73" s="331"/>
      <c r="AI73" s="358">
        <v>0</v>
      </c>
      <c r="AJ73" s="358">
        <v>0</v>
      </c>
      <c r="AK73" s="358">
        <v>0</v>
      </c>
      <c r="AL73" s="358">
        <v>0</v>
      </c>
      <c r="AM73" s="358">
        <v>0</v>
      </c>
      <c r="AN73" s="358"/>
      <c r="AO73" s="358"/>
      <c r="AP73" s="358"/>
      <c r="AQ73" s="358"/>
      <c r="AR73" s="358"/>
      <c r="AS73" s="358"/>
      <c r="AT73" s="359"/>
    </row>
    <row r="74" spans="32:46">
      <c r="AF74" s="353"/>
      <c r="AG74" s="354"/>
      <c r="AH74" s="331"/>
      <c r="AI74" s="331">
        <v>0</v>
      </c>
      <c r="AJ74" s="331">
        <f>AJ73</f>
        <v>0</v>
      </c>
      <c r="AK74" s="331">
        <f>AK73</f>
        <v>0</v>
      </c>
      <c r="AL74" s="331">
        <f>AL73</f>
        <v>0</v>
      </c>
      <c r="AM74" s="331">
        <f t="shared" ref="AM74:AT74" si="15">AM73</f>
        <v>0</v>
      </c>
      <c r="AN74" s="331">
        <f t="shared" si="15"/>
        <v>0</v>
      </c>
      <c r="AO74" s="331">
        <f t="shared" si="15"/>
        <v>0</v>
      </c>
      <c r="AP74" s="331">
        <f t="shared" si="15"/>
        <v>0</v>
      </c>
      <c r="AQ74" s="331">
        <f t="shared" si="15"/>
        <v>0</v>
      </c>
      <c r="AR74" s="331">
        <f t="shared" si="15"/>
        <v>0</v>
      </c>
      <c r="AS74" s="331">
        <f t="shared" si="15"/>
        <v>0</v>
      </c>
      <c r="AT74" s="360">
        <f t="shared" si="15"/>
        <v>0</v>
      </c>
    </row>
    <row r="75" spans="32:46">
      <c r="AF75" s="721" t="s">
        <v>5</v>
      </c>
      <c r="AG75" s="722"/>
      <c r="AI75" s="361">
        <v>1</v>
      </c>
      <c r="AJ75" s="361">
        <v>1</v>
      </c>
      <c r="AK75" s="361">
        <v>1</v>
      </c>
      <c r="AL75" s="361">
        <v>1</v>
      </c>
      <c r="AM75" s="361">
        <v>1</v>
      </c>
      <c r="AN75" s="361" t="e">
        <f t="shared" ref="AN75:AT75" si="16">(AN67-AN71)/(AN67-AN70)</f>
        <v>#DIV/0!</v>
      </c>
      <c r="AO75" s="361" t="e">
        <f t="shared" si="16"/>
        <v>#DIV/0!</v>
      </c>
      <c r="AP75" s="361" t="e">
        <f t="shared" si="16"/>
        <v>#DIV/0!</v>
      </c>
      <c r="AQ75" s="361" t="e">
        <f t="shared" si="16"/>
        <v>#DIV/0!</v>
      </c>
      <c r="AR75" s="361" t="e">
        <f t="shared" si="16"/>
        <v>#DIV/0!</v>
      </c>
      <c r="AS75" s="361" t="e">
        <f t="shared" si="16"/>
        <v>#DIV/0!</v>
      </c>
      <c r="AT75" s="362" t="e">
        <f t="shared" si="16"/>
        <v>#DIV/0!</v>
      </c>
    </row>
    <row r="76" spans="32:46">
      <c r="AF76" s="721" t="s">
        <v>6</v>
      </c>
      <c r="AG76" s="722"/>
      <c r="AI76" s="363">
        <v>1</v>
      </c>
      <c r="AJ76" s="363">
        <f t="shared" ref="AJ76:AT76" si="17">IF(OR(AJ75&gt;=100%),100%,IF(OR(AJ75&lt;=0%),0%,AVERAGE(AJ75)))</f>
        <v>1</v>
      </c>
      <c r="AK76" s="363">
        <f t="shared" si="17"/>
        <v>1</v>
      </c>
      <c r="AL76" s="363">
        <f t="shared" si="17"/>
        <v>1</v>
      </c>
      <c r="AM76" s="363">
        <f t="shared" si="17"/>
        <v>1</v>
      </c>
      <c r="AN76" s="363" t="e">
        <f t="shared" si="17"/>
        <v>#DIV/0!</v>
      </c>
      <c r="AO76" s="363" t="e">
        <f t="shared" si="17"/>
        <v>#DIV/0!</v>
      </c>
      <c r="AP76" s="363" t="e">
        <f t="shared" si="17"/>
        <v>#DIV/0!</v>
      </c>
      <c r="AQ76" s="363" t="e">
        <f t="shared" si="17"/>
        <v>#DIV/0!</v>
      </c>
      <c r="AR76" s="363" t="e">
        <f t="shared" si="17"/>
        <v>#DIV/0!</v>
      </c>
      <c r="AS76" s="363" t="e">
        <f t="shared" si="17"/>
        <v>#DIV/0!</v>
      </c>
      <c r="AT76" s="364" t="e">
        <f t="shared" si="17"/>
        <v>#DIV/0!</v>
      </c>
    </row>
    <row r="77" spans="32:46">
      <c r="AF77" s="717" t="s">
        <v>7</v>
      </c>
      <c r="AG77" s="718"/>
      <c r="AI77" s="365">
        <v>0.05</v>
      </c>
      <c r="AJ77" s="365">
        <f t="shared" ref="AJ77:AT77" si="18">AJ76*0.05</f>
        <v>0.05</v>
      </c>
      <c r="AK77" s="365">
        <f t="shared" si="18"/>
        <v>0.05</v>
      </c>
      <c r="AL77" s="365">
        <f t="shared" si="18"/>
        <v>0.05</v>
      </c>
      <c r="AM77" s="365">
        <f t="shared" si="18"/>
        <v>0.05</v>
      </c>
      <c r="AN77" s="365" t="e">
        <f t="shared" si="18"/>
        <v>#DIV/0!</v>
      </c>
      <c r="AO77" s="365" t="e">
        <f t="shared" si="18"/>
        <v>#DIV/0!</v>
      </c>
      <c r="AP77" s="365" t="e">
        <f t="shared" si="18"/>
        <v>#DIV/0!</v>
      </c>
      <c r="AQ77" s="365" t="e">
        <f t="shared" si="18"/>
        <v>#DIV/0!</v>
      </c>
      <c r="AR77" s="365" t="e">
        <f t="shared" si="18"/>
        <v>#DIV/0!</v>
      </c>
      <c r="AS77" s="365" t="e">
        <f t="shared" si="18"/>
        <v>#DIV/0!</v>
      </c>
      <c r="AT77" s="366" t="e">
        <f t="shared" si="18"/>
        <v>#DIV/0!</v>
      </c>
    </row>
    <row r="78" spans="32:46">
      <c r="AF78" s="367"/>
      <c r="AG78" s="368"/>
      <c r="AH78" s="368"/>
      <c r="AI78" s="369"/>
      <c r="AJ78" s="369"/>
      <c r="AK78" s="369"/>
      <c r="AL78" s="369"/>
      <c r="AM78" s="369"/>
      <c r="AN78" s="369"/>
      <c r="AO78" s="369"/>
      <c r="AP78" s="369"/>
      <c r="AQ78" s="369"/>
      <c r="AR78" s="369"/>
      <c r="AS78" s="369"/>
      <c r="AT78" s="370"/>
    </row>
    <row r="79" spans="32:46">
      <c r="AF79" s="367"/>
      <c r="AG79" s="368"/>
      <c r="AH79" s="368"/>
      <c r="AI79" s="369"/>
      <c r="AJ79" s="369"/>
      <c r="AK79" s="369"/>
      <c r="AL79" s="369"/>
      <c r="AM79" s="369"/>
      <c r="AN79" s="369"/>
      <c r="AO79" s="369"/>
      <c r="AP79" s="369"/>
      <c r="AQ79" s="369"/>
      <c r="AR79" s="369"/>
      <c r="AS79" s="369"/>
      <c r="AT79" s="370"/>
    </row>
    <row r="80" spans="32:46">
      <c r="AF80" s="341" t="s">
        <v>97</v>
      </c>
      <c r="AH80" s="547">
        <v>45352</v>
      </c>
      <c r="AI80" s="547">
        <v>45383</v>
      </c>
      <c r="AJ80" s="547">
        <v>45413</v>
      </c>
      <c r="AK80" s="547">
        <v>45444</v>
      </c>
      <c r="AL80" s="547">
        <v>45474</v>
      </c>
      <c r="AM80" s="547">
        <v>45505</v>
      </c>
      <c r="AN80" s="547">
        <v>45536</v>
      </c>
      <c r="AO80" s="547">
        <v>45566</v>
      </c>
      <c r="AP80" s="547">
        <v>45597</v>
      </c>
      <c r="AQ80" s="547">
        <v>45627</v>
      </c>
      <c r="AR80" s="547">
        <v>45658</v>
      </c>
      <c r="AS80" s="547">
        <v>45689</v>
      </c>
      <c r="AT80" s="548">
        <v>45717</v>
      </c>
    </row>
    <row r="81" spans="32:46">
      <c r="AF81" s="344">
        <f>(AT81-AH81)/12</f>
        <v>0</v>
      </c>
      <c r="AG81" s="345"/>
      <c r="AH81" s="345">
        <f>AT81</f>
        <v>20</v>
      </c>
      <c r="AI81" s="345">
        <v>20</v>
      </c>
      <c r="AJ81" s="345">
        <f t="shared" ref="AJ81:AS81" si="19">AI81+$AF$81</f>
        <v>20</v>
      </c>
      <c r="AK81" s="345">
        <f t="shared" si="19"/>
        <v>20</v>
      </c>
      <c r="AL81" s="345">
        <f t="shared" si="19"/>
        <v>20</v>
      </c>
      <c r="AM81" s="345">
        <f t="shared" si="19"/>
        <v>20</v>
      </c>
      <c r="AN81" s="345">
        <f t="shared" si="19"/>
        <v>20</v>
      </c>
      <c r="AO81" s="345">
        <f t="shared" si="19"/>
        <v>20</v>
      </c>
      <c r="AP81" s="345">
        <f t="shared" si="19"/>
        <v>20</v>
      </c>
      <c r="AQ81" s="345">
        <f t="shared" si="19"/>
        <v>20</v>
      </c>
      <c r="AR81" s="345">
        <f t="shared" si="19"/>
        <v>20</v>
      </c>
      <c r="AS81" s="345">
        <f t="shared" si="19"/>
        <v>20</v>
      </c>
      <c r="AT81" s="346">
        <v>20</v>
      </c>
    </row>
    <row r="82" spans="32:46">
      <c r="AF82" s="344">
        <f>(AT82-AH82)/12</f>
        <v>-0.20833333333333334</v>
      </c>
      <c r="AG82" s="347" t="s">
        <v>2</v>
      </c>
      <c r="AH82" s="345">
        <f>AT81</f>
        <v>20</v>
      </c>
      <c r="AI82" s="345">
        <v>19.791666666666668</v>
      </c>
      <c r="AJ82" s="345">
        <f t="shared" ref="AJ82:AS82" si="20">AI82+$AF$82</f>
        <v>19.583333333333336</v>
      </c>
      <c r="AK82" s="345">
        <f t="shared" si="20"/>
        <v>19.375000000000004</v>
      </c>
      <c r="AL82" s="345">
        <f t="shared" si="20"/>
        <v>19.166666666666671</v>
      </c>
      <c r="AM82" s="345">
        <f t="shared" si="20"/>
        <v>18.958333333333339</v>
      </c>
      <c r="AN82" s="345">
        <f t="shared" si="20"/>
        <v>18.750000000000007</v>
      </c>
      <c r="AO82" s="345">
        <f t="shared" si="20"/>
        <v>18.541666666666675</v>
      </c>
      <c r="AP82" s="345">
        <f t="shared" si="20"/>
        <v>18.333333333333343</v>
      </c>
      <c r="AQ82" s="345">
        <f t="shared" si="20"/>
        <v>18.125000000000011</v>
      </c>
      <c r="AR82" s="345">
        <f t="shared" si="20"/>
        <v>17.916666666666679</v>
      </c>
      <c r="AS82" s="345">
        <f t="shared" si="20"/>
        <v>17.708333333333346</v>
      </c>
      <c r="AT82" s="348">
        <f>AT81-(AT81-AT84)*0.5</f>
        <v>17.5</v>
      </c>
    </row>
    <row r="83" spans="32:46">
      <c r="AF83" s="344">
        <f>(AT83-AH83)/12</f>
        <v>-0.33333333333333331</v>
      </c>
      <c r="AG83" s="349" t="s">
        <v>2</v>
      </c>
      <c r="AH83" s="345">
        <f>AT81</f>
        <v>20</v>
      </c>
      <c r="AI83" s="345">
        <v>19.666666666666668</v>
      </c>
      <c r="AJ83" s="345">
        <f t="shared" ref="AJ83:AS83" si="21">AI83+$AF$83</f>
        <v>19.333333333333336</v>
      </c>
      <c r="AK83" s="345">
        <f t="shared" si="21"/>
        <v>19.000000000000004</v>
      </c>
      <c r="AL83" s="345">
        <f t="shared" si="21"/>
        <v>18.666666666666671</v>
      </c>
      <c r="AM83" s="345">
        <f t="shared" si="21"/>
        <v>18.333333333333339</v>
      </c>
      <c r="AN83" s="345">
        <f t="shared" si="21"/>
        <v>18.000000000000007</v>
      </c>
      <c r="AO83" s="345">
        <f t="shared" si="21"/>
        <v>17.666666666666675</v>
      </c>
      <c r="AP83" s="345">
        <f t="shared" si="21"/>
        <v>17.333333333333343</v>
      </c>
      <c r="AQ83" s="345">
        <f t="shared" si="21"/>
        <v>17.000000000000011</v>
      </c>
      <c r="AR83" s="345">
        <f t="shared" si="21"/>
        <v>16.666666666666679</v>
      </c>
      <c r="AS83" s="345">
        <f t="shared" si="21"/>
        <v>16.333333333333346</v>
      </c>
      <c r="AT83" s="350">
        <f>AT81-(AT81-AT84)*0.8</f>
        <v>16</v>
      </c>
    </row>
    <row r="84" spans="32:46">
      <c r="AF84" s="344">
        <f>(AT84-AH84)/12</f>
        <v>-0.41666666666666669</v>
      </c>
      <c r="AG84" s="351" t="s">
        <v>2</v>
      </c>
      <c r="AH84" s="345">
        <f>AT81</f>
        <v>20</v>
      </c>
      <c r="AI84" s="345">
        <v>19.583333333333332</v>
      </c>
      <c r="AJ84" s="345">
        <f>AI84+$AF$84</f>
        <v>19.166666666666664</v>
      </c>
      <c r="AK84" s="345">
        <f t="shared" ref="AK84:AS84" si="22">AJ84+$AF$84</f>
        <v>18.749999999999996</v>
      </c>
      <c r="AL84" s="345">
        <f t="shared" si="22"/>
        <v>18.333333333333329</v>
      </c>
      <c r="AM84" s="345">
        <f t="shared" si="22"/>
        <v>17.916666666666661</v>
      </c>
      <c r="AN84" s="345">
        <f t="shared" si="22"/>
        <v>17.499999999999993</v>
      </c>
      <c r="AO84" s="345">
        <f t="shared" si="22"/>
        <v>17.083333333333325</v>
      </c>
      <c r="AP84" s="345">
        <f t="shared" si="22"/>
        <v>16.666666666666657</v>
      </c>
      <c r="AQ84" s="345">
        <f t="shared" si="22"/>
        <v>16.249999999999989</v>
      </c>
      <c r="AR84" s="345">
        <f t="shared" si="22"/>
        <v>15.833333333333323</v>
      </c>
      <c r="AS84" s="345">
        <f t="shared" si="22"/>
        <v>15.416666666666657</v>
      </c>
      <c r="AT84" s="352">
        <v>15</v>
      </c>
    </row>
    <row r="85" spans="32:46">
      <c r="AF85" s="721" t="s">
        <v>3</v>
      </c>
      <c r="AG85" s="722"/>
      <c r="AH85" s="345"/>
      <c r="AI85" s="356">
        <v>1</v>
      </c>
      <c r="AJ85" s="356">
        <f t="shared" ref="AJ85:AS85" si="23">AI85+AJ87</f>
        <v>2</v>
      </c>
      <c r="AK85" s="356">
        <f t="shared" si="23"/>
        <v>3</v>
      </c>
      <c r="AL85" s="356">
        <f t="shared" si="23"/>
        <v>5</v>
      </c>
      <c r="AM85" s="356">
        <f t="shared" si="23"/>
        <v>8</v>
      </c>
      <c r="AN85" s="356">
        <f t="shared" si="23"/>
        <v>8</v>
      </c>
      <c r="AO85" s="356">
        <f t="shared" si="23"/>
        <v>8</v>
      </c>
      <c r="AP85" s="356">
        <f t="shared" si="23"/>
        <v>8</v>
      </c>
      <c r="AQ85" s="356">
        <f t="shared" si="23"/>
        <v>8</v>
      </c>
      <c r="AR85" s="356">
        <f t="shared" si="23"/>
        <v>8</v>
      </c>
      <c r="AS85" s="356">
        <f t="shared" si="23"/>
        <v>8</v>
      </c>
      <c r="AT85" s="357">
        <f>AS85+AT87</f>
        <v>8</v>
      </c>
    </row>
    <row r="86" spans="32:46">
      <c r="AF86" s="353"/>
      <c r="AG86" s="354"/>
      <c r="AH86" s="355"/>
      <c r="AI86" s="356"/>
      <c r="AJ86" s="356"/>
      <c r="AK86" s="356"/>
      <c r="AL86" s="356"/>
      <c r="AM86" s="356"/>
      <c r="AN86" s="356"/>
      <c r="AO86" s="356"/>
      <c r="AP86" s="356"/>
      <c r="AQ86" s="356"/>
      <c r="AR86" s="356"/>
      <c r="AS86" s="356"/>
      <c r="AT86" s="357"/>
    </row>
    <row r="87" spans="32:46">
      <c r="AF87" s="721" t="s">
        <v>4</v>
      </c>
      <c r="AG87" s="722"/>
      <c r="AH87" s="331"/>
      <c r="AI87" s="358">
        <v>1</v>
      </c>
      <c r="AJ87" s="358">
        <v>1</v>
      </c>
      <c r="AK87" s="358">
        <v>1</v>
      </c>
      <c r="AL87" s="358">
        <v>2</v>
      </c>
      <c r="AM87" s="358">
        <v>3</v>
      </c>
      <c r="AN87" s="358"/>
      <c r="AO87" s="358"/>
      <c r="AP87" s="358"/>
      <c r="AQ87" s="358"/>
      <c r="AR87" s="358"/>
      <c r="AS87" s="358"/>
      <c r="AT87" s="359"/>
    </row>
    <row r="88" spans="32:46">
      <c r="AF88" s="353"/>
      <c r="AG88" s="354"/>
      <c r="AH88" s="331"/>
      <c r="AI88" s="331">
        <v>1</v>
      </c>
      <c r="AJ88" s="331">
        <f>AJ87</f>
        <v>1</v>
      </c>
      <c r="AK88" s="331">
        <f>AK87</f>
        <v>1</v>
      </c>
      <c r="AL88" s="331">
        <f>AL87</f>
        <v>2</v>
      </c>
      <c r="AM88" s="331">
        <f t="shared" ref="AM88:AT88" si="24">AM87</f>
        <v>3</v>
      </c>
      <c r="AN88" s="331">
        <f t="shared" si="24"/>
        <v>0</v>
      </c>
      <c r="AO88" s="331">
        <f t="shared" si="24"/>
        <v>0</v>
      </c>
      <c r="AP88" s="331">
        <f t="shared" si="24"/>
        <v>0</v>
      </c>
      <c r="AQ88" s="331">
        <f t="shared" si="24"/>
        <v>0</v>
      </c>
      <c r="AR88" s="331">
        <f t="shared" si="24"/>
        <v>0</v>
      </c>
      <c r="AS88" s="331">
        <f t="shared" si="24"/>
        <v>0</v>
      </c>
      <c r="AT88" s="360">
        <f t="shared" si="24"/>
        <v>0</v>
      </c>
    </row>
    <row r="89" spans="32:46">
      <c r="AF89" s="721" t="s">
        <v>5</v>
      </c>
      <c r="AG89" s="722"/>
      <c r="AI89" s="361">
        <v>45.599999999999874</v>
      </c>
      <c r="AJ89" s="361">
        <f t="shared" ref="AJ89:AT89" si="25">(AJ81-AJ85)/(AJ81-AJ84)</f>
        <v>21.599999999999937</v>
      </c>
      <c r="AK89" s="361">
        <f t="shared" si="25"/>
        <v>13.599999999999961</v>
      </c>
      <c r="AL89" s="361">
        <f t="shared" si="25"/>
        <v>8.9999999999999751</v>
      </c>
      <c r="AM89" s="361">
        <f t="shared" si="25"/>
        <v>5.7599999999999838</v>
      </c>
      <c r="AN89" s="361">
        <f t="shared" si="25"/>
        <v>4.7999999999999865</v>
      </c>
      <c r="AO89" s="361">
        <f t="shared" si="25"/>
        <v>4.1142857142857023</v>
      </c>
      <c r="AP89" s="361">
        <f t="shared" si="25"/>
        <v>3.5999999999999899</v>
      </c>
      <c r="AQ89" s="361">
        <f t="shared" si="25"/>
        <v>3.1999999999999909</v>
      </c>
      <c r="AR89" s="361">
        <f t="shared" si="25"/>
        <v>2.8799999999999932</v>
      </c>
      <c r="AS89" s="361">
        <f t="shared" si="25"/>
        <v>2.6181818181818128</v>
      </c>
      <c r="AT89" s="362">
        <f t="shared" si="25"/>
        <v>2.4</v>
      </c>
    </row>
    <row r="90" spans="32:46">
      <c r="AF90" s="721" t="s">
        <v>6</v>
      </c>
      <c r="AG90" s="722"/>
      <c r="AI90" s="363">
        <v>1</v>
      </c>
      <c r="AJ90" s="363">
        <f t="shared" ref="AJ90:AN90" si="26">IF(OR(AJ89&gt;=100%),100%,IF(OR(AJ89&lt;=0%),0%,AVERAGE(AJ89)))</f>
        <v>1</v>
      </c>
      <c r="AK90" s="363">
        <f t="shared" si="26"/>
        <v>1</v>
      </c>
      <c r="AL90" s="363">
        <f t="shared" si="26"/>
        <v>1</v>
      </c>
      <c r="AM90" s="363">
        <f t="shared" si="26"/>
        <v>1</v>
      </c>
      <c r="AN90" s="363">
        <f t="shared" si="26"/>
        <v>1</v>
      </c>
      <c r="AO90" s="363">
        <f t="shared" ref="AO90:AT90" si="27">IF(OR(AO89&gt;=100%),100%,IF(OR(AO89&lt;=0%),0%,AVERAGE(AO89)))</f>
        <v>1</v>
      </c>
      <c r="AP90" s="363">
        <f t="shared" si="27"/>
        <v>1</v>
      </c>
      <c r="AQ90" s="363">
        <f t="shared" si="27"/>
        <v>1</v>
      </c>
      <c r="AR90" s="363">
        <f t="shared" si="27"/>
        <v>1</v>
      </c>
      <c r="AS90" s="363">
        <f t="shared" si="27"/>
        <v>1</v>
      </c>
      <c r="AT90" s="364">
        <f t="shared" si="27"/>
        <v>1</v>
      </c>
    </row>
    <row r="91" spans="32:46">
      <c r="AF91" s="717" t="s">
        <v>7</v>
      </c>
      <c r="AG91" s="718"/>
      <c r="AI91" s="365">
        <v>0.05</v>
      </c>
      <c r="AJ91" s="365">
        <f t="shared" ref="AJ91:AT91" si="28">AJ90*0.05</f>
        <v>0.05</v>
      </c>
      <c r="AK91" s="365">
        <f t="shared" si="28"/>
        <v>0.05</v>
      </c>
      <c r="AL91" s="365">
        <f t="shared" si="28"/>
        <v>0.05</v>
      </c>
      <c r="AM91" s="365">
        <f t="shared" si="28"/>
        <v>0.05</v>
      </c>
      <c r="AN91" s="365">
        <f t="shared" si="28"/>
        <v>0.05</v>
      </c>
      <c r="AO91" s="365">
        <f t="shared" si="28"/>
        <v>0.05</v>
      </c>
      <c r="AP91" s="365">
        <f t="shared" si="28"/>
        <v>0.05</v>
      </c>
      <c r="AQ91" s="365">
        <f t="shared" si="28"/>
        <v>0.05</v>
      </c>
      <c r="AR91" s="365">
        <f t="shared" si="28"/>
        <v>0.05</v>
      </c>
      <c r="AS91" s="365">
        <f t="shared" si="28"/>
        <v>0.05</v>
      </c>
      <c r="AT91" s="366">
        <f t="shared" si="28"/>
        <v>0.05</v>
      </c>
    </row>
    <row r="92" spans="32:46">
      <c r="AF92" s="367"/>
      <c r="AG92" s="368"/>
      <c r="AH92" s="368"/>
      <c r="AI92" s="369"/>
      <c r="AJ92" s="369"/>
      <c r="AK92" s="369"/>
      <c r="AL92" s="369"/>
      <c r="AM92" s="369"/>
      <c r="AN92" s="369"/>
      <c r="AO92" s="369"/>
      <c r="AP92" s="369"/>
      <c r="AQ92" s="369"/>
      <c r="AR92" s="369"/>
      <c r="AS92" s="369"/>
      <c r="AT92" s="370"/>
    </row>
    <row r="93" spans="32:46">
      <c r="AF93" s="341" t="s">
        <v>98</v>
      </c>
      <c r="AH93" s="547">
        <v>45352</v>
      </c>
      <c r="AI93" s="547">
        <v>45383</v>
      </c>
      <c r="AJ93" s="547">
        <v>45413</v>
      </c>
      <c r="AK93" s="547">
        <v>45444</v>
      </c>
      <c r="AL93" s="547">
        <v>45474</v>
      </c>
      <c r="AM93" s="547">
        <v>45505</v>
      </c>
      <c r="AN93" s="547">
        <v>45536</v>
      </c>
      <c r="AO93" s="547">
        <v>45566</v>
      </c>
      <c r="AP93" s="547">
        <v>45597</v>
      </c>
      <c r="AQ93" s="547">
        <v>45627</v>
      </c>
      <c r="AR93" s="547">
        <v>45658</v>
      </c>
      <c r="AS93" s="547">
        <v>45689</v>
      </c>
      <c r="AT93" s="548">
        <v>45717</v>
      </c>
    </row>
    <row r="94" spans="32:46">
      <c r="AF94" s="372">
        <f>(AT94-AH94)/12</f>
        <v>-9.0833333333333339</v>
      </c>
      <c r="AG94" s="373" t="s">
        <v>2</v>
      </c>
      <c r="AH94" s="374">
        <f>AT97</f>
        <v>2758</v>
      </c>
      <c r="AI94" s="374">
        <v>2748.9166666666665</v>
      </c>
      <c r="AJ94" s="374">
        <f t="shared" ref="AJ94:AS94" si="29">++AI94+$AF$94</f>
        <v>2739.833333333333</v>
      </c>
      <c r="AK94" s="374">
        <f t="shared" si="29"/>
        <v>2730.7499999999995</v>
      </c>
      <c r="AL94" s="374">
        <f t="shared" si="29"/>
        <v>2721.6666666666661</v>
      </c>
      <c r="AM94" s="374">
        <f t="shared" si="29"/>
        <v>2712.5833333333326</v>
      </c>
      <c r="AN94" s="374">
        <f t="shared" si="29"/>
        <v>2703.4999999999991</v>
      </c>
      <c r="AO94" s="374">
        <f t="shared" si="29"/>
        <v>2694.4166666666656</v>
      </c>
      <c r="AP94" s="374">
        <f t="shared" si="29"/>
        <v>2685.3333333333321</v>
      </c>
      <c r="AQ94" s="374">
        <f t="shared" si="29"/>
        <v>2676.2499999999986</v>
      </c>
      <c r="AR94" s="374">
        <f t="shared" si="29"/>
        <v>2667.1666666666652</v>
      </c>
      <c r="AS94" s="374">
        <f t="shared" si="29"/>
        <v>2658.0833333333317</v>
      </c>
      <c r="AT94" s="375">
        <v>2649</v>
      </c>
    </row>
    <row r="95" spans="32:46">
      <c r="AF95" s="372">
        <f>(AT95-AH95)/12</f>
        <v>75.816666666666677</v>
      </c>
      <c r="AG95" s="376" t="s">
        <v>2</v>
      </c>
      <c r="AH95" s="374">
        <f>AT97</f>
        <v>2758</v>
      </c>
      <c r="AI95" s="374">
        <v>2833.8166666666666</v>
      </c>
      <c r="AJ95" s="374">
        <f t="shared" ref="AJ95:AS95" si="30">++AI95+$AF$95</f>
        <v>2909.6333333333332</v>
      </c>
      <c r="AK95" s="374">
        <f t="shared" si="30"/>
        <v>2985.45</v>
      </c>
      <c r="AL95" s="374">
        <f t="shared" si="30"/>
        <v>3061.2666666666664</v>
      </c>
      <c r="AM95" s="374">
        <f t="shared" si="30"/>
        <v>3137.083333333333</v>
      </c>
      <c r="AN95" s="374">
        <f t="shared" si="30"/>
        <v>3212.8999999999996</v>
      </c>
      <c r="AO95" s="374">
        <f t="shared" si="30"/>
        <v>3288.7166666666662</v>
      </c>
      <c r="AP95" s="374">
        <f t="shared" si="30"/>
        <v>3364.5333333333328</v>
      </c>
      <c r="AQ95" s="374">
        <f t="shared" si="30"/>
        <v>3440.3499999999995</v>
      </c>
      <c r="AR95" s="374">
        <f t="shared" si="30"/>
        <v>3516.1666666666661</v>
      </c>
      <c r="AS95" s="374">
        <f t="shared" si="30"/>
        <v>3591.9833333333327</v>
      </c>
      <c r="AT95" s="377">
        <v>3667.8</v>
      </c>
    </row>
    <row r="96" spans="32:46">
      <c r="AF96" s="372">
        <f>(AT96-AH96)/12</f>
        <v>77.291666666666671</v>
      </c>
      <c r="AG96" s="378" t="s">
        <v>2</v>
      </c>
      <c r="AH96" s="374">
        <f>AT97</f>
        <v>2758</v>
      </c>
      <c r="AI96" s="374">
        <v>2835.2916666666665</v>
      </c>
      <c r="AJ96" s="374">
        <f t="shared" ref="AJ96:AS96" si="31">++AI96+$AF$96</f>
        <v>2912.583333333333</v>
      </c>
      <c r="AK96" s="374">
        <f t="shared" si="31"/>
        <v>2989.8749999999995</v>
      </c>
      <c r="AL96" s="374">
        <f t="shared" si="31"/>
        <v>3067.1666666666661</v>
      </c>
      <c r="AM96" s="374">
        <f t="shared" si="31"/>
        <v>3144.4583333333326</v>
      </c>
      <c r="AN96" s="374">
        <f t="shared" si="31"/>
        <v>3221.7499999999991</v>
      </c>
      <c r="AO96" s="374">
        <f t="shared" si="31"/>
        <v>3299.0416666666656</v>
      </c>
      <c r="AP96" s="374">
        <f t="shared" si="31"/>
        <v>3376.3333333333321</v>
      </c>
      <c r="AQ96" s="374">
        <f t="shared" si="31"/>
        <v>3453.6249999999986</v>
      </c>
      <c r="AR96" s="374">
        <f t="shared" si="31"/>
        <v>3530.9166666666652</v>
      </c>
      <c r="AS96" s="374">
        <f t="shared" si="31"/>
        <v>3608.2083333333317</v>
      </c>
      <c r="AT96" s="379">
        <v>3685.5</v>
      </c>
    </row>
    <row r="97" spans="32:46">
      <c r="AF97" s="372">
        <f>(AT97-AH97)/12</f>
        <v>0</v>
      </c>
      <c r="AG97" s="355"/>
      <c r="AH97" s="374">
        <f>$AT$97</f>
        <v>2758</v>
      </c>
      <c r="AI97" s="374">
        <v>2758</v>
      </c>
      <c r="AJ97" s="374">
        <f t="shared" ref="AJ97:AS97" si="32">$AT$97</f>
        <v>2758</v>
      </c>
      <c r="AK97" s="374">
        <f t="shared" si="32"/>
        <v>2758</v>
      </c>
      <c r="AL97" s="374">
        <f t="shared" si="32"/>
        <v>2758</v>
      </c>
      <c r="AM97" s="374">
        <f t="shared" si="32"/>
        <v>2758</v>
      </c>
      <c r="AN97" s="374">
        <f t="shared" si="32"/>
        <v>2758</v>
      </c>
      <c r="AO97" s="374">
        <f t="shared" si="32"/>
        <v>2758</v>
      </c>
      <c r="AP97" s="374">
        <f t="shared" si="32"/>
        <v>2758</v>
      </c>
      <c r="AQ97" s="374">
        <f t="shared" si="32"/>
        <v>2758</v>
      </c>
      <c r="AR97" s="374">
        <f t="shared" si="32"/>
        <v>2758</v>
      </c>
      <c r="AS97" s="374">
        <f t="shared" si="32"/>
        <v>2758</v>
      </c>
      <c r="AT97" s="380">
        <v>2758</v>
      </c>
    </row>
    <row r="98" spans="32:46">
      <c r="AF98" s="381" t="s">
        <v>10</v>
      </c>
      <c r="AG98" s="354"/>
      <c r="AH98" s="382"/>
      <c r="AI98" s="383">
        <v>2457.2064963150515</v>
      </c>
      <c r="AJ98" s="383">
        <f t="shared" ref="AJ98:AT98" si="33">AJ102/AJ101*1000000</f>
        <v>2179.1936925622763</v>
      </c>
      <c r="AK98" s="383">
        <f t="shared" si="33"/>
        <v>2777.4161781759681</v>
      </c>
      <c r="AL98" s="383">
        <f t="shared" si="33"/>
        <v>4027.2036741189168</v>
      </c>
      <c r="AM98" s="383">
        <f t="shared" si="33"/>
        <v>2405.72496458872</v>
      </c>
      <c r="AN98" s="383" t="e">
        <f t="shared" si="33"/>
        <v>#DIV/0!</v>
      </c>
      <c r="AO98" s="383" t="e">
        <f t="shared" si="33"/>
        <v>#DIV/0!</v>
      </c>
      <c r="AP98" s="383" t="e">
        <f t="shared" si="33"/>
        <v>#DIV/0!</v>
      </c>
      <c r="AQ98" s="383" t="e">
        <f t="shared" si="33"/>
        <v>#DIV/0!</v>
      </c>
      <c r="AR98" s="383" t="e">
        <f t="shared" si="33"/>
        <v>#DIV/0!</v>
      </c>
      <c r="AS98" s="383" t="e">
        <f t="shared" si="33"/>
        <v>#DIV/0!</v>
      </c>
      <c r="AT98" s="384" t="e">
        <f t="shared" si="33"/>
        <v>#DIV/0!</v>
      </c>
    </row>
    <row r="99" spans="32:46">
      <c r="AF99" s="381" t="s">
        <v>11</v>
      </c>
      <c r="AG99" s="354"/>
      <c r="AH99" s="382"/>
      <c r="AI99" s="361">
        <v>0.99754279350368491</v>
      </c>
      <c r="AJ99" s="361">
        <f t="shared" ref="AJ99:AT99" si="34">AJ100/AJ101</f>
        <v>0.99782080630743775</v>
      </c>
      <c r="AK99" s="361">
        <f t="shared" si="34"/>
        <v>0.99722258382182405</v>
      </c>
      <c r="AL99" s="361">
        <f t="shared" si="34"/>
        <v>0.99597279632588109</v>
      </c>
      <c r="AM99" s="361">
        <f t="shared" si="34"/>
        <v>0.99759427503541132</v>
      </c>
      <c r="AN99" s="361" t="e">
        <f t="shared" si="34"/>
        <v>#DIV/0!</v>
      </c>
      <c r="AO99" s="361" t="e">
        <f t="shared" si="34"/>
        <v>#DIV/0!</v>
      </c>
      <c r="AP99" s="361" t="e">
        <f t="shared" si="34"/>
        <v>#DIV/0!</v>
      </c>
      <c r="AQ99" s="361" t="e">
        <f t="shared" si="34"/>
        <v>#DIV/0!</v>
      </c>
      <c r="AR99" s="361" t="e">
        <f t="shared" si="34"/>
        <v>#DIV/0!</v>
      </c>
      <c r="AS99" s="361" t="e">
        <f t="shared" si="34"/>
        <v>#DIV/0!</v>
      </c>
      <c r="AT99" s="362" t="e">
        <f t="shared" si="34"/>
        <v>#DIV/0!</v>
      </c>
    </row>
    <row r="100" spans="32:46">
      <c r="AF100" s="160"/>
      <c r="AG100" s="161" t="s">
        <v>12</v>
      </c>
      <c r="AH100" s="385"/>
      <c r="AI100" s="386">
        <v>2894945</v>
      </c>
      <c r="AJ100" s="549">
        <v>8644417</v>
      </c>
      <c r="AK100" s="455">
        <v>9031824</v>
      </c>
      <c r="AL100" s="457">
        <v>7352069</v>
      </c>
      <c r="AM100" s="662">
        <v>5072306</v>
      </c>
      <c r="AN100" s="550"/>
      <c r="AO100" s="457"/>
      <c r="AP100" s="337"/>
      <c r="AQ100" s="551"/>
      <c r="AR100" s="457"/>
      <c r="AS100" s="457"/>
      <c r="AT100" s="460"/>
    </row>
    <row r="101" spans="32:46">
      <c r="AF101" s="160"/>
      <c r="AG101" s="161" t="s">
        <v>13</v>
      </c>
      <c r="AH101" s="369"/>
      <c r="AI101" s="386">
        <v>2902076</v>
      </c>
      <c r="AJ101" s="549">
        <v>8663296</v>
      </c>
      <c r="AK101" s="455">
        <v>9056979</v>
      </c>
      <c r="AL101" s="457">
        <v>7381797</v>
      </c>
      <c r="AM101" s="663">
        <v>5084538</v>
      </c>
      <c r="AN101" s="552"/>
      <c r="AO101" s="457"/>
      <c r="AP101" s="337"/>
      <c r="AQ101" s="551"/>
      <c r="AR101" s="457"/>
      <c r="AS101" s="457"/>
      <c r="AT101" s="460"/>
    </row>
    <row r="102" spans="32:46">
      <c r="AF102" s="160"/>
      <c r="AG102" s="161" t="s">
        <v>14</v>
      </c>
      <c r="AH102" s="369"/>
      <c r="AI102" s="386">
        <v>7131</v>
      </c>
      <c r="AJ102" s="549">
        <v>18879</v>
      </c>
      <c r="AK102" s="455">
        <f>AK101-AK100</f>
        <v>25155</v>
      </c>
      <c r="AL102" s="457">
        <v>29728</v>
      </c>
      <c r="AM102" s="664">
        <f>AM101-AM100</f>
        <v>12232</v>
      </c>
      <c r="AN102" s="462"/>
      <c r="AO102" s="457"/>
      <c r="AP102" s="337"/>
      <c r="AQ102" s="551"/>
      <c r="AR102" s="457"/>
      <c r="AS102" s="457"/>
      <c r="AT102" s="460"/>
    </row>
    <row r="103" spans="32:46">
      <c r="AF103" s="353" t="s">
        <v>5</v>
      </c>
      <c r="AG103" s="354"/>
      <c r="AI103" s="398">
        <v>33.11488113962681</v>
      </c>
      <c r="AJ103" s="398">
        <f t="shared" ref="AJ103:AT103" si="35">(AJ98-AJ97)/(AJ94-AJ97)</f>
        <v>31.860897657121875</v>
      </c>
      <c r="AK103" s="398">
        <f t="shared" si="35"/>
        <v>-0.71252030003551359</v>
      </c>
      <c r="AL103" s="398">
        <f t="shared" si="35"/>
        <v>-34.93221121428153</v>
      </c>
      <c r="AM103" s="398">
        <f t="shared" si="35"/>
        <v>7.7565145411656689</v>
      </c>
      <c r="AN103" s="398" t="e">
        <f t="shared" si="35"/>
        <v>#DIV/0!</v>
      </c>
      <c r="AO103" s="398" t="e">
        <f t="shared" si="35"/>
        <v>#DIV/0!</v>
      </c>
      <c r="AP103" s="398" t="e">
        <f t="shared" si="35"/>
        <v>#DIV/0!</v>
      </c>
      <c r="AQ103" s="398" t="e">
        <f t="shared" si="35"/>
        <v>#DIV/0!</v>
      </c>
      <c r="AR103" s="398" t="e">
        <f t="shared" si="35"/>
        <v>#DIV/0!</v>
      </c>
      <c r="AS103" s="398" t="e">
        <f t="shared" si="35"/>
        <v>#DIV/0!</v>
      </c>
      <c r="AT103" s="402" t="e">
        <f t="shared" si="35"/>
        <v>#DIV/0!</v>
      </c>
    </row>
    <row r="104" spans="32:46">
      <c r="AF104" s="390" t="s">
        <v>6</v>
      </c>
      <c r="AG104" s="354"/>
      <c r="AI104" s="363">
        <v>1</v>
      </c>
      <c r="AJ104" s="363">
        <f>IF(OR(AJ103&gt;=100%),100%,IF(OR(AJ103&lt;=0%),0%,AVERAGE(AJ103)))</f>
        <v>1</v>
      </c>
      <c r="AK104" s="363">
        <f t="shared" ref="AK104:AT104" si="36">IF(OR(AK103&gt;=100%),100%,IF(OR(AK103&lt;=0%),0%,AVERAGE(AK103)))</f>
        <v>0</v>
      </c>
      <c r="AL104" s="363">
        <f t="shared" si="36"/>
        <v>0</v>
      </c>
      <c r="AM104" s="363">
        <f t="shared" si="36"/>
        <v>1</v>
      </c>
      <c r="AN104" s="363" t="e">
        <f t="shared" si="36"/>
        <v>#DIV/0!</v>
      </c>
      <c r="AO104" s="363" t="e">
        <f t="shared" si="36"/>
        <v>#DIV/0!</v>
      </c>
      <c r="AP104" s="363" t="e">
        <f t="shared" si="36"/>
        <v>#DIV/0!</v>
      </c>
      <c r="AQ104" s="363" t="e">
        <f t="shared" si="36"/>
        <v>#DIV/0!</v>
      </c>
      <c r="AR104" s="363" t="e">
        <f t="shared" si="36"/>
        <v>#DIV/0!</v>
      </c>
      <c r="AS104" s="363" t="e">
        <f t="shared" si="36"/>
        <v>#DIV/0!</v>
      </c>
      <c r="AT104" s="364" t="e">
        <f t="shared" si="36"/>
        <v>#DIV/0!</v>
      </c>
    </row>
    <row r="105" spans="32:46">
      <c r="AF105" s="717" t="s">
        <v>7</v>
      </c>
      <c r="AG105" s="718"/>
      <c r="AI105" s="365">
        <v>0.15</v>
      </c>
      <c r="AJ105" s="365">
        <f t="shared" ref="AJ105:AT105" si="37">AJ104*0.15</f>
        <v>0.15</v>
      </c>
      <c r="AK105" s="365">
        <f t="shared" si="37"/>
        <v>0</v>
      </c>
      <c r="AL105" s="365">
        <f t="shared" si="37"/>
        <v>0</v>
      </c>
      <c r="AM105" s="365">
        <f t="shared" si="37"/>
        <v>0.15</v>
      </c>
      <c r="AN105" s="365" t="e">
        <f t="shared" si="37"/>
        <v>#DIV/0!</v>
      </c>
      <c r="AO105" s="365" t="e">
        <f t="shared" si="37"/>
        <v>#DIV/0!</v>
      </c>
      <c r="AP105" s="365" t="e">
        <f t="shared" si="37"/>
        <v>#DIV/0!</v>
      </c>
      <c r="AQ105" s="365" t="e">
        <f t="shared" si="37"/>
        <v>#DIV/0!</v>
      </c>
      <c r="AR105" s="365" t="e">
        <f t="shared" si="37"/>
        <v>#DIV/0!</v>
      </c>
      <c r="AS105" s="365" t="e">
        <f t="shared" si="37"/>
        <v>#DIV/0!</v>
      </c>
      <c r="AT105" s="366" t="e">
        <f t="shared" si="37"/>
        <v>#DIV/0!</v>
      </c>
    </row>
    <row r="106" spans="32:46">
      <c r="AF106" s="367"/>
      <c r="AG106" s="368"/>
      <c r="AH106" s="368"/>
      <c r="AI106" s="368"/>
      <c r="AJ106" s="368"/>
      <c r="AK106" s="368"/>
      <c r="AL106" s="368"/>
      <c r="AM106" s="368"/>
      <c r="AN106" s="368"/>
      <c r="AO106" s="368"/>
      <c r="AP106" s="368"/>
      <c r="AQ106" s="368"/>
      <c r="AR106" s="368"/>
      <c r="AS106" s="368"/>
      <c r="AT106" s="391"/>
    </row>
    <row r="107" spans="32:46">
      <c r="AF107" s="367"/>
      <c r="AG107" s="368"/>
      <c r="AH107" s="368"/>
      <c r="AI107" s="368"/>
      <c r="AJ107" s="368"/>
      <c r="AK107" s="368"/>
      <c r="AL107" s="368"/>
      <c r="AM107" s="368"/>
      <c r="AN107" s="368"/>
      <c r="AO107" s="368"/>
      <c r="AP107" s="368"/>
      <c r="AQ107" s="368"/>
      <c r="AR107" s="368"/>
      <c r="AS107" s="368"/>
      <c r="AT107" s="391"/>
    </row>
    <row r="108" spans="32:46">
      <c r="AF108" s="341" t="s">
        <v>99</v>
      </c>
      <c r="AH108" s="547">
        <v>45352</v>
      </c>
      <c r="AI108" s="547">
        <v>45383</v>
      </c>
      <c r="AJ108" s="547">
        <v>45413</v>
      </c>
      <c r="AK108" s="547">
        <v>45444</v>
      </c>
      <c r="AL108" s="547">
        <v>45474</v>
      </c>
      <c r="AM108" s="547">
        <v>45505</v>
      </c>
      <c r="AN108" s="547">
        <v>45536</v>
      </c>
      <c r="AO108" s="547">
        <v>45566</v>
      </c>
      <c r="AP108" s="547">
        <v>45597</v>
      </c>
      <c r="AQ108" s="547">
        <v>45627</v>
      </c>
      <c r="AR108" s="547">
        <v>45658</v>
      </c>
      <c r="AS108" s="547">
        <v>45689</v>
      </c>
      <c r="AT108" s="548">
        <v>45717</v>
      </c>
    </row>
    <row r="109" spans="32:46">
      <c r="AF109" s="344">
        <f>(AT109-AH109)/12</f>
        <v>1.6666666666664831E-5</v>
      </c>
      <c r="AG109" s="373" t="s">
        <v>2</v>
      </c>
      <c r="AH109" s="392">
        <f>$AT$112</f>
        <v>0.99719999999999998</v>
      </c>
      <c r="AI109" s="394">
        <v>0.99721666666666664</v>
      </c>
      <c r="AJ109" s="394">
        <f t="shared" ref="AJ109:AS109" si="38">++AI109+$AF$109</f>
        <v>0.9972333333333333</v>
      </c>
      <c r="AK109" s="394">
        <f t="shared" si="38"/>
        <v>0.99724999999999997</v>
      </c>
      <c r="AL109" s="394">
        <f t="shared" si="38"/>
        <v>0.99726666666666663</v>
      </c>
      <c r="AM109" s="394">
        <f t="shared" si="38"/>
        <v>0.9972833333333333</v>
      </c>
      <c r="AN109" s="394">
        <f t="shared" si="38"/>
        <v>0.99729999999999996</v>
      </c>
      <c r="AO109" s="394">
        <f t="shared" si="38"/>
        <v>0.99731666666666663</v>
      </c>
      <c r="AP109" s="394">
        <f t="shared" si="38"/>
        <v>0.99733333333333329</v>
      </c>
      <c r="AQ109" s="394">
        <f t="shared" si="38"/>
        <v>0.99734999999999996</v>
      </c>
      <c r="AR109" s="394">
        <f t="shared" si="38"/>
        <v>0.99736666666666662</v>
      </c>
      <c r="AS109" s="394">
        <f t="shared" si="38"/>
        <v>0.99738333333333329</v>
      </c>
      <c r="AT109" s="393">
        <v>0.99739999999999995</v>
      </c>
    </row>
    <row r="110" spans="32:46">
      <c r="AF110" s="344">
        <f>(AT110-AH110)/12</f>
        <v>1.3333333333328165E-5</v>
      </c>
      <c r="AG110" s="376" t="s">
        <v>2</v>
      </c>
      <c r="AH110" s="392">
        <f>$AT$112</f>
        <v>0.99719999999999998</v>
      </c>
      <c r="AI110" s="394">
        <v>0.99721333333333328</v>
      </c>
      <c r="AJ110" s="394">
        <f t="shared" ref="AJ110:AS110" si="39">AI110+$AF$110</f>
        <v>0.99722666666666659</v>
      </c>
      <c r="AK110" s="394">
        <f t="shared" si="39"/>
        <v>0.9972399999999999</v>
      </c>
      <c r="AL110" s="394">
        <f t="shared" si="39"/>
        <v>0.99725333333333321</v>
      </c>
      <c r="AM110" s="394">
        <f t="shared" si="39"/>
        <v>0.99726666666666652</v>
      </c>
      <c r="AN110" s="394">
        <f t="shared" si="39"/>
        <v>0.99727999999999983</v>
      </c>
      <c r="AO110" s="394">
        <f t="shared" si="39"/>
        <v>0.99729333333333314</v>
      </c>
      <c r="AP110" s="394">
        <f t="shared" si="39"/>
        <v>0.99730666666666645</v>
      </c>
      <c r="AQ110" s="394">
        <f t="shared" si="39"/>
        <v>0.99731999999999976</v>
      </c>
      <c r="AR110" s="394">
        <f t="shared" si="39"/>
        <v>0.99733333333333307</v>
      </c>
      <c r="AS110" s="394">
        <f t="shared" si="39"/>
        <v>0.99734666666666638</v>
      </c>
      <c r="AT110" s="395">
        <f>AT109-(AT109-AT112)*0.2</f>
        <v>0.99735999999999991</v>
      </c>
    </row>
    <row r="111" spans="32:46">
      <c r="AF111" s="344">
        <f>(AT111-AH111)/12</f>
        <v>8.3333333333324155E-6</v>
      </c>
      <c r="AG111" s="378" t="s">
        <v>2</v>
      </c>
      <c r="AH111" s="392">
        <f>$AT$112</f>
        <v>0.99719999999999998</v>
      </c>
      <c r="AI111" s="394">
        <v>0.99720833333333325</v>
      </c>
      <c r="AJ111" s="394">
        <f t="shared" ref="AJ111:AS111" si="40">++AI111+$AF$111</f>
        <v>0.99721666666666664</v>
      </c>
      <c r="AK111" s="394">
        <f t="shared" si="40"/>
        <v>0.99722500000000003</v>
      </c>
      <c r="AL111" s="394">
        <f t="shared" si="40"/>
        <v>0.99723333333333342</v>
      </c>
      <c r="AM111" s="394">
        <f t="shared" si="40"/>
        <v>0.9972416666666668</v>
      </c>
      <c r="AN111" s="394">
        <f t="shared" si="40"/>
        <v>0.99725000000000019</v>
      </c>
      <c r="AO111" s="394">
        <f t="shared" si="40"/>
        <v>0.99725833333333358</v>
      </c>
      <c r="AP111" s="394">
        <f t="shared" si="40"/>
        <v>0.99726666666666697</v>
      </c>
      <c r="AQ111" s="394">
        <f t="shared" si="40"/>
        <v>0.99727500000000036</v>
      </c>
      <c r="AR111" s="394">
        <f t="shared" si="40"/>
        <v>0.99728333333333374</v>
      </c>
      <c r="AS111" s="394">
        <f t="shared" si="40"/>
        <v>0.99729166666666713</v>
      </c>
      <c r="AT111" s="396">
        <f>AT109-(AT109-AT112)*0.5</f>
        <v>0.99729999999999996</v>
      </c>
    </row>
    <row r="112" spans="32:46">
      <c r="AF112" s="344">
        <f>(AT112-AH112)/12</f>
        <v>0</v>
      </c>
      <c r="AG112" s="355"/>
      <c r="AH112" s="392">
        <f>$AT$112</f>
        <v>0.99719999999999998</v>
      </c>
      <c r="AI112" s="392">
        <v>0.99719999999999998</v>
      </c>
      <c r="AJ112" s="392">
        <f t="shared" ref="AJ112:AS112" si="41">$AT$112</f>
        <v>0.99719999999999998</v>
      </c>
      <c r="AK112" s="392">
        <f t="shared" si="41"/>
        <v>0.99719999999999998</v>
      </c>
      <c r="AL112" s="392">
        <f t="shared" si="41"/>
        <v>0.99719999999999998</v>
      </c>
      <c r="AM112" s="392">
        <f t="shared" si="41"/>
        <v>0.99719999999999998</v>
      </c>
      <c r="AN112" s="392">
        <f t="shared" si="41"/>
        <v>0.99719999999999998</v>
      </c>
      <c r="AO112" s="392">
        <f t="shared" si="41"/>
        <v>0.99719999999999998</v>
      </c>
      <c r="AP112" s="392">
        <f t="shared" si="41"/>
        <v>0.99719999999999998</v>
      </c>
      <c r="AQ112" s="392">
        <f t="shared" si="41"/>
        <v>0.99719999999999998</v>
      </c>
      <c r="AR112" s="392">
        <f t="shared" si="41"/>
        <v>0.99719999999999998</v>
      </c>
      <c r="AS112" s="392">
        <f t="shared" si="41"/>
        <v>0.99719999999999998</v>
      </c>
      <c r="AT112" s="397">
        <v>0.99719999999999998</v>
      </c>
    </row>
    <row r="113" spans="32:46">
      <c r="AF113" s="353" t="s">
        <v>4</v>
      </c>
      <c r="AG113" s="354"/>
      <c r="AH113" s="398"/>
      <c r="AI113" s="361">
        <v>0.99754279350368491</v>
      </c>
      <c r="AJ113" s="361">
        <f t="shared" ref="AJ113:AT113" si="42">AJ114/AJ115</f>
        <v>0.99782080630743775</v>
      </c>
      <c r="AK113" s="361">
        <f t="shared" si="42"/>
        <v>0.99722258382182405</v>
      </c>
      <c r="AL113" s="361">
        <f t="shared" si="42"/>
        <v>0.99597279632588109</v>
      </c>
      <c r="AM113" s="361">
        <f t="shared" si="42"/>
        <v>0.99759427503541132</v>
      </c>
      <c r="AN113" s="361" t="e">
        <f t="shared" si="42"/>
        <v>#DIV/0!</v>
      </c>
      <c r="AO113" s="361" t="e">
        <f t="shared" si="42"/>
        <v>#DIV/0!</v>
      </c>
      <c r="AP113" s="361" t="e">
        <f t="shared" si="42"/>
        <v>#DIV/0!</v>
      </c>
      <c r="AQ113" s="361" t="e">
        <f t="shared" si="42"/>
        <v>#DIV/0!</v>
      </c>
      <c r="AR113" s="361" t="e">
        <f t="shared" si="42"/>
        <v>#DIV/0!</v>
      </c>
      <c r="AS113" s="361" t="e">
        <f t="shared" si="42"/>
        <v>#DIV/0!</v>
      </c>
      <c r="AT113" s="362" t="e">
        <f t="shared" si="42"/>
        <v>#DIV/0!</v>
      </c>
    </row>
    <row r="114" spans="32:46">
      <c r="AF114" s="715" t="s">
        <v>16</v>
      </c>
      <c r="AG114" s="716"/>
      <c r="AH114" s="399"/>
      <c r="AI114" s="400">
        <v>2894945</v>
      </c>
      <c r="AJ114" s="400">
        <f t="shared" ref="AJ114:AT115" si="43">AJ100</f>
        <v>8644417</v>
      </c>
      <c r="AK114" s="400">
        <f t="shared" si="43"/>
        <v>9031824</v>
      </c>
      <c r="AL114" s="400">
        <f t="shared" si="43"/>
        <v>7352069</v>
      </c>
      <c r="AM114" s="400">
        <f t="shared" si="43"/>
        <v>5072306</v>
      </c>
      <c r="AN114" s="400">
        <f t="shared" si="43"/>
        <v>0</v>
      </c>
      <c r="AO114" s="400">
        <f t="shared" si="43"/>
        <v>0</v>
      </c>
      <c r="AP114" s="400">
        <f t="shared" si="43"/>
        <v>0</v>
      </c>
      <c r="AQ114" s="400">
        <f t="shared" si="43"/>
        <v>0</v>
      </c>
      <c r="AR114" s="400">
        <f t="shared" si="43"/>
        <v>0</v>
      </c>
      <c r="AS114" s="400">
        <f t="shared" si="43"/>
        <v>0</v>
      </c>
      <c r="AT114" s="401">
        <f t="shared" si="43"/>
        <v>0</v>
      </c>
    </row>
    <row r="115" spans="32:46">
      <c r="AF115" s="715" t="s">
        <v>17</v>
      </c>
      <c r="AG115" s="716"/>
      <c r="AH115" s="399"/>
      <c r="AI115" s="400">
        <v>2902076</v>
      </c>
      <c r="AJ115" s="400">
        <f t="shared" si="43"/>
        <v>8663296</v>
      </c>
      <c r="AK115" s="400">
        <f t="shared" si="43"/>
        <v>9056979</v>
      </c>
      <c r="AL115" s="400">
        <f t="shared" si="43"/>
        <v>7381797</v>
      </c>
      <c r="AM115" s="400">
        <f t="shared" si="43"/>
        <v>5084538</v>
      </c>
      <c r="AN115" s="400">
        <f t="shared" si="43"/>
        <v>0</v>
      </c>
      <c r="AO115" s="400">
        <f t="shared" si="43"/>
        <v>0</v>
      </c>
      <c r="AP115" s="400">
        <f t="shared" si="43"/>
        <v>0</v>
      </c>
      <c r="AQ115" s="400">
        <f t="shared" si="43"/>
        <v>0</v>
      </c>
      <c r="AR115" s="400">
        <f t="shared" si="43"/>
        <v>0</v>
      </c>
      <c r="AS115" s="400">
        <f t="shared" si="43"/>
        <v>0</v>
      </c>
      <c r="AT115" s="401">
        <f t="shared" si="43"/>
        <v>0</v>
      </c>
    </row>
    <row r="116" spans="32:46">
      <c r="AF116" s="390" t="s">
        <v>5</v>
      </c>
      <c r="AG116" s="354"/>
      <c r="AI116" s="361">
        <v>20.567610221098366</v>
      </c>
      <c r="AJ116" s="361">
        <f>(AJ113-AJ112)/(AJ109-AJ112)</f>
        <v>18.624189223135186</v>
      </c>
      <c r="AK116" s="361">
        <f>(AK113-AK112)/(AK109-AK112)</f>
        <v>0.45167643648152378</v>
      </c>
      <c r="AL116" s="361">
        <f>(AL113-AL112)/(AL109-AL112)</f>
        <v>-18.408055111785256</v>
      </c>
      <c r="AM116" s="361">
        <f t="shared" ref="AM116:AT116" si="44">(AM113-AM112)/(AM109-AM112)</f>
        <v>4.7313004249366015</v>
      </c>
      <c r="AN116" s="361" t="e">
        <f t="shared" si="44"/>
        <v>#DIV/0!</v>
      </c>
      <c r="AO116" s="361" t="e">
        <f t="shared" si="44"/>
        <v>#DIV/0!</v>
      </c>
      <c r="AP116" s="361" t="e">
        <f t="shared" si="44"/>
        <v>#DIV/0!</v>
      </c>
      <c r="AQ116" s="361" t="e">
        <f t="shared" si="44"/>
        <v>#DIV/0!</v>
      </c>
      <c r="AR116" s="361" t="e">
        <f t="shared" si="44"/>
        <v>#DIV/0!</v>
      </c>
      <c r="AS116" s="361" t="e">
        <f t="shared" si="44"/>
        <v>#DIV/0!</v>
      </c>
      <c r="AT116" s="362" t="e">
        <f t="shared" si="44"/>
        <v>#DIV/0!</v>
      </c>
    </row>
    <row r="117" spans="32:46">
      <c r="AF117" s="390" t="s">
        <v>6</v>
      </c>
      <c r="AG117" s="354"/>
      <c r="AI117" s="363">
        <v>1</v>
      </c>
      <c r="AJ117" s="363">
        <f t="shared" ref="AJ117:AT117" si="45">IF(OR(AJ116&gt;=100%),100%,IF(OR(AJ116&lt;=0%),0%,AVERAGE(AJ116)))</f>
        <v>1</v>
      </c>
      <c r="AK117" s="363">
        <f t="shared" si="45"/>
        <v>0.45167643648152378</v>
      </c>
      <c r="AL117" s="363">
        <f t="shared" si="45"/>
        <v>0</v>
      </c>
      <c r="AM117" s="363">
        <f t="shared" si="45"/>
        <v>1</v>
      </c>
      <c r="AN117" s="363" t="e">
        <f t="shared" si="45"/>
        <v>#DIV/0!</v>
      </c>
      <c r="AO117" s="363" t="e">
        <f t="shared" si="45"/>
        <v>#DIV/0!</v>
      </c>
      <c r="AP117" s="363" t="e">
        <f t="shared" si="45"/>
        <v>#DIV/0!</v>
      </c>
      <c r="AQ117" s="363" t="e">
        <f t="shared" si="45"/>
        <v>#DIV/0!</v>
      </c>
      <c r="AR117" s="363" t="e">
        <f t="shared" si="45"/>
        <v>#DIV/0!</v>
      </c>
      <c r="AS117" s="363" t="e">
        <f t="shared" si="45"/>
        <v>#DIV/0!</v>
      </c>
      <c r="AT117" s="364" t="e">
        <f t="shared" si="45"/>
        <v>#DIV/0!</v>
      </c>
    </row>
    <row r="118" spans="32:46">
      <c r="AF118" s="717" t="s">
        <v>7</v>
      </c>
      <c r="AG118" s="718"/>
      <c r="AI118" s="365">
        <v>0.2</v>
      </c>
      <c r="AJ118" s="365">
        <f t="shared" ref="AJ118:AT118" si="46">AJ117*0.2</f>
        <v>0.2</v>
      </c>
      <c r="AK118" s="365">
        <f t="shared" si="46"/>
        <v>9.0335287296304759E-2</v>
      </c>
      <c r="AL118" s="365">
        <f t="shared" si="46"/>
        <v>0</v>
      </c>
      <c r="AM118" s="365">
        <f t="shared" si="46"/>
        <v>0.2</v>
      </c>
      <c r="AN118" s="365" t="e">
        <f t="shared" si="46"/>
        <v>#DIV/0!</v>
      </c>
      <c r="AO118" s="365" t="e">
        <f t="shared" si="46"/>
        <v>#DIV/0!</v>
      </c>
      <c r="AP118" s="365" t="e">
        <f t="shared" si="46"/>
        <v>#DIV/0!</v>
      </c>
      <c r="AQ118" s="365" t="e">
        <f t="shared" si="46"/>
        <v>#DIV/0!</v>
      </c>
      <c r="AR118" s="365" t="e">
        <f t="shared" si="46"/>
        <v>#DIV/0!</v>
      </c>
      <c r="AS118" s="365" t="e">
        <f t="shared" si="46"/>
        <v>#DIV/0!</v>
      </c>
      <c r="AT118" s="366" t="e">
        <f t="shared" si="46"/>
        <v>#DIV/0!</v>
      </c>
    </row>
    <row r="119" spans="32:46">
      <c r="AF119" s="367"/>
      <c r="AG119" s="368"/>
      <c r="AH119" s="368"/>
      <c r="AI119" s="368"/>
      <c r="AJ119" s="368"/>
      <c r="AK119" s="368"/>
      <c r="AL119" s="368"/>
      <c r="AM119" s="368"/>
      <c r="AN119" s="368"/>
      <c r="AO119" s="368"/>
      <c r="AP119" s="368"/>
      <c r="AQ119" s="368"/>
      <c r="AR119" s="368"/>
      <c r="AS119" s="368"/>
      <c r="AT119" s="391"/>
    </row>
    <row r="120" spans="32:46">
      <c r="AF120" s="367"/>
      <c r="AG120" s="368"/>
      <c r="AH120" s="368"/>
      <c r="AI120" s="368"/>
      <c r="AJ120" s="368"/>
      <c r="AK120" s="368"/>
      <c r="AL120" s="368"/>
      <c r="AM120" s="368"/>
      <c r="AN120" s="368"/>
      <c r="AO120" s="368"/>
      <c r="AP120" s="368"/>
      <c r="AQ120" s="368"/>
      <c r="AR120" s="368"/>
      <c r="AS120" s="368"/>
      <c r="AT120" s="391"/>
    </row>
    <row r="121" spans="32:46">
      <c r="AF121" s="717" t="s">
        <v>26</v>
      </c>
      <c r="AG121" s="718"/>
      <c r="AH121" s="403"/>
      <c r="AI121" s="475">
        <v>2.1989200000000002</v>
      </c>
      <c r="AJ121" s="475">
        <v>1.44</v>
      </c>
      <c r="AK121" s="475">
        <v>0.50622</v>
      </c>
      <c r="AL121" s="475">
        <v>0.84</v>
      </c>
      <c r="AM121" s="476">
        <v>2.6502400000000002</v>
      </c>
      <c r="AN121" s="476"/>
      <c r="AO121" s="476"/>
      <c r="AP121" s="476"/>
      <c r="AQ121" s="476"/>
      <c r="AR121" s="476"/>
      <c r="AS121" s="476"/>
      <c r="AT121" s="477"/>
    </row>
    <row r="122" spans="32:46">
      <c r="AF122" s="405"/>
      <c r="AJ122" s="368"/>
      <c r="AT122" s="406"/>
    </row>
    <row r="123" spans="32:46">
      <c r="AF123" s="405"/>
      <c r="AJ123" s="368"/>
      <c r="AT123" s="406"/>
    </row>
    <row r="124" spans="32:46">
      <c r="AF124" s="341" t="s">
        <v>100</v>
      </c>
      <c r="AH124" s="547">
        <v>45352</v>
      </c>
      <c r="AI124" s="547">
        <v>45383</v>
      </c>
      <c r="AJ124" s="547">
        <v>45413</v>
      </c>
      <c r="AK124" s="547">
        <v>45444</v>
      </c>
      <c r="AL124" s="547">
        <v>45474</v>
      </c>
      <c r="AM124" s="547">
        <v>45505</v>
      </c>
      <c r="AN124" s="547">
        <v>45536</v>
      </c>
      <c r="AO124" s="547">
        <v>45566</v>
      </c>
      <c r="AP124" s="547">
        <v>45597</v>
      </c>
      <c r="AQ124" s="547">
        <v>45627</v>
      </c>
      <c r="AR124" s="547">
        <v>45658</v>
      </c>
      <c r="AS124" s="547">
        <v>45689</v>
      </c>
      <c r="AT124" s="548">
        <v>45717</v>
      </c>
    </row>
    <row r="125" spans="32:46">
      <c r="AF125" s="372">
        <f>(AT125-AH125)/12</f>
        <v>0</v>
      </c>
      <c r="AG125" s="355"/>
      <c r="AH125" s="392">
        <f t="shared" ref="AH125:AS125" si="47">$AT$125</f>
        <v>5.0000000000000001E-3</v>
      </c>
      <c r="AI125" s="392">
        <v>5.0000000000000001E-3</v>
      </c>
      <c r="AJ125" s="392">
        <f t="shared" si="47"/>
        <v>5.0000000000000001E-3</v>
      </c>
      <c r="AK125" s="392">
        <f t="shared" si="47"/>
        <v>5.0000000000000001E-3</v>
      </c>
      <c r="AL125" s="392">
        <f t="shared" si="47"/>
        <v>5.0000000000000001E-3</v>
      </c>
      <c r="AM125" s="392">
        <f t="shared" si="47"/>
        <v>5.0000000000000001E-3</v>
      </c>
      <c r="AN125" s="392">
        <f t="shared" si="47"/>
        <v>5.0000000000000001E-3</v>
      </c>
      <c r="AO125" s="392">
        <f t="shared" si="47"/>
        <v>5.0000000000000001E-3</v>
      </c>
      <c r="AP125" s="392">
        <f t="shared" si="47"/>
        <v>5.0000000000000001E-3</v>
      </c>
      <c r="AQ125" s="392">
        <f t="shared" si="47"/>
        <v>5.0000000000000001E-3</v>
      </c>
      <c r="AR125" s="392">
        <f t="shared" si="47"/>
        <v>5.0000000000000001E-3</v>
      </c>
      <c r="AS125" s="392">
        <f t="shared" si="47"/>
        <v>5.0000000000000001E-3</v>
      </c>
      <c r="AT125" s="362">
        <v>5.0000000000000001E-3</v>
      </c>
    </row>
    <row r="126" spans="32:46">
      <c r="AF126" s="372">
        <f>(AT126-AH126)/12</f>
        <v>-1.9583333333333334E-4</v>
      </c>
      <c r="AG126" s="378" t="s">
        <v>2</v>
      </c>
      <c r="AH126" s="392">
        <f>$AT$125</f>
        <v>5.0000000000000001E-3</v>
      </c>
      <c r="AI126" s="392">
        <v>4.8041666666666667E-3</v>
      </c>
      <c r="AJ126" s="392">
        <f t="shared" ref="AJ126:AS126" si="48">++AI126+$AF$126</f>
        <v>4.6083333333333332E-3</v>
      </c>
      <c r="AK126" s="392">
        <f t="shared" si="48"/>
        <v>4.4124999999999998E-3</v>
      </c>
      <c r="AL126" s="392">
        <f t="shared" si="48"/>
        <v>4.2166666666666663E-3</v>
      </c>
      <c r="AM126" s="392">
        <f t="shared" si="48"/>
        <v>4.0208333333333329E-3</v>
      </c>
      <c r="AN126" s="392">
        <f t="shared" si="48"/>
        <v>3.8249999999999994E-3</v>
      </c>
      <c r="AO126" s="392">
        <f t="shared" si="48"/>
        <v>3.629166666666666E-3</v>
      </c>
      <c r="AP126" s="392">
        <f t="shared" si="48"/>
        <v>3.4333333333333325E-3</v>
      </c>
      <c r="AQ126" s="392">
        <f t="shared" si="48"/>
        <v>3.2374999999999991E-3</v>
      </c>
      <c r="AR126" s="392">
        <f t="shared" si="48"/>
        <v>3.0416666666666656E-3</v>
      </c>
      <c r="AS126" s="392">
        <f t="shared" si="48"/>
        <v>2.8458333333333322E-3</v>
      </c>
      <c r="AT126" s="407">
        <v>2.65E-3</v>
      </c>
    </row>
    <row r="127" spans="32:46">
      <c r="AF127" s="372">
        <f>(AT127-AH127)/12</f>
        <v>-1.9333333333333333E-4</v>
      </c>
      <c r="AG127" s="376" t="s">
        <v>2</v>
      </c>
      <c r="AH127" s="392">
        <f>$AT$125</f>
        <v>5.0000000000000001E-3</v>
      </c>
      <c r="AI127" s="392">
        <v>4.8066666666666666E-3</v>
      </c>
      <c r="AJ127" s="392">
        <f t="shared" ref="AJ127:AS127" si="49">++AI127+$AF$127</f>
        <v>4.613333333333333E-3</v>
      </c>
      <c r="AK127" s="392">
        <f t="shared" si="49"/>
        <v>4.4199999999999995E-3</v>
      </c>
      <c r="AL127" s="392">
        <f t="shared" si="49"/>
        <v>4.2266666666666659E-3</v>
      </c>
      <c r="AM127" s="392">
        <f t="shared" si="49"/>
        <v>4.0333333333333323E-3</v>
      </c>
      <c r="AN127" s="392">
        <f t="shared" si="49"/>
        <v>3.8399999999999988E-3</v>
      </c>
      <c r="AO127" s="392">
        <f t="shared" si="49"/>
        <v>3.6466666666666652E-3</v>
      </c>
      <c r="AP127" s="392">
        <f t="shared" si="49"/>
        <v>3.4533333333333317E-3</v>
      </c>
      <c r="AQ127" s="392">
        <f t="shared" si="49"/>
        <v>3.2599999999999981E-3</v>
      </c>
      <c r="AR127" s="392">
        <f t="shared" si="49"/>
        <v>3.0666666666666646E-3</v>
      </c>
      <c r="AS127" s="392">
        <f t="shared" si="49"/>
        <v>2.873333333333331E-3</v>
      </c>
      <c r="AT127" s="408">
        <v>2.6800000000000001E-3</v>
      </c>
    </row>
    <row r="128" spans="32:46">
      <c r="AF128" s="372">
        <f>(AT128-AH128)/12</f>
        <v>-4.1666666666666706E-5</v>
      </c>
      <c r="AG128" s="373" t="s">
        <v>2</v>
      </c>
      <c r="AH128" s="392">
        <f>$AT$125</f>
        <v>5.0000000000000001E-3</v>
      </c>
      <c r="AI128" s="392">
        <v>4.9583333333333337E-3</v>
      </c>
      <c r="AJ128" s="392">
        <f t="shared" ref="AJ128:AS128" si="50">++AI128+$AF$128</f>
        <v>4.9166666666666673E-3</v>
      </c>
      <c r="AK128" s="392">
        <f t="shared" si="50"/>
        <v>4.8750000000000009E-3</v>
      </c>
      <c r="AL128" s="392">
        <f t="shared" si="50"/>
        <v>4.8333333333333344E-3</v>
      </c>
      <c r="AM128" s="392">
        <f t="shared" si="50"/>
        <v>4.791666666666668E-3</v>
      </c>
      <c r="AN128" s="392">
        <f t="shared" si="50"/>
        <v>4.7500000000000016E-3</v>
      </c>
      <c r="AO128" s="392">
        <f t="shared" si="50"/>
        <v>4.7083333333333352E-3</v>
      </c>
      <c r="AP128" s="392">
        <f t="shared" si="50"/>
        <v>4.6666666666666688E-3</v>
      </c>
      <c r="AQ128" s="392">
        <f t="shared" si="50"/>
        <v>4.6250000000000024E-3</v>
      </c>
      <c r="AR128" s="392">
        <f t="shared" si="50"/>
        <v>4.583333333333336E-3</v>
      </c>
      <c r="AS128" s="392">
        <f t="shared" si="50"/>
        <v>4.5416666666666695E-3</v>
      </c>
      <c r="AT128" s="409">
        <v>4.4999999999999997E-3</v>
      </c>
    </row>
    <row r="129" spans="32:46">
      <c r="AF129" s="353" t="s">
        <v>4</v>
      </c>
      <c r="AG129" s="354"/>
      <c r="AH129" s="361"/>
      <c r="AI129" s="361">
        <v>4.6180400648346848E-3</v>
      </c>
      <c r="AJ129" s="361">
        <f t="shared" ref="AJ129:AT129" si="51">AJ121/(AJ130/1000)</f>
        <v>2.1699688368364265E-3</v>
      </c>
      <c r="AK129" s="361">
        <f t="shared" si="51"/>
        <v>8.2977540070487156E-4</v>
      </c>
      <c r="AL129" s="361">
        <f t="shared" si="51"/>
        <v>1.3244266690968845E-3</v>
      </c>
      <c r="AM129" s="361">
        <f t="shared" si="51"/>
        <v>5.741399626036931E-3</v>
      </c>
      <c r="AN129" s="361" t="e">
        <f>AN121/(AN130/1000)</f>
        <v>#DIV/0!</v>
      </c>
      <c r="AO129" s="361" t="e">
        <f t="shared" si="51"/>
        <v>#DIV/0!</v>
      </c>
      <c r="AP129" s="361" t="e">
        <f t="shared" si="51"/>
        <v>#DIV/0!</v>
      </c>
      <c r="AQ129" s="361" t="e">
        <f t="shared" si="51"/>
        <v>#DIV/0!</v>
      </c>
      <c r="AR129" s="361" t="e">
        <f t="shared" si="51"/>
        <v>#DIV/0!</v>
      </c>
      <c r="AS129" s="361" t="e">
        <f t="shared" si="51"/>
        <v>#DIV/0!</v>
      </c>
      <c r="AT129" s="362" t="e">
        <f t="shared" si="51"/>
        <v>#DIV/0!</v>
      </c>
    </row>
    <row r="130" spans="32:46">
      <c r="AF130" s="353" t="s">
        <v>137</v>
      </c>
      <c r="AG130" s="354"/>
      <c r="AH130" s="368"/>
      <c r="AI130" s="553">
        <v>476158.71</v>
      </c>
      <c r="AJ130" s="475">
        <v>663604</v>
      </c>
      <c r="AK130" s="475">
        <v>610068.69999999995</v>
      </c>
      <c r="AL130" s="475">
        <v>634236.69999999995</v>
      </c>
      <c r="AM130" s="475">
        <v>461601.73</v>
      </c>
      <c r="AN130" s="475"/>
      <c r="AO130" s="475"/>
      <c r="AP130" s="475"/>
      <c r="AQ130" s="475"/>
      <c r="AR130" s="475"/>
      <c r="AS130" s="475"/>
      <c r="AT130" s="477"/>
    </row>
    <row r="131" spans="32:46">
      <c r="AF131" s="353" t="s">
        <v>5</v>
      </c>
      <c r="AG131" s="354"/>
      <c r="AI131" s="620">
        <v>9.1670384439676216</v>
      </c>
      <c r="AJ131" s="361">
        <f>(AJ125-AJ129)/(AJ125-AJ128)</f>
        <v>33.960373957963085</v>
      </c>
      <c r="AK131" s="361">
        <f t="shared" ref="AK131:AT131" si="52">(AK125-AK129)/(AK125-AK128)</f>
        <v>33.361796794361233</v>
      </c>
      <c r="AL131" s="398">
        <f>(AL125-AL129)/(AL125-AL128)</f>
        <v>22.053439985418827</v>
      </c>
      <c r="AM131" s="361">
        <f t="shared" si="52"/>
        <v>-3.5587182049772896</v>
      </c>
      <c r="AN131" s="361" t="e">
        <f t="shared" si="52"/>
        <v>#DIV/0!</v>
      </c>
      <c r="AO131" s="361" t="e">
        <f>(AO125-AO129)/(AO125-AO128)</f>
        <v>#DIV/0!</v>
      </c>
      <c r="AP131" s="361" t="e">
        <f t="shared" si="52"/>
        <v>#DIV/0!</v>
      </c>
      <c r="AQ131" s="361" t="e">
        <f t="shared" si="52"/>
        <v>#DIV/0!</v>
      </c>
      <c r="AR131" s="361" t="e">
        <f t="shared" si="52"/>
        <v>#DIV/0!</v>
      </c>
      <c r="AS131" s="361" t="e">
        <f t="shared" si="52"/>
        <v>#DIV/0!</v>
      </c>
      <c r="AT131" s="362" t="e">
        <f t="shared" si="52"/>
        <v>#DIV/0!</v>
      </c>
    </row>
    <row r="132" spans="32:46">
      <c r="AF132" s="390" t="s">
        <v>6</v>
      </c>
      <c r="AG132" s="354"/>
      <c r="AI132" s="554">
        <v>1</v>
      </c>
      <c r="AJ132" s="554">
        <f t="shared" ref="AJ132:AK132" si="53">IF(OR(AJ131&gt;=100%),100%,IF(OR(AJ131&lt;=0%),0%,AVERAGE(AJ131)))</f>
        <v>1</v>
      </c>
      <c r="AK132" s="554">
        <f t="shared" si="53"/>
        <v>1</v>
      </c>
      <c r="AL132" s="554">
        <f>IF(OR(AL131&gt;=100%),100%,IF(OR(AL131&lt;=0%),0%,AVERAGE(AL131)))</f>
        <v>1</v>
      </c>
      <c r="AM132" s="554">
        <f t="shared" ref="AM132" si="54">IF(OR(AM131&gt;=100%),100%,IF(OR(AM131&lt;=0%),0%,AVERAGE(AM131)))</f>
        <v>0</v>
      </c>
      <c r="AN132" s="554" t="e">
        <f t="shared" ref="AN132" si="55">IF(OR(AN131&gt;=100%),100%,IF(OR(AN131&lt;=0%),0%,AVERAGE(AN131)))</f>
        <v>#DIV/0!</v>
      </c>
      <c r="AO132" s="554" t="e">
        <f t="shared" ref="AO132" si="56">IF(OR(AO131&gt;=100%),100%,IF(OR(AO131&lt;=0%),0%,AVERAGE(AO131)))</f>
        <v>#DIV/0!</v>
      </c>
      <c r="AP132" s="554" t="e">
        <f>IF(OR(AP131&gt;=100%),100%,IF(OR(AP131&lt;=0%),0%,AVERAGE(AP131)))</f>
        <v>#DIV/0!</v>
      </c>
      <c r="AQ132" s="363" t="e">
        <f>IF(OR(AQ131&gt;=100%),100%,IF(OR(AQ131&lt;=0%),0%,AVERAGE(AQ131)))</f>
        <v>#DIV/0!</v>
      </c>
      <c r="AR132" s="363" t="e">
        <f>IF(OR(AR131&gt;=100%),100%,IF(OR(AR131&lt;=0%),0%,AVERAGE(AR131)))</f>
        <v>#DIV/0!</v>
      </c>
      <c r="AS132" s="363" t="e">
        <f>IF(OR(AS131&gt;=100%),100%,IF(OR(AS131&lt;=0%),0%,AVERAGE(AS131)))</f>
        <v>#DIV/0!</v>
      </c>
      <c r="AT132" s="364" t="e">
        <f>IF(OR(AT131&gt;=100%),100%,IF(OR(AT131&lt;=0%),0%,AVERAGE(AT131)))</f>
        <v>#DIV/0!</v>
      </c>
    </row>
    <row r="133" spans="32:46">
      <c r="AF133" s="717" t="s">
        <v>7</v>
      </c>
      <c r="AG133" s="718"/>
      <c r="AI133" s="365">
        <v>0.2</v>
      </c>
      <c r="AJ133" s="365">
        <f t="shared" ref="AJ133:AT133" si="57">AJ132*0.2</f>
        <v>0.2</v>
      </c>
      <c r="AK133" s="365">
        <f t="shared" si="57"/>
        <v>0.2</v>
      </c>
      <c r="AL133" s="365">
        <f t="shared" si="57"/>
        <v>0.2</v>
      </c>
      <c r="AM133" s="365">
        <f t="shared" si="57"/>
        <v>0</v>
      </c>
      <c r="AN133" s="365" t="e">
        <f t="shared" si="57"/>
        <v>#DIV/0!</v>
      </c>
      <c r="AO133" s="365" t="e">
        <f t="shared" si="57"/>
        <v>#DIV/0!</v>
      </c>
      <c r="AP133" s="365" t="e">
        <f t="shared" si="57"/>
        <v>#DIV/0!</v>
      </c>
      <c r="AQ133" s="365" t="e">
        <f t="shared" si="57"/>
        <v>#DIV/0!</v>
      </c>
      <c r="AR133" s="365" t="e">
        <f t="shared" si="57"/>
        <v>#DIV/0!</v>
      </c>
      <c r="AS133" s="365" t="e">
        <f t="shared" si="57"/>
        <v>#DIV/0!</v>
      </c>
      <c r="AT133" s="366" t="e">
        <f t="shared" si="57"/>
        <v>#DIV/0!</v>
      </c>
    </row>
    <row r="134" spans="32:46">
      <c r="AF134" s="405"/>
      <c r="AJ134" s="368"/>
      <c r="AT134" s="406"/>
    </row>
    <row r="135" spans="32:46">
      <c r="AF135" s="412"/>
      <c r="AG135" s="413"/>
      <c r="AI135" s="363"/>
      <c r="AJ135" s="363"/>
      <c r="AK135" s="363"/>
      <c r="AL135" s="363"/>
      <c r="AM135" s="363"/>
      <c r="AN135" s="363"/>
      <c r="AO135" s="363"/>
      <c r="AP135" s="363"/>
      <c r="AQ135" s="363"/>
      <c r="AR135" s="363"/>
      <c r="AS135" s="363"/>
      <c r="AT135" s="364"/>
    </row>
    <row r="136" spans="32:46">
      <c r="AF136" s="341" t="s">
        <v>101</v>
      </c>
      <c r="AH136" s="547">
        <v>45352</v>
      </c>
      <c r="AI136" s="547">
        <v>45383</v>
      </c>
      <c r="AJ136" s="547">
        <v>45413</v>
      </c>
      <c r="AK136" s="547">
        <v>45444</v>
      </c>
      <c r="AL136" s="547">
        <v>45474</v>
      </c>
      <c r="AM136" s="547">
        <v>45505</v>
      </c>
      <c r="AN136" s="547">
        <v>45536</v>
      </c>
      <c r="AO136" s="547">
        <v>45566</v>
      </c>
      <c r="AP136" s="547">
        <v>45597</v>
      </c>
      <c r="AQ136" s="547">
        <v>45627</v>
      </c>
      <c r="AR136" s="547">
        <v>45658</v>
      </c>
      <c r="AS136" s="547">
        <v>45689</v>
      </c>
      <c r="AT136" s="548">
        <v>45717</v>
      </c>
    </row>
    <row r="137" spans="32:46">
      <c r="AF137" s="344">
        <f>(AT137-AH137)/12</f>
        <v>1.6666666666664831E-5</v>
      </c>
      <c r="AG137" s="373" t="s">
        <v>2</v>
      </c>
      <c r="AH137" s="392">
        <f>$AT$140</f>
        <v>0.99960000000000004</v>
      </c>
      <c r="AI137" s="394">
        <v>0.99961666666666671</v>
      </c>
      <c r="AJ137" s="394">
        <f t="shared" ref="AJ137:AS137" si="58">++AI137+$AF$137</f>
        <v>0.99963333333333337</v>
      </c>
      <c r="AK137" s="394">
        <f t="shared" si="58"/>
        <v>0.99965000000000004</v>
      </c>
      <c r="AL137" s="394">
        <f t="shared" si="58"/>
        <v>0.9996666666666667</v>
      </c>
      <c r="AM137" s="394">
        <f t="shared" si="58"/>
        <v>0.99968333333333337</v>
      </c>
      <c r="AN137" s="394">
        <f t="shared" si="58"/>
        <v>0.99970000000000003</v>
      </c>
      <c r="AO137" s="394">
        <f t="shared" si="58"/>
        <v>0.9997166666666667</v>
      </c>
      <c r="AP137" s="394">
        <f t="shared" si="58"/>
        <v>0.99973333333333336</v>
      </c>
      <c r="AQ137" s="394">
        <f t="shared" si="58"/>
        <v>0.99975000000000003</v>
      </c>
      <c r="AR137" s="394">
        <f t="shared" si="58"/>
        <v>0.99976666666666669</v>
      </c>
      <c r="AS137" s="394">
        <f t="shared" si="58"/>
        <v>0.99978333333333336</v>
      </c>
      <c r="AT137" s="393">
        <v>0.99980000000000002</v>
      </c>
    </row>
    <row r="138" spans="32:46">
      <c r="AF138" s="344">
        <f>(AT138-AH138)/12</f>
        <v>-5.0000000000050004E-6</v>
      </c>
      <c r="AG138" s="376" t="s">
        <v>2</v>
      </c>
      <c r="AH138" s="392">
        <f>$AT$140</f>
        <v>0.99960000000000004</v>
      </c>
      <c r="AI138" s="394">
        <v>0.99959500000000001</v>
      </c>
      <c r="AJ138" s="394">
        <f t="shared" ref="AJ138:AS138" si="59">++AI138+$AF$138</f>
        <v>0.99958999999999998</v>
      </c>
      <c r="AK138" s="394">
        <f t="shared" si="59"/>
        <v>0.99958499999999995</v>
      </c>
      <c r="AL138" s="394">
        <f t="shared" si="59"/>
        <v>0.99957999999999991</v>
      </c>
      <c r="AM138" s="394">
        <f t="shared" si="59"/>
        <v>0.99957499999999988</v>
      </c>
      <c r="AN138" s="394">
        <f t="shared" si="59"/>
        <v>0.99956999999999985</v>
      </c>
      <c r="AO138" s="394">
        <f t="shared" si="59"/>
        <v>0.99956499999999981</v>
      </c>
      <c r="AP138" s="394">
        <f t="shared" si="59"/>
        <v>0.99955999999999978</v>
      </c>
      <c r="AQ138" s="394">
        <f t="shared" si="59"/>
        <v>0.99955499999999975</v>
      </c>
      <c r="AR138" s="394">
        <f t="shared" si="59"/>
        <v>0.99954999999999972</v>
      </c>
      <c r="AS138" s="394">
        <f t="shared" si="59"/>
        <v>0.99954499999999968</v>
      </c>
      <c r="AT138" s="395">
        <v>0.99953999999999998</v>
      </c>
    </row>
    <row r="139" spans="32:46">
      <c r="AF139" s="344">
        <f>(AT139-AH139)/12</f>
        <v>-1.2500000000007875E-5</v>
      </c>
      <c r="AG139" s="378" t="s">
        <v>2</v>
      </c>
      <c r="AH139" s="392">
        <f>$AT$140</f>
        <v>0.99960000000000004</v>
      </c>
      <c r="AI139" s="394">
        <v>0.99958750000000007</v>
      </c>
      <c r="AJ139" s="394">
        <f t="shared" ref="AJ139:AS139" si="60">++AI139+$AF$139</f>
        <v>0.9995750000000001</v>
      </c>
      <c r="AK139" s="394">
        <f t="shared" si="60"/>
        <v>0.99956250000000013</v>
      </c>
      <c r="AL139" s="394">
        <f t="shared" si="60"/>
        <v>0.99955000000000016</v>
      </c>
      <c r="AM139" s="394">
        <f t="shared" si="60"/>
        <v>0.99953750000000019</v>
      </c>
      <c r="AN139" s="394">
        <f t="shared" si="60"/>
        <v>0.99952500000000022</v>
      </c>
      <c r="AO139" s="394">
        <f t="shared" si="60"/>
        <v>0.99951250000000025</v>
      </c>
      <c r="AP139" s="394">
        <f t="shared" si="60"/>
        <v>0.99950000000000028</v>
      </c>
      <c r="AQ139" s="394">
        <f t="shared" si="60"/>
        <v>0.99948750000000031</v>
      </c>
      <c r="AR139" s="394">
        <f t="shared" si="60"/>
        <v>0.99947500000000034</v>
      </c>
      <c r="AS139" s="394">
        <f t="shared" si="60"/>
        <v>0.99946250000000036</v>
      </c>
      <c r="AT139" s="396">
        <v>0.99944999999999995</v>
      </c>
    </row>
    <row r="140" spans="32:46">
      <c r="AF140" s="344">
        <f>(AT140-AH140)/12</f>
        <v>0</v>
      </c>
      <c r="AG140" s="355"/>
      <c r="AH140" s="392">
        <f>$AT$140</f>
        <v>0.99960000000000004</v>
      </c>
      <c r="AI140" s="392">
        <v>0</v>
      </c>
      <c r="AJ140" s="392">
        <f t="shared" ref="AJ140:AS140" si="61">$AR$115</f>
        <v>0</v>
      </c>
      <c r="AK140" s="392">
        <f t="shared" si="61"/>
        <v>0</v>
      </c>
      <c r="AL140" s="392">
        <f t="shared" si="61"/>
        <v>0</v>
      </c>
      <c r="AM140" s="392">
        <f t="shared" si="61"/>
        <v>0</v>
      </c>
      <c r="AN140" s="392">
        <f t="shared" si="61"/>
        <v>0</v>
      </c>
      <c r="AO140" s="392">
        <f t="shared" si="61"/>
        <v>0</v>
      </c>
      <c r="AP140" s="392">
        <f t="shared" si="61"/>
        <v>0</v>
      </c>
      <c r="AQ140" s="392">
        <f t="shared" si="61"/>
        <v>0</v>
      </c>
      <c r="AR140" s="392">
        <f t="shared" si="61"/>
        <v>0</v>
      </c>
      <c r="AS140" s="392">
        <f t="shared" si="61"/>
        <v>0</v>
      </c>
      <c r="AT140" s="397">
        <v>0.99960000000000004</v>
      </c>
    </row>
    <row r="141" spans="32:46">
      <c r="AF141" s="353" t="s">
        <v>4</v>
      </c>
      <c r="AG141" s="354"/>
      <c r="AH141" s="398"/>
      <c r="AI141" s="361">
        <v>0.99886800996151237</v>
      </c>
      <c r="AJ141" s="361">
        <f t="shared" ref="AJ141:AT141" si="62">AJ143/AJ142</f>
        <v>0.99966649991662493</v>
      </c>
      <c r="AK141" s="361">
        <f t="shared" si="62"/>
        <v>0.99933554817275749</v>
      </c>
      <c r="AL141" s="361">
        <f t="shared" si="62"/>
        <v>0.99980765531833049</v>
      </c>
      <c r="AM141" s="361">
        <f t="shared" si="62"/>
        <v>0.99894459102902378</v>
      </c>
      <c r="AN141" s="361" t="e">
        <f t="shared" si="62"/>
        <v>#DIV/0!</v>
      </c>
      <c r="AO141" s="361" t="e">
        <f t="shared" si="62"/>
        <v>#DIV/0!</v>
      </c>
      <c r="AP141" s="361" t="e">
        <f t="shared" si="62"/>
        <v>#DIV/0!</v>
      </c>
      <c r="AQ141" s="361" t="e">
        <f t="shared" si="62"/>
        <v>#DIV/0!</v>
      </c>
      <c r="AR141" s="361" t="e">
        <f t="shared" si="62"/>
        <v>#DIV/0!</v>
      </c>
      <c r="AS141" s="361" t="e">
        <f t="shared" si="62"/>
        <v>#DIV/0!</v>
      </c>
      <c r="AT141" s="362" t="e">
        <f t="shared" si="62"/>
        <v>#DIV/0!</v>
      </c>
    </row>
    <row r="142" spans="32:46">
      <c r="AF142" s="715" t="s">
        <v>21</v>
      </c>
      <c r="AG142" s="716"/>
      <c r="AH142" s="399"/>
      <c r="AI142" s="462">
        <v>4417</v>
      </c>
      <c r="AJ142" s="481">
        <v>5997</v>
      </c>
      <c r="AK142" s="455">
        <v>4515</v>
      </c>
      <c r="AL142" s="457">
        <v>5199</v>
      </c>
      <c r="AM142" s="337">
        <v>3790</v>
      </c>
      <c r="AN142" s="337"/>
      <c r="AO142" s="337"/>
      <c r="AP142" s="337"/>
      <c r="AQ142" s="386"/>
      <c r="AR142" s="337"/>
      <c r="AS142" s="386"/>
      <c r="AT142" s="484"/>
    </row>
    <row r="143" spans="32:46">
      <c r="AF143" s="715" t="s">
        <v>22</v>
      </c>
      <c r="AG143" s="716"/>
      <c r="AH143" s="399"/>
      <c r="AI143" s="462">
        <v>4412</v>
      </c>
      <c r="AJ143" s="481">
        <v>5995</v>
      </c>
      <c r="AK143" s="455">
        <v>4512</v>
      </c>
      <c r="AL143" s="457">
        <v>5198</v>
      </c>
      <c r="AM143" s="462">
        <v>3786</v>
      </c>
      <c r="AN143" s="462"/>
      <c r="AO143" s="462"/>
      <c r="AP143" s="337"/>
      <c r="AQ143" s="386"/>
      <c r="AR143" s="386"/>
      <c r="AS143" s="386"/>
      <c r="AT143" s="387"/>
    </row>
    <row r="144" spans="32:46">
      <c r="AF144" s="390" t="s">
        <v>5</v>
      </c>
      <c r="AG144" s="354"/>
      <c r="AI144" s="361">
        <v>0.99925105619972221</v>
      </c>
      <c r="AJ144" s="361">
        <f>(AJ141-AJ140)/(AJ137-AJ140)</f>
        <v>1.0000331787488328</v>
      </c>
      <c r="AK144" s="361">
        <f>(AK141-AK140)/(AK137-AK140)</f>
        <v>0.99968543807608412</v>
      </c>
      <c r="AL144" s="398">
        <f>(AL141-AL140)/(AL137-AL140)</f>
        <v>1.0001410356635516</v>
      </c>
      <c r="AM144" s="361">
        <f t="shared" ref="AM144:AT144" si="63">(AM141-AM140)/(AM137-AM140)</f>
        <v>0.99926102368652447</v>
      </c>
      <c r="AN144" s="361" t="e">
        <f>(AN141-AN140)/(AN137-AN140)</f>
        <v>#DIV/0!</v>
      </c>
      <c r="AO144" s="361" t="e">
        <f t="shared" si="63"/>
        <v>#DIV/0!</v>
      </c>
      <c r="AP144" s="361" t="e">
        <f t="shared" si="63"/>
        <v>#DIV/0!</v>
      </c>
      <c r="AQ144" s="361" t="e">
        <f t="shared" si="63"/>
        <v>#DIV/0!</v>
      </c>
      <c r="AR144" s="361" t="e">
        <f t="shared" si="63"/>
        <v>#DIV/0!</v>
      </c>
      <c r="AS144" s="361" t="e">
        <f t="shared" si="63"/>
        <v>#DIV/0!</v>
      </c>
      <c r="AT144" s="362" t="e">
        <f t="shared" si="63"/>
        <v>#DIV/0!</v>
      </c>
    </row>
    <row r="145" spans="32:46">
      <c r="AF145" s="390" t="s">
        <v>6</v>
      </c>
      <c r="AG145" s="354"/>
      <c r="AI145" s="363">
        <f t="shared" ref="AI145:AT145" si="64">IF(OR(AI144&gt;=100%),100%,IF(OR(AI144&lt;=0%),0%,AVERAGE(AI144)))</f>
        <v>0.99925105619972221</v>
      </c>
      <c r="AJ145" s="363">
        <f t="shared" si="64"/>
        <v>1</v>
      </c>
      <c r="AK145" s="363">
        <f t="shared" si="64"/>
        <v>0.99968543807608412</v>
      </c>
      <c r="AL145" s="363">
        <f t="shared" si="64"/>
        <v>1</v>
      </c>
      <c r="AM145" s="363">
        <f t="shared" si="64"/>
        <v>0.99926102368652447</v>
      </c>
      <c r="AN145" s="363" t="e">
        <f>IF(OR(AN144&gt;=100%),100%,IF(OR(AN144&lt;=0%),0%,AVERAGE(AN144)))</f>
        <v>#DIV/0!</v>
      </c>
      <c r="AO145" s="363" t="e">
        <f t="shared" si="64"/>
        <v>#DIV/0!</v>
      </c>
      <c r="AP145" s="363" t="e">
        <f t="shared" si="64"/>
        <v>#DIV/0!</v>
      </c>
      <c r="AQ145" s="363" t="e">
        <f t="shared" si="64"/>
        <v>#DIV/0!</v>
      </c>
      <c r="AR145" s="363" t="e">
        <f t="shared" si="64"/>
        <v>#DIV/0!</v>
      </c>
      <c r="AS145" s="363" t="e">
        <f t="shared" si="64"/>
        <v>#DIV/0!</v>
      </c>
      <c r="AT145" s="364" t="e">
        <f t="shared" si="64"/>
        <v>#DIV/0!</v>
      </c>
    </row>
    <row r="146" spans="32:46">
      <c r="AF146" s="717" t="s">
        <v>7</v>
      </c>
      <c r="AG146" s="718"/>
      <c r="AI146" s="365">
        <v>0.14988765842995833</v>
      </c>
      <c r="AJ146" s="365">
        <f t="shared" ref="AJ146:AT146" si="65">AJ145*0.15</f>
        <v>0.15</v>
      </c>
      <c r="AK146" s="365">
        <f t="shared" si="65"/>
        <v>0.14995281571141261</v>
      </c>
      <c r="AL146" s="365">
        <f t="shared" si="65"/>
        <v>0.15</v>
      </c>
      <c r="AM146" s="365">
        <f t="shared" si="65"/>
        <v>0.14988915355297866</v>
      </c>
      <c r="AN146" s="365" t="e">
        <f t="shared" si="65"/>
        <v>#DIV/0!</v>
      </c>
      <c r="AO146" s="365" t="e">
        <f t="shared" si="65"/>
        <v>#DIV/0!</v>
      </c>
      <c r="AP146" s="365" t="e">
        <f t="shared" si="65"/>
        <v>#DIV/0!</v>
      </c>
      <c r="AQ146" s="365" t="e">
        <f t="shared" si="65"/>
        <v>#DIV/0!</v>
      </c>
      <c r="AR146" s="365" t="e">
        <f t="shared" si="65"/>
        <v>#DIV/0!</v>
      </c>
      <c r="AS146" s="365" t="e">
        <f t="shared" si="65"/>
        <v>#DIV/0!</v>
      </c>
      <c r="AT146" s="366" t="e">
        <f t="shared" si="65"/>
        <v>#DIV/0!</v>
      </c>
    </row>
    <row r="147" spans="32:46">
      <c r="AF147" s="412"/>
      <c r="AG147" s="413"/>
      <c r="AI147" s="363"/>
      <c r="AJ147" s="363"/>
      <c r="AK147" s="363"/>
      <c r="AL147" s="363"/>
      <c r="AM147" s="363"/>
      <c r="AN147" s="363"/>
      <c r="AO147" s="363"/>
      <c r="AP147" s="363"/>
      <c r="AQ147" s="363"/>
      <c r="AR147" s="363"/>
      <c r="AS147" s="363"/>
      <c r="AT147" s="364"/>
    </row>
    <row r="148" spans="32:46">
      <c r="AF148" s="412"/>
      <c r="AG148" s="413"/>
      <c r="AI148" s="363"/>
      <c r="AJ148" s="363"/>
      <c r="AK148" s="363"/>
      <c r="AL148" s="363"/>
      <c r="AM148" s="363"/>
      <c r="AN148" s="363"/>
      <c r="AO148" s="363"/>
      <c r="AP148" s="363"/>
      <c r="AQ148" s="363"/>
      <c r="AR148" s="363"/>
      <c r="AS148" s="363"/>
      <c r="AT148" s="364"/>
    </row>
    <row r="149" spans="32:46">
      <c r="AF149" s="341" t="s">
        <v>102</v>
      </c>
      <c r="AH149" s="547">
        <v>45352</v>
      </c>
      <c r="AI149" s="547">
        <v>45383</v>
      </c>
      <c r="AJ149" s="547">
        <v>45413</v>
      </c>
      <c r="AK149" s="547">
        <v>45444</v>
      </c>
      <c r="AL149" s="547">
        <v>45474</v>
      </c>
      <c r="AM149" s="547">
        <v>45505</v>
      </c>
      <c r="AN149" s="547">
        <v>45536</v>
      </c>
      <c r="AO149" s="547">
        <v>45566</v>
      </c>
      <c r="AP149" s="547">
        <v>45597</v>
      </c>
      <c r="AQ149" s="547">
        <v>45627</v>
      </c>
      <c r="AR149" s="547">
        <v>45658</v>
      </c>
      <c r="AS149" s="547">
        <v>45689</v>
      </c>
      <c r="AT149" s="548">
        <v>45717</v>
      </c>
    </row>
    <row r="150" spans="32:46">
      <c r="AF150" s="372">
        <f>(AT150-AH150)/12</f>
        <v>0</v>
      </c>
      <c r="AG150" s="355"/>
      <c r="AH150" s="374">
        <f>$AT$150</f>
        <v>26</v>
      </c>
      <c r="AI150" s="374">
        <v>26</v>
      </c>
      <c r="AJ150" s="374">
        <f t="shared" ref="AJ150:AS150" si="66">++AI150+$AF$150</f>
        <v>26</v>
      </c>
      <c r="AK150" s="374">
        <f t="shared" si="66"/>
        <v>26</v>
      </c>
      <c r="AL150" s="374">
        <f t="shared" si="66"/>
        <v>26</v>
      </c>
      <c r="AM150" s="374">
        <f t="shared" si="66"/>
        <v>26</v>
      </c>
      <c r="AN150" s="374">
        <f t="shared" si="66"/>
        <v>26</v>
      </c>
      <c r="AO150" s="374">
        <f t="shared" si="66"/>
        <v>26</v>
      </c>
      <c r="AP150" s="374">
        <f t="shared" si="66"/>
        <v>26</v>
      </c>
      <c r="AQ150" s="374">
        <f t="shared" si="66"/>
        <v>26</v>
      </c>
      <c r="AR150" s="374">
        <f t="shared" si="66"/>
        <v>26</v>
      </c>
      <c r="AS150" s="374">
        <f t="shared" si="66"/>
        <v>26</v>
      </c>
      <c r="AT150" s="384">
        <v>26</v>
      </c>
    </row>
    <row r="151" spans="32:46">
      <c r="AF151" s="372">
        <f>(AT151-AH151)/12</f>
        <v>-1.0250000000000001</v>
      </c>
      <c r="AG151" s="378" t="s">
        <v>2</v>
      </c>
      <c r="AH151" s="374">
        <f>$AT$150</f>
        <v>26</v>
      </c>
      <c r="AI151" s="374">
        <v>24.975000000000001</v>
      </c>
      <c r="AJ151" s="374">
        <f t="shared" ref="AJ151:AS151" si="67">++AI151+$AF$151</f>
        <v>23.950000000000003</v>
      </c>
      <c r="AK151" s="374">
        <f t="shared" si="67"/>
        <v>22.925000000000004</v>
      </c>
      <c r="AL151" s="374">
        <f t="shared" si="67"/>
        <v>21.900000000000006</v>
      </c>
      <c r="AM151" s="374">
        <f t="shared" si="67"/>
        <v>20.875000000000007</v>
      </c>
      <c r="AN151" s="374">
        <f t="shared" si="67"/>
        <v>19.850000000000009</v>
      </c>
      <c r="AO151" s="374">
        <f t="shared" si="67"/>
        <v>18.82500000000001</v>
      </c>
      <c r="AP151" s="374">
        <f t="shared" si="67"/>
        <v>17.800000000000011</v>
      </c>
      <c r="AQ151" s="374">
        <f t="shared" si="67"/>
        <v>16.775000000000013</v>
      </c>
      <c r="AR151" s="374">
        <f t="shared" si="67"/>
        <v>15.750000000000012</v>
      </c>
      <c r="AS151" s="374">
        <f t="shared" si="67"/>
        <v>14.725000000000012</v>
      </c>
      <c r="AT151" s="379">
        <f>AT150-(AT150-AT153)*0.5</f>
        <v>13.7</v>
      </c>
    </row>
    <row r="152" spans="32:46">
      <c r="AF152" s="372">
        <f>(AT152-AH152)/12</f>
        <v>-1.6400000000000003</v>
      </c>
      <c r="AG152" s="376" t="s">
        <v>2</v>
      </c>
      <c r="AH152" s="374">
        <f>$AT$150</f>
        <v>26</v>
      </c>
      <c r="AI152" s="374">
        <v>24.36</v>
      </c>
      <c r="AJ152" s="374">
        <f t="shared" ref="AJ152:AS152" si="68">++AI152+$AF$152</f>
        <v>22.72</v>
      </c>
      <c r="AK152" s="374">
        <f t="shared" si="68"/>
        <v>21.08</v>
      </c>
      <c r="AL152" s="374">
        <f t="shared" si="68"/>
        <v>19.439999999999998</v>
      </c>
      <c r="AM152" s="374">
        <f t="shared" si="68"/>
        <v>17.799999999999997</v>
      </c>
      <c r="AN152" s="374">
        <f t="shared" si="68"/>
        <v>16.159999999999997</v>
      </c>
      <c r="AO152" s="374">
        <f t="shared" si="68"/>
        <v>14.519999999999996</v>
      </c>
      <c r="AP152" s="374">
        <f t="shared" si="68"/>
        <v>12.879999999999995</v>
      </c>
      <c r="AQ152" s="374">
        <f t="shared" si="68"/>
        <v>11.239999999999995</v>
      </c>
      <c r="AR152" s="374">
        <f t="shared" si="68"/>
        <v>9.5999999999999943</v>
      </c>
      <c r="AS152" s="374">
        <f t="shared" si="68"/>
        <v>7.9599999999999937</v>
      </c>
      <c r="AT152" s="377">
        <f>AT150-(AT150-AT153)*0.8</f>
        <v>6.3199999999999967</v>
      </c>
    </row>
    <row r="153" spans="32:46">
      <c r="AF153" s="372">
        <f>(AT153-AH153)/12</f>
        <v>-2.0500000000000003</v>
      </c>
      <c r="AG153" s="373" t="s">
        <v>2</v>
      </c>
      <c r="AH153" s="374">
        <f>$AT$150</f>
        <v>26</v>
      </c>
      <c r="AI153" s="374">
        <v>23.95</v>
      </c>
      <c r="AJ153" s="374">
        <f t="shared" ref="AJ153:AS153" si="69">++AI153+$AF$153</f>
        <v>21.9</v>
      </c>
      <c r="AK153" s="374">
        <f t="shared" si="69"/>
        <v>19.849999999999998</v>
      </c>
      <c r="AL153" s="374">
        <f t="shared" si="69"/>
        <v>17.799999999999997</v>
      </c>
      <c r="AM153" s="374">
        <f t="shared" si="69"/>
        <v>15.749999999999996</v>
      </c>
      <c r="AN153" s="374">
        <f t="shared" si="69"/>
        <v>13.699999999999996</v>
      </c>
      <c r="AO153" s="374">
        <f t="shared" si="69"/>
        <v>11.649999999999995</v>
      </c>
      <c r="AP153" s="374">
        <f t="shared" si="69"/>
        <v>9.5999999999999943</v>
      </c>
      <c r="AQ153" s="374">
        <f t="shared" si="69"/>
        <v>7.5499999999999936</v>
      </c>
      <c r="AR153" s="374">
        <f t="shared" si="69"/>
        <v>5.4999999999999929</v>
      </c>
      <c r="AS153" s="374">
        <f t="shared" si="69"/>
        <v>3.4499999999999926</v>
      </c>
      <c r="AT153" s="591">
        <v>1.4</v>
      </c>
    </row>
    <row r="154" spans="32:46">
      <c r="AF154" s="353" t="s">
        <v>4</v>
      </c>
      <c r="AG154" s="354"/>
      <c r="AH154" s="383"/>
      <c r="AI154" s="383">
        <v>9.0652790746163117</v>
      </c>
      <c r="AJ154" s="383">
        <f t="shared" ref="AJ154:AS154" si="70">AJ156/AJ155*1000000</f>
        <v>2.8477047499715229</v>
      </c>
      <c r="AK154" s="383">
        <f t="shared" si="70"/>
        <v>5.9907981340660745</v>
      </c>
      <c r="AL154" s="383">
        <f t="shared" si="70"/>
        <v>1.8488491838255279</v>
      </c>
      <c r="AM154" s="383">
        <f t="shared" si="70"/>
        <v>9.4334950391607961</v>
      </c>
      <c r="AN154" s="383" t="e">
        <f t="shared" si="70"/>
        <v>#DIV/0!</v>
      </c>
      <c r="AO154" s="383" t="e">
        <f t="shared" si="70"/>
        <v>#DIV/0!</v>
      </c>
      <c r="AP154" s="383" t="e">
        <f t="shared" si="70"/>
        <v>#DIV/0!</v>
      </c>
      <c r="AQ154" s="383" t="e">
        <f t="shared" si="70"/>
        <v>#DIV/0!</v>
      </c>
      <c r="AR154" s="383" t="e">
        <f t="shared" si="70"/>
        <v>#DIV/0!</v>
      </c>
      <c r="AS154" s="383" t="e">
        <f t="shared" si="70"/>
        <v>#DIV/0!</v>
      </c>
      <c r="AT154" s="384" t="e">
        <f>AT156/AT155*1000000</f>
        <v>#DIV/0!</v>
      </c>
    </row>
    <row r="155" spans="32:46">
      <c r="AF155" s="719" t="s">
        <v>24</v>
      </c>
      <c r="AG155" s="720"/>
      <c r="AH155" s="383"/>
      <c r="AI155" s="489">
        <v>551555</v>
      </c>
      <c r="AJ155" s="555">
        <v>702320</v>
      </c>
      <c r="AK155" s="485">
        <v>500768</v>
      </c>
      <c r="AL155" s="487">
        <v>540877</v>
      </c>
      <c r="AM155" s="556">
        <v>424021</v>
      </c>
      <c r="AN155" s="489"/>
      <c r="AO155" s="489"/>
      <c r="AP155" s="337"/>
      <c r="AQ155" s="490"/>
      <c r="AR155" s="490"/>
      <c r="AS155" s="489"/>
      <c r="AT155" s="491"/>
    </row>
    <row r="156" spans="32:46">
      <c r="AF156" s="160"/>
      <c r="AG156" s="161" t="s">
        <v>14</v>
      </c>
      <c r="AH156" s="383"/>
      <c r="AI156" s="489">
        <v>5</v>
      </c>
      <c r="AJ156" s="555">
        <v>2</v>
      </c>
      <c r="AK156" s="485">
        <v>3</v>
      </c>
      <c r="AL156" s="487">
        <v>1</v>
      </c>
      <c r="AM156" s="556">
        <v>4</v>
      </c>
      <c r="AN156" s="489"/>
      <c r="AO156" s="489"/>
      <c r="AP156" s="337"/>
      <c r="AQ156" s="490"/>
      <c r="AR156" s="490"/>
      <c r="AS156" s="489"/>
      <c r="AT156" s="491"/>
    </row>
    <row r="157" spans="32:46">
      <c r="AF157" s="353"/>
      <c r="AG157" s="354"/>
      <c r="AH157" s="418"/>
      <c r="AI157" s="419"/>
      <c r="AJ157" s="331"/>
      <c r="AK157" s="331"/>
      <c r="AL157" s="331"/>
      <c r="AM157" s="331"/>
      <c r="AN157" s="418"/>
      <c r="AO157" s="331"/>
      <c r="AP157" s="331"/>
      <c r="AQ157" s="331"/>
      <c r="AR157" s="331"/>
      <c r="AS157" s="331"/>
      <c r="AT157" s="360"/>
    </row>
    <row r="158" spans="32:46">
      <c r="AF158" s="353" t="s">
        <v>5</v>
      </c>
      <c r="AG158" s="354"/>
      <c r="AI158" s="361">
        <v>8.2608394757969172</v>
      </c>
      <c r="AJ158" s="361">
        <f t="shared" ref="AJ158:AT158" si="71">(AJ150-AJ154)/(AJ150-AJ153)</f>
        <v>5.646901280494748</v>
      </c>
      <c r="AK158" s="361">
        <f>(AK150-AK154)/(AK150-AK153)</f>
        <v>3.253528758688442</v>
      </c>
      <c r="AL158" s="361">
        <f>(AL150-AL154)/(AL150-AL153)</f>
        <v>2.9452622946554223</v>
      </c>
      <c r="AM158" s="361">
        <f t="shared" si="71"/>
        <v>1.6162443864233365</v>
      </c>
      <c r="AN158" s="361" t="e">
        <f t="shared" si="71"/>
        <v>#DIV/0!</v>
      </c>
      <c r="AO158" s="361" t="e">
        <f t="shared" si="71"/>
        <v>#DIV/0!</v>
      </c>
      <c r="AP158" s="361" t="e">
        <f t="shared" si="71"/>
        <v>#DIV/0!</v>
      </c>
      <c r="AQ158" s="361" t="e">
        <f t="shared" si="71"/>
        <v>#DIV/0!</v>
      </c>
      <c r="AR158" s="361" t="e">
        <f t="shared" si="71"/>
        <v>#DIV/0!</v>
      </c>
      <c r="AS158" s="361" t="e">
        <f t="shared" si="71"/>
        <v>#DIV/0!</v>
      </c>
      <c r="AT158" s="362" t="e">
        <f t="shared" si="71"/>
        <v>#DIV/0!</v>
      </c>
    </row>
    <row r="159" spans="32:46">
      <c r="AF159" s="390" t="s">
        <v>6</v>
      </c>
      <c r="AG159" s="354"/>
      <c r="AI159" s="363">
        <v>1</v>
      </c>
      <c r="AJ159" s="363">
        <f t="shared" ref="AJ159:AT159" si="72">IF(OR(AJ158&gt;=100%),100%,IF(OR(AJ158&lt;=0%),0%,AVERAGE(AJ158)))</f>
        <v>1</v>
      </c>
      <c r="AK159" s="363">
        <f t="shared" si="72"/>
        <v>1</v>
      </c>
      <c r="AL159" s="363">
        <f t="shared" si="72"/>
        <v>1</v>
      </c>
      <c r="AM159" s="363">
        <f t="shared" si="72"/>
        <v>1</v>
      </c>
      <c r="AN159" s="363" t="e">
        <f t="shared" si="72"/>
        <v>#DIV/0!</v>
      </c>
      <c r="AO159" s="363" t="e">
        <f t="shared" si="72"/>
        <v>#DIV/0!</v>
      </c>
      <c r="AP159" s="363" t="e">
        <f t="shared" si="72"/>
        <v>#DIV/0!</v>
      </c>
      <c r="AQ159" s="363" t="e">
        <f t="shared" si="72"/>
        <v>#DIV/0!</v>
      </c>
      <c r="AR159" s="363" t="e">
        <f t="shared" si="72"/>
        <v>#DIV/0!</v>
      </c>
      <c r="AS159" s="363" t="e">
        <f t="shared" si="72"/>
        <v>#DIV/0!</v>
      </c>
      <c r="AT159" s="364" t="e">
        <f t="shared" si="72"/>
        <v>#DIV/0!</v>
      </c>
    </row>
    <row r="160" spans="32:46">
      <c r="AF160" s="717" t="s">
        <v>7</v>
      </c>
      <c r="AG160" s="718"/>
      <c r="AI160" s="365">
        <v>0.15</v>
      </c>
      <c r="AJ160" s="365">
        <f t="shared" ref="AJ160:AT160" si="73">AJ159*0.15</f>
        <v>0.15</v>
      </c>
      <c r="AK160" s="365">
        <f t="shared" si="73"/>
        <v>0.15</v>
      </c>
      <c r="AL160" s="365">
        <f t="shared" si="73"/>
        <v>0.15</v>
      </c>
      <c r="AM160" s="365">
        <f t="shared" si="73"/>
        <v>0.15</v>
      </c>
      <c r="AN160" s="365" t="e">
        <f t="shared" si="73"/>
        <v>#DIV/0!</v>
      </c>
      <c r="AO160" s="365" t="e">
        <f t="shared" si="73"/>
        <v>#DIV/0!</v>
      </c>
      <c r="AP160" s="365" t="e">
        <f t="shared" si="73"/>
        <v>#DIV/0!</v>
      </c>
      <c r="AQ160" s="365" t="e">
        <f t="shared" si="73"/>
        <v>#DIV/0!</v>
      </c>
      <c r="AR160" s="365" t="e">
        <f t="shared" si="73"/>
        <v>#DIV/0!</v>
      </c>
      <c r="AS160" s="365" t="e">
        <f t="shared" si="73"/>
        <v>#DIV/0!</v>
      </c>
      <c r="AT160" s="366" t="e">
        <f t="shared" si="73"/>
        <v>#DIV/0!</v>
      </c>
    </row>
    <row r="161" spans="32:46">
      <c r="AF161" s="412"/>
      <c r="AG161" s="413"/>
      <c r="AI161" s="363"/>
      <c r="AJ161" s="363"/>
      <c r="AK161" s="363"/>
      <c r="AL161" s="363"/>
      <c r="AM161" s="363"/>
      <c r="AN161" s="363"/>
      <c r="AO161" s="363"/>
      <c r="AP161" s="363"/>
      <c r="AQ161" s="363"/>
      <c r="AR161" s="363"/>
      <c r="AS161" s="363"/>
      <c r="AT161" s="364"/>
    </row>
    <row r="162" spans="32:46">
      <c r="AF162" s="412"/>
      <c r="AG162" s="413"/>
      <c r="AI162" s="422"/>
      <c r="AJ162" s="422"/>
      <c r="AK162" s="422"/>
      <c r="AL162" s="422"/>
      <c r="AM162" s="422"/>
      <c r="AN162" s="422"/>
      <c r="AO162" s="422"/>
      <c r="AP162" s="422"/>
      <c r="AQ162" s="422"/>
      <c r="AR162" s="422"/>
      <c r="AS162" s="422"/>
      <c r="AT162" s="423"/>
    </row>
    <row r="163" spans="32:46" ht="16" thickBot="1">
      <c r="AF163" s="424" t="s">
        <v>25</v>
      </c>
      <c r="AG163" s="190"/>
      <c r="AH163" s="191"/>
      <c r="AI163" s="192">
        <f>SUM(AI63,AI77,AI91,AI105,AI118,AI133,AI146,AI160)</f>
        <v>0.9998876584299583</v>
      </c>
      <c r="AJ163" s="192">
        <f t="shared" ref="AJ163:AT163" si="74">SUM(AJ160,AJ146,AJ133,AJ118,AJ105,AJ91,AJ77,AJ63)</f>
        <v>1</v>
      </c>
      <c r="AK163" s="192">
        <f>SUM(AK160,AK146,AK133,AK118,AK105,AK91,AK77,AK63)</f>
        <v>0.74028810300771752</v>
      </c>
      <c r="AL163" s="192">
        <f>SUM(AL160,AL146,AL133,AL118,AL105,AL91,AL77,AL63)</f>
        <v>0.65000000000000013</v>
      </c>
      <c r="AM163" s="192">
        <f>SUM(AM160,AM146,AM133,AM118,AM105,AM91,AM77,AM63)</f>
        <v>0.74988915355297869</v>
      </c>
      <c r="AN163" s="192" t="e">
        <f t="shared" si="74"/>
        <v>#DIV/0!</v>
      </c>
      <c r="AO163" s="192" t="e">
        <f t="shared" si="74"/>
        <v>#DIV/0!</v>
      </c>
      <c r="AP163" s="192" t="e">
        <f t="shared" si="74"/>
        <v>#DIV/0!</v>
      </c>
      <c r="AQ163" s="192" t="e">
        <f t="shared" si="74"/>
        <v>#DIV/0!</v>
      </c>
      <c r="AR163" s="192" t="e">
        <f t="shared" si="74"/>
        <v>#DIV/0!</v>
      </c>
      <c r="AS163" s="192" t="e">
        <f t="shared" si="74"/>
        <v>#DIV/0!</v>
      </c>
      <c r="AT163" s="193" t="e">
        <f t="shared" si="74"/>
        <v>#DIV/0!</v>
      </c>
    </row>
  </sheetData>
  <mergeCells count="312">
    <mergeCell ref="B13:D13"/>
    <mergeCell ref="I7:Q7"/>
    <mergeCell ref="R7:R9"/>
    <mergeCell ref="S7:S9"/>
    <mergeCell ref="B17:D17"/>
    <mergeCell ref="B18:D18"/>
    <mergeCell ref="S18:W18"/>
    <mergeCell ref="W10:W12"/>
    <mergeCell ref="U10:U12"/>
    <mergeCell ref="S10:S12"/>
    <mergeCell ref="I12:Q12"/>
    <mergeCell ref="B6:D12"/>
    <mergeCell ref="S14:W14"/>
    <mergeCell ref="R5:S5"/>
    <mergeCell ref="I6:Q6"/>
    <mergeCell ref="AD7:AD12"/>
    <mergeCell ref="AE7:AE12"/>
    <mergeCell ref="V7:V9"/>
    <mergeCell ref="AB7:AB12"/>
    <mergeCell ref="AC7:AC12"/>
    <mergeCell ref="Y7:Y12"/>
    <mergeCell ref="I10:Q10"/>
    <mergeCell ref="I9:Q9"/>
    <mergeCell ref="I8:Q8"/>
    <mergeCell ref="S25:W25"/>
    <mergeCell ref="E4:H4"/>
    <mergeCell ref="A2:A3"/>
    <mergeCell ref="B2:D2"/>
    <mergeCell ref="E2:H2"/>
    <mergeCell ref="I2:Q2"/>
    <mergeCell ref="R2:S2"/>
    <mergeCell ref="B4:D4"/>
    <mergeCell ref="I4:Q4"/>
    <mergeCell ref="B3:D3"/>
    <mergeCell ref="E3:H3"/>
    <mergeCell ref="I3:Q3"/>
    <mergeCell ref="R3:S3"/>
    <mergeCell ref="R4:S4"/>
    <mergeCell ref="V5:W5"/>
    <mergeCell ref="T10:T12"/>
    <mergeCell ref="S15:W15"/>
    <mergeCell ref="R10:R12"/>
    <mergeCell ref="A5:A12"/>
    <mergeCell ref="B5:D5"/>
    <mergeCell ref="E5:H5"/>
    <mergeCell ref="E6:H12"/>
    <mergeCell ref="U7:U9"/>
    <mergeCell ref="I5:Q5"/>
    <mergeCell ref="Y18:AE18"/>
    <mergeCell ref="S17:W17"/>
    <mergeCell ref="Y17:AE17"/>
    <mergeCell ref="Y22:AE22"/>
    <mergeCell ref="Y20:AE20"/>
    <mergeCell ref="B21:D21"/>
    <mergeCell ref="Y23:AE23"/>
    <mergeCell ref="B22:D22"/>
    <mergeCell ref="Y14:AE14"/>
    <mergeCell ref="S21:W21"/>
    <mergeCell ref="B14:D14"/>
    <mergeCell ref="B15:D15"/>
    <mergeCell ref="B16:D16"/>
    <mergeCell ref="B20:D20"/>
    <mergeCell ref="T2:W2"/>
    <mergeCell ref="AD5:AE5"/>
    <mergeCell ref="X2:AE2"/>
    <mergeCell ref="T7:T9"/>
    <mergeCell ref="Z5:AA5"/>
    <mergeCell ref="X5:Y5"/>
    <mergeCell ref="T5:U5"/>
    <mergeCell ref="W7:W9"/>
    <mergeCell ref="Z7:Z12"/>
    <mergeCell ref="X3:AE4"/>
    <mergeCell ref="T4:W4"/>
    <mergeCell ref="AA7:AA12"/>
    <mergeCell ref="X7:X12"/>
    <mergeCell ref="AB5:AC5"/>
    <mergeCell ref="V10:V12"/>
    <mergeCell ref="T3:W3"/>
    <mergeCell ref="B26:D26"/>
    <mergeCell ref="B27:D27"/>
    <mergeCell ref="B19:D19"/>
    <mergeCell ref="Y19:AE19"/>
    <mergeCell ref="Y21:AE21"/>
    <mergeCell ref="S20:W20"/>
    <mergeCell ref="R13:W13"/>
    <mergeCell ref="S23:W23"/>
    <mergeCell ref="Y24:AE24"/>
    <mergeCell ref="Y26:AE27"/>
    <mergeCell ref="Y16:AE16"/>
    <mergeCell ref="S16:W16"/>
    <mergeCell ref="Y15:AE15"/>
    <mergeCell ref="B23:D23"/>
    <mergeCell ref="B25:D25"/>
    <mergeCell ref="Y25:AE25"/>
    <mergeCell ref="B24:D24"/>
    <mergeCell ref="S26:W27"/>
    <mergeCell ref="X26:X27"/>
    <mergeCell ref="S19:W19"/>
    <mergeCell ref="S24:W24"/>
    <mergeCell ref="S22:W22"/>
    <mergeCell ref="R26:R27"/>
    <mergeCell ref="X13:AE13"/>
    <mergeCell ref="A30:A31"/>
    <mergeCell ref="B30:D31"/>
    <mergeCell ref="E30:E31"/>
    <mergeCell ref="F30:F31"/>
    <mergeCell ref="G30:G31"/>
    <mergeCell ref="N28:N29"/>
    <mergeCell ref="B28:D29"/>
    <mergeCell ref="E28:E29"/>
    <mergeCell ref="F28:F29"/>
    <mergeCell ref="G28:G29"/>
    <mergeCell ref="J30:J31"/>
    <mergeCell ref="K30:K31"/>
    <mergeCell ref="H30:H31"/>
    <mergeCell ref="I30:I31"/>
    <mergeCell ref="M28:M29"/>
    <mergeCell ref="J28:J29"/>
    <mergeCell ref="A28:A29"/>
    <mergeCell ref="K28:K29"/>
    <mergeCell ref="L28:L29"/>
    <mergeCell ref="I28:I29"/>
    <mergeCell ref="H28:H29"/>
    <mergeCell ref="R30:R31"/>
    <mergeCell ref="S30:W31"/>
    <mergeCell ref="S28:W29"/>
    <mergeCell ref="Q28:Q29"/>
    <mergeCell ref="X30:X31"/>
    <mergeCell ref="Y30:AE31"/>
    <mergeCell ref="L30:L31"/>
    <mergeCell ref="M30:M31"/>
    <mergeCell ref="N30:N31"/>
    <mergeCell ref="O30:O31"/>
    <mergeCell ref="P30:P31"/>
    <mergeCell ref="Q30:Q31"/>
    <mergeCell ref="Y28:AE29"/>
    <mergeCell ref="X28:X29"/>
    <mergeCell ref="O28:O29"/>
    <mergeCell ref="P28:P29"/>
    <mergeCell ref="R28:R29"/>
    <mergeCell ref="A32:A33"/>
    <mergeCell ref="B32:D33"/>
    <mergeCell ref="E32:E33"/>
    <mergeCell ref="F32:F33"/>
    <mergeCell ref="G32:G33"/>
    <mergeCell ref="H32:H33"/>
    <mergeCell ref="A34:A35"/>
    <mergeCell ref="B34:D35"/>
    <mergeCell ref="E34:E35"/>
    <mergeCell ref="F34:F35"/>
    <mergeCell ref="G34:G35"/>
    <mergeCell ref="H34:H35"/>
    <mergeCell ref="I32:I33"/>
    <mergeCell ref="J32:J33"/>
    <mergeCell ref="K32:K33"/>
    <mergeCell ref="L32:L33"/>
    <mergeCell ref="M32:M33"/>
    <mergeCell ref="R34:R35"/>
    <mergeCell ref="S34:W35"/>
    <mergeCell ref="X34:X35"/>
    <mergeCell ref="O32:O33"/>
    <mergeCell ref="N32:N33"/>
    <mergeCell ref="L34:L35"/>
    <mergeCell ref="M34:M35"/>
    <mergeCell ref="N34:N35"/>
    <mergeCell ref="P32:P33"/>
    <mergeCell ref="Q32:Q33"/>
    <mergeCell ref="R32:R33"/>
    <mergeCell ref="S32:W33"/>
    <mergeCell ref="I34:I35"/>
    <mergeCell ref="J34:J35"/>
    <mergeCell ref="K34:K35"/>
    <mergeCell ref="O34:O35"/>
    <mergeCell ref="P34:P35"/>
    <mergeCell ref="Q34:Q35"/>
    <mergeCell ref="X32:X33"/>
    <mergeCell ref="A39:A40"/>
    <mergeCell ref="B39:D40"/>
    <mergeCell ref="E39:E40"/>
    <mergeCell ref="F39:F40"/>
    <mergeCell ref="G39:G40"/>
    <mergeCell ref="H39:H40"/>
    <mergeCell ref="L37:L38"/>
    <mergeCell ref="A37:A38"/>
    <mergeCell ref="B37:D38"/>
    <mergeCell ref="E37:E38"/>
    <mergeCell ref="F37:F38"/>
    <mergeCell ref="G37:G38"/>
    <mergeCell ref="H37:H38"/>
    <mergeCell ref="J39:J40"/>
    <mergeCell ref="K39:K40"/>
    <mergeCell ref="L39:L40"/>
    <mergeCell ref="O39:O40"/>
    <mergeCell ref="P39:P40"/>
    <mergeCell ref="I37:I38"/>
    <mergeCell ref="J37:J38"/>
    <mergeCell ref="K37:K38"/>
    <mergeCell ref="I39:I40"/>
    <mergeCell ref="M39:M40"/>
    <mergeCell ref="N39:N40"/>
    <mergeCell ref="M37:M38"/>
    <mergeCell ref="N37:N38"/>
    <mergeCell ref="A43:A44"/>
    <mergeCell ref="B43:D44"/>
    <mergeCell ref="E43:E44"/>
    <mergeCell ref="F43:F44"/>
    <mergeCell ref="G43:G44"/>
    <mergeCell ref="H43:H44"/>
    <mergeCell ref="O41:O42"/>
    <mergeCell ref="H41:H42"/>
    <mergeCell ref="I41:I42"/>
    <mergeCell ref="G41:G42"/>
    <mergeCell ref="I43:I44"/>
    <mergeCell ref="J43:J44"/>
    <mergeCell ref="A41:A42"/>
    <mergeCell ref="B41:D42"/>
    <mergeCell ref="E41:E42"/>
    <mergeCell ref="F41:F42"/>
    <mergeCell ref="M41:M42"/>
    <mergeCell ref="N41:N42"/>
    <mergeCell ref="K43:K44"/>
    <mergeCell ref="K41:K42"/>
    <mergeCell ref="L41:L42"/>
    <mergeCell ref="M43:M44"/>
    <mergeCell ref="N43:N44"/>
    <mergeCell ref="J41:J42"/>
    <mergeCell ref="AF160:AG160"/>
    <mergeCell ref="A45:A46"/>
    <mergeCell ref="B45:D46"/>
    <mergeCell ref="E45:E46"/>
    <mergeCell ref="F45:F46"/>
    <mergeCell ref="G45:G46"/>
    <mergeCell ref="H45:H46"/>
    <mergeCell ref="B48:D48"/>
    <mergeCell ref="S48:V48"/>
    <mergeCell ref="Y48:AD48"/>
    <mergeCell ref="O45:O46"/>
    <mergeCell ref="P45:P46"/>
    <mergeCell ref="Q45:Q46"/>
    <mergeCell ref="R45:R46"/>
    <mergeCell ref="S45:V46"/>
    <mergeCell ref="K45:K46"/>
    <mergeCell ref="L45:L46"/>
    <mergeCell ref="M45:M46"/>
    <mergeCell ref="N45:N46"/>
    <mergeCell ref="W45:W46"/>
    <mergeCell ref="X45:X46"/>
    <mergeCell ref="I45:I46"/>
    <mergeCell ref="J45:J46"/>
    <mergeCell ref="AF155:AG155"/>
    <mergeCell ref="AF146:AG146"/>
    <mergeCell ref="AF115:AG115"/>
    <mergeCell ref="AF121:AG121"/>
    <mergeCell ref="AE39:AE40"/>
    <mergeCell ref="O43:O44"/>
    <mergeCell ref="Q43:Q44"/>
    <mergeCell ref="S43:V44"/>
    <mergeCell ref="W43:W44"/>
    <mergeCell ref="R43:R44"/>
    <mergeCell ref="X39:X40"/>
    <mergeCell ref="W39:W40"/>
    <mergeCell ref="P43:P44"/>
    <mergeCell ref="Q39:Q40"/>
    <mergeCell ref="R39:R40"/>
    <mergeCell ref="P41:P42"/>
    <mergeCell ref="W41:W42"/>
    <mergeCell ref="X41:X42"/>
    <mergeCell ref="AF89:AG89"/>
    <mergeCell ref="AF142:AG142"/>
    <mergeCell ref="AF76:AG76"/>
    <mergeCell ref="AF77:AG77"/>
    <mergeCell ref="AF59:AG59"/>
    <mergeCell ref="AF61:AG61"/>
    <mergeCell ref="AF62:AG62"/>
    <mergeCell ref="AF143:AG143"/>
    <mergeCell ref="AF118:AG118"/>
    <mergeCell ref="AF90:AG90"/>
    <mergeCell ref="AF85:AG85"/>
    <mergeCell ref="AF91:AG91"/>
    <mergeCell ref="AF133:AG133"/>
    <mergeCell ref="AF57:AG57"/>
    <mergeCell ref="AF73:AG73"/>
    <mergeCell ref="AF75:AG75"/>
    <mergeCell ref="AF63:AG63"/>
    <mergeCell ref="AF71:AG71"/>
    <mergeCell ref="AF114:AG114"/>
    <mergeCell ref="AF105:AG105"/>
    <mergeCell ref="AF87:AG87"/>
    <mergeCell ref="AE45:AE46"/>
    <mergeCell ref="AE41:AE42"/>
    <mergeCell ref="Y32:AE33"/>
    <mergeCell ref="X43:X44"/>
    <mergeCell ref="Q41:Q42"/>
    <mergeCell ref="R41:R42"/>
    <mergeCell ref="S41:V42"/>
    <mergeCell ref="L43:L44"/>
    <mergeCell ref="Y34:AE35"/>
    <mergeCell ref="AE37:AE38"/>
    <mergeCell ref="Y43:AD44"/>
    <mergeCell ref="Y39:AD40"/>
    <mergeCell ref="Y37:AD38"/>
    <mergeCell ref="AE43:AE44"/>
    <mergeCell ref="Y41:AD42"/>
    <mergeCell ref="Y45:AD46"/>
    <mergeCell ref="W37:W38"/>
    <mergeCell ref="X37:X38"/>
    <mergeCell ref="R37:R38"/>
    <mergeCell ref="S37:V38"/>
    <mergeCell ref="O37:O38"/>
    <mergeCell ref="P37:P38"/>
    <mergeCell ref="Q37:Q38"/>
    <mergeCell ref="S39:V40"/>
  </mergeCells>
  <conditionalFormatting sqref="AI62:AT62">
    <cfRule type="cellIs" dxfId="20" priority="4" stopIfTrue="1" operator="between">
      <formula>-1000</formula>
      <formula>0.494</formula>
    </cfRule>
    <cfRule type="cellIs" dxfId="19" priority="5" stopIfTrue="1" operator="between">
      <formula>0.495</formula>
      <formula>0.794</formula>
    </cfRule>
    <cfRule type="cellIs" dxfId="18" priority="6" stopIfTrue="1" operator="between">
      <formula>0.795</formula>
      <formula>1000</formula>
    </cfRule>
  </conditionalFormatting>
  <conditionalFormatting sqref="AI76:AT76">
    <cfRule type="cellIs" dxfId="17" priority="1" stopIfTrue="1" operator="between">
      <formula>-1000</formula>
      <formula>0.494</formula>
    </cfRule>
    <cfRule type="cellIs" dxfId="16" priority="2" stopIfTrue="1" operator="between">
      <formula>0.495</formula>
      <formula>0.794</formula>
    </cfRule>
    <cfRule type="cellIs" dxfId="15" priority="3" stopIfTrue="1" operator="between">
      <formula>0.795</formula>
      <formula>1000</formula>
    </cfRule>
  </conditionalFormatting>
  <conditionalFormatting sqref="AI90:AT90 AI104:AT104 AI117:AT117 AI145:AT145 AI159:AT159 AI163:AT163">
    <cfRule type="cellIs" dxfId="14" priority="115" stopIfTrue="1" operator="between">
      <formula>-1000</formula>
      <formula>0.494</formula>
    </cfRule>
    <cfRule type="cellIs" dxfId="13" priority="116" stopIfTrue="1" operator="between">
      <formula>0.495</formula>
      <formula>0.794</formula>
    </cfRule>
    <cfRule type="cellIs" dxfId="12" priority="117" stopIfTrue="1" operator="between">
      <formula>0.795</formula>
      <formula>1000</formula>
    </cfRule>
  </conditionalFormatting>
  <conditionalFormatting sqref="AI132:AT132">
    <cfRule type="cellIs" dxfId="11" priority="13" stopIfTrue="1" operator="between">
      <formula>-1000</formula>
      <formula>0.494</formula>
    </cfRule>
    <cfRule type="cellIs" dxfId="10" priority="14" stopIfTrue="1" operator="between">
      <formula>0.495</formula>
      <formula>0.794</formula>
    </cfRule>
    <cfRule type="cellIs" dxfId="9" priority="15" stopIfTrue="1" operator="between">
      <formula>0.795</formula>
      <formula>1000</formula>
    </cfRule>
  </conditionalFormatting>
  <printOptions horizontalCentered="1" verticalCentered="1"/>
  <pageMargins left="0" right="0" top="0.31" bottom="0" header="0.25" footer="0"/>
  <pageSetup paperSize="8" scale="55" orientation="landscape" horizontalDpi="4294967293" verticalDpi="4294967293" r:id="rId1"/>
  <rowBreaks count="1" manualBreakCount="1">
    <brk id="48" max="16383" man="1"/>
  </rowBreaks>
  <colBreaks count="1" manualBreakCount="1">
    <brk id="31" max="1048575" man="1"/>
  </colBreaks>
  <drawing r:id="rId2"/>
  <legacyDrawing r:id="rId3"/>
  <oleObjects>
    <mc:AlternateContent xmlns:mc="http://schemas.openxmlformats.org/markup-compatibility/2006">
      <mc:Choice Requires="x14">
        <oleObject progId="MSGraph.Chart.8" shapeId="4156" r:id="rId4">
          <objectPr defaultSize="0" autoPict="0" r:id="rId5">
            <anchor moveWithCells="1" sizeWithCells="1">
              <from>
                <xdr:col>2</xdr:col>
                <xdr:colOff>146050</xdr:colOff>
                <xdr:row>26</xdr:row>
                <xdr:rowOff>152400</xdr:rowOff>
              </from>
              <to>
                <xdr:col>7</xdr:col>
                <xdr:colOff>107950</xdr:colOff>
                <xdr:row>36</xdr:row>
                <xdr:rowOff>190500</xdr:rowOff>
              </to>
            </anchor>
          </objectPr>
        </oleObject>
      </mc:Choice>
      <mc:Fallback>
        <oleObject progId="MSGraph.Chart.8" shapeId="4156" r:id="rId4"/>
      </mc:Fallback>
    </mc:AlternateContent>
    <mc:AlternateContent xmlns:mc="http://schemas.openxmlformats.org/markup-compatibility/2006">
      <mc:Choice Requires="x14">
        <oleObject progId="MSGraph.Chart.8" shapeId="4157" r:id="rId6">
          <objectPr defaultSize="0" autoPict="0" r:id="rId7">
            <anchor moveWithCells="1" sizeWithCells="1">
              <from>
                <xdr:col>18</xdr:col>
                <xdr:colOff>76200</xdr:colOff>
                <xdr:row>26</xdr:row>
                <xdr:rowOff>190500</xdr:rowOff>
              </from>
              <to>
                <xdr:col>25</xdr:col>
                <xdr:colOff>717550</xdr:colOff>
                <xdr:row>36</xdr:row>
                <xdr:rowOff>260350</xdr:rowOff>
              </to>
            </anchor>
          </objectPr>
        </oleObject>
      </mc:Choice>
      <mc:Fallback>
        <oleObject progId="MSGraph.Chart.8" shapeId="4157" r:id="rId6"/>
      </mc:Fallback>
    </mc:AlternateContent>
    <mc:AlternateContent xmlns:mc="http://schemas.openxmlformats.org/markup-compatibility/2006">
      <mc:Choice Requires="x14">
        <oleObject progId="MSGraph.Chart.8" shapeId="4158" r:id="rId8">
          <objectPr defaultSize="0" autoPict="0" r:id="rId9">
            <anchor moveWithCells="1" sizeWithCells="1">
              <from>
                <xdr:col>2</xdr:col>
                <xdr:colOff>107950</xdr:colOff>
                <xdr:row>37</xdr:row>
                <xdr:rowOff>38100</xdr:rowOff>
              </from>
              <to>
                <xdr:col>7</xdr:col>
                <xdr:colOff>107950</xdr:colOff>
                <xdr:row>47</xdr:row>
                <xdr:rowOff>38100</xdr:rowOff>
              </to>
            </anchor>
          </objectPr>
        </oleObject>
      </mc:Choice>
      <mc:Fallback>
        <oleObject progId="MSGraph.Chart.8" shapeId="4158" r:id="rId8"/>
      </mc:Fallback>
    </mc:AlternateContent>
    <mc:AlternateContent xmlns:mc="http://schemas.openxmlformats.org/markup-compatibility/2006">
      <mc:Choice Requires="x14">
        <oleObject progId="MSGraph.Chart.8" shapeId="4159" r:id="rId10">
          <objectPr defaultSize="0" autoPict="0" r:id="rId11">
            <anchor moveWithCells="1" sizeWithCells="1">
              <from>
                <xdr:col>8</xdr:col>
                <xdr:colOff>107950</xdr:colOff>
                <xdr:row>37</xdr:row>
                <xdr:rowOff>146050</xdr:rowOff>
              </from>
              <to>
                <xdr:col>17</xdr:col>
                <xdr:colOff>527050</xdr:colOff>
                <xdr:row>47</xdr:row>
                <xdr:rowOff>146050</xdr:rowOff>
              </to>
            </anchor>
          </objectPr>
        </oleObject>
      </mc:Choice>
      <mc:Fallback>
        <oleObject progId="MSGraph.Chart.8" shapeId="4159" r:id="rId10"/>
      </mc:Fallback>
    </mc:AlternateContent>
    <mc:AlternateContent xmlns:mc="http://schemas.openxmlformats.org/markup-compatibility/2006">
      <mc:Choice Requires="x14">
        <oleObject progId="MSGraph.Chart.8" shapeId="4160" r:id="rId12">
          <objectPr defaultSize="0" autoPict="0" r:id="rId13">
            <anchor moveWithCells="1" sizeWithCells="1">
              <from>
                <xdr:col>8</xdr:col>
                <xdr:colOff>12700</xdr:colOff>
                <xdr:row>26</xdr:row>
                <xdr:rowOff>203200</xdr:rowOff>
              </from>
              <to>
                <xdr:col>17</xdr:col>
                <xdr:colOff>488950</xdr:colOff>
                <xdr:row>36</xdr:row>
                <xdr:rowOff>222250</xdr:rowOff>
              </to>
            </anchor>
          </objectPr>
        </oleObject>
      </mc:Choice>
      <mc:Fallback>
        <oleObject progId="MSGraph.Chart.8" shapeId="4160" r:id="rId12"/>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V78"/>
  <sheetViews>
    <sheetView zoomScale="60" zoomScaleNormal="60" workbookViewId="0">
      <selection activeCell="A4" sqref="A4"/>
    </sheetView>
  </sheetViews>
  <sheetFormatPr defaultColWidth="9.1796875" defaultRowHeight="15.5"/>
  <cols>
    <col min="1" max="1" width="9.453125" style="294" customWidth="1"/>
    <col min="2" max="2" width="2.81640625" style="294" customWidth="1"/>
    <col min="3" max="3" width="9.1796875" style="294"/>
    <col min="4" max="4" width="48.1796875" style="294" customWidth="1"/>
    <col min="5" max="17" width="8.54296875" style="294" customWidth="1"/>
    <col min="18" max="21" width="12.453125" style="294" customWidth="1"/>
    <col min="22" max="25" width="9.54296875" style="294" customWidth="1"/>
    <col min="26" max="26" width="11" style="294" customWidth="1"/>
    <col min="27" max="33" width="9.54296875" style="294" customWidth="1"/>
    <col min="34" max="34" width="41.54296875" style="294" bestFit="1" customWidth="1"/>
    <col min="35" max="35" width="16.54296875" style="294" bestFit="1" customWidth="1"/>
    <col min="36" max="36" width="13.1796875" style="294" customWidth="1"/>
    <col min="37" max="37" width="14.54296875" style="294" customWidth="1"/>
    <col min="38" max="48" width="13" style="294" customWidth="1"/>
    <col min="49" max="16384" width="9.1796875" style="294"/>
  </cols>
  <sheetData>
    <row r="1" spans="1:33" ht="16" thickBot="1"/>
    <row r="2" spans="1:33" ht="52.5" customHeight="1">
      <c r="A2" s="1264">
        <f>AO66</f>
        <v>1</v>
      </c>
      <c r="B2" s="879" t="s">
        <v>27</v>
      </c>
      <c r="C2" s="879"/>
      <c r="D2" s="880"/>
      <c r="E2" s="881" t="s">
        <v>28</v>
      </c>
      <c r="F2" s="882"/>
      <c r="G2" s="882"/>
      <c r="H2" s="797"/>
      <c r="I2" s="883" t="s">
        <v>139</v>
      </c>
      <c r="J2" s="882"/>
      <c r="K2" s="882"/>
      <c r="L2" s="882"/>
      <c r="M2" s="882"/>
      <c r="N2" s="882"/>
      <c r="O2" s="882"/>
      <c r="P2" s="882"/>
      <c r="Q2" s="882"/>
      <c r="R2" s="792" t="s">
        <v>30</v>
      </c>
      <c r="S2" s="793"/>
      <c r="T2" s="794"/>
      <c r="U2" s="795"/>
      <c r="V2" s="795"/>
      <c r="W2" s="795"/>
      <c r="X2" s="795"/>
      <c r="Y2" s="796"/>
      <c r="Z2" s="797" t="s">
        <v>31</v>
      </c>
      <c r="AA2" s="798"/>
      <c r="AB2" s="798"/>
      <c r="AC2" s="798"/>
      <c r="AD2" s="798"/>
      <c r="AE2" s="798"/>
      <c r="AF2" s="798"/>
      <c r="AG2" s="799"/>
    </row>
    <row r="3" spans="1:33" ht="52.5" customHeight="1" thickBot="1">
      <c r="A3" s="1265"/>
      <c r="B3" s="1266" t="s">
        <v>32</v>
      </c>
      <c r="C3" s="1260"/>
      <c r="D3" s="1280"/>
      <c r="E3" s="1266" t="s">
        <v>33</v>
      </c>
      <c r="F3" s="1260"/>
      <c r="G3" s="1260"/>
      <c r="H3" s="1260"/>
      <c r="I3" s="1260" t="s">
        <v>34</v>
      </c>
      <c r="J3" s="1260"/>
      <c r="K3" s="1260"/>
      <c r="L3" s="1261"/>
      <c r="M3" s="1261"/>
      <c r="N3" s="1261"/>
      <c r="O3" s="1261"/>
      <c r="P3" s="1261"/>
      <c r="Q3" s="1261"/>
      <c r="R3" s="1262" t="s">
        <v>35</v>
      </c>
      <c r="S3" s="1263"/>
      <c r="T3" s="1281">
        <v>45540</v>
      </c>
      <c r="U3" s="1282"/>
      <c r="V3" s="1282"/>
      <c r="W3" s="1282"/>
      <c r="X3" s="1282"/>
      <c r="Y3" s="1283"/>
      <c r="Z3" s="834" t="s">
        <v>148</v>
      </c>
      <c r="AA3" s="835"/>
      <c r="AB3" s="835"/>
      <c r="AC3" s="835"/>
      <c r="AD3" s="835"/>
      <c r="AE3" s="835"/>
      <c r="AF3" s="835"/>
      <c r="AG3" s="836"/>
    </row>
    <row r="4" spans="1:33" ht="52.5" customHeight="1" thickBot="1">
      <c r="A4" s="557" t="s">
        <v>213</v>
      </c>
      <c r="B4" s="1287" t="s">
        <v>36</v>
      </c>
      <c r="C4" s="1278"/>
      <c r="D4" s="1159"/>
      <c r="E4" s="1267" t="s">
        <v>274</v>
      </c>
      <c r="F4" s="1240"/>
      <c r="G4" s="1240"/>
      <c r="H4" s="1240"/>
      <c r="I4" s="1279" t="s">
        <v>208</v>
      </c>
      <c r="J4" s="1279"/>
      <c r="K4" s="1279"/>
      <c r="L4" s="1279"/>
      <c r="M4" s="1279"/>
      <c r="N4" s="1279"/>
      <c r="O4" s="1279"/>
      <c r="P4" s="1279"/>
      <c r="Q4" s="1279"/>
      <c r="R4" s="1258" t="s">
        <v>37</v>
      </c>
      <c r="S4" s="1259"/>
      <c r="T4" s="1284" t="s">
        <v>146</v>
      </c>
      <c r="U4" s="1285"/>
      <c r="V4" s="1285"/>
      <c r="W4" s="1285"/>
      <c r="X4" s="1285"/>
      <c r="Y4" s="1286"/>
      <c r="Z4" s="837"/>
      <c r="AA4" s="838"/>
      <c r="AB4" s="838"/>
      <c r="AC4" s="838"/>
      <c r="AD4" s="838"/>
      <c r="AE4" s="838"/>
      <c r="AF4" s="838"/>
      <c r="AG4" s="839"/>
    </row>
    <row r="5" spans="1:33" ht="60" customHeight="1" thickBot="1">
      <c r="A5" s="1116" t="s">
        <v>39</v>
      </c>
      <c r="B5" s="874" t="s">
        <v>40</v>
      </c>
      <c r="C5" s="875"/>
      <c r="D5" s="876"/>
      <c r="E5" s="874" t="s">
        <v>41</v>
      </c>
      <c r="F5" s="875"/>
      <c r="G5" s="875"/>
      <c r="H5" s="887"/>
      <c r="I5" s="888" t="s">
        <v>42</v>
      </c>
      <c r="J5" s="875"/>
      <c r="K5" s="875"/>
      <c r="L5" s="875"/>
      <c r="M5" s="875"/>
      <c r="N5" s="875"/>
      <c r="O5" s="875"/>
      <c r="P5" s="875"/>
      <c r="Q5" s="875"/>
      <c r="R5" s="1158" t="s">
        <v>223</v>
      </c>
      <c r="S5" s="1274"/>
      <c r="T5" s="1278" t="s">
        <v>224</v>
      </c>
      <c r="U5" s="1274"/>
      <c r="V5" s="1158"/>
      <c r="W5" s="1274"/>
      <c r="X5" s="1158"/>
      <c r="Y5" s="1159"/>
      <c r="Z5" s="1158"/>
      <c r="AA5" s="1159"/>
      <c r="AB5" s="1278"/>
      <c r="AC5" s="1274"/>
      <c r="AD5" s="1278"/>
      <c r="AE5" s="1274"/>
      <c r="AF5" s="1158"/>
      <c r="AG5" s="1159"/>
    </row>
    <row r="6" spans="1:33" ht="48.75" customHeight="1" thickBot="1">
      <c r="A6" s="872"/>
      <c r="B6" s="857" t="s">
        <v>43</v>
      </c>
      <c r="C6" s="728"/>
      <c r="D6" s="729"/>
      <c r="E6" s="864" t="s">
        <v>122</v>
      </c>
      <c r="F6" s="865"/>
      <c r="G6" s="865"/>
      <c r="H6" s="866"/>
      <c r="I6" s="1290" t="s">
        <v>271</v>
      </c>
      <c r="J6" s="1291"/>
      <c r="K6" s="1291"/>
      <c r="L6" s="1291"/>
      <c r="M6" s="1291"/>
      <c r="N6" s="1291"/>
      <c r="O6" s="1291"/>
      <c r="P6" s="1291"/>
      <c r="Q6" s="1292"/>
      <c r="R6" s="558" t="s">
        <v>246</v>
      </c>
      <c r="S6" s="559" t="s">
        <v>247</v>
      </c>
      <c r="T6" s="558" t="s">
        <v>246</v>
      </c>
      <c r="U6" s="559" t="s">
        <v>247</v>
      </c>
      <c r="V6" s="558"/>
      <c r="W6" s="559"/>
      <c r="X6" s="558"/>
      <c r="Y6" s="559"/>
      <c r="Z6" s="558"/>
      <c r="AA6" s="559"/>
      <c r="AB6" s="558"/>
      <c r="AC6" s="559"/>
      <c r="AD6" s="558"/>
      <c r="AE6" s="559"/>
      <c r="AF6" s="558"/>
      <c r="AG6" s="560"/>
    </row>
    <row r="7" spans="1:33" ht="12.75" customHeight="1">
      <c r="A7" s="872"/>
      <c r="B7" s="857"/>
      <c r="C7" s="728"/>
      <c r="D7" s="729"/>
      <c r="E7" s="864"/>
      <c r="F7" s="865"/>
      <c r="G7" s="865"/>
      <c r="H7" s="866"/>
      <c r="I7" s="1293"/>
      <c r="J7" s="1291"/>
      <c r="K7" s="1291"/>
      <c r="L7" s="1291"/>
      <c r="M7" s="1291"/>
      <c r="N7" s="1291"/>
      <c r="O7" s="1291"/>
      <c r="P7" s="1291"/>
      <c r="Q7" s="1292"/>
      <c r="R7" s="1275">
        <v>0</v>
      </c>
      <c r="S7" s="814">
        <v>0</v>
      </c>
      <c r="T7" s="1268">
        <v>0.99729999999999996</v>
      </c>
      <c r="U7" s="1271">
        <v>0.95</v>
      </c>
      <c r="V7" s="811"/>
      <c r="W7" s="811"/>
      <c r="X7" s="811"/>
      <c r="Y7" s="814"/>
      <c r="Z7" s="811"/>
      <c r="AA7" s="814"/>
      <c r="AB7" s="1288"/>
      <c r="AC7" s="1167"/>
      <c r="AD7" s="1288"/>
      <c r="AE7" s="1167"/>
      <c r="AF7" s="1172"/>
      <c r="AG7" s="1170"/>
    </row>
    <row r="8" spans="1:33" ht="13.5" customHeight="1">
      <c r="A8" s="872"/>
      <c r="B8" s="857"/>
      <c r="C8" s="728"/>
      <c r="D8" s="729"/>
      <c r="E8" s="864"/>
      <c r="F8" s="865"/>
      <c r="G8" s="865"/>
      <c r="H8" s="866"/>
      <c r="I8" s="1293"/>
      <c r="J8" s="1291"/>
      <c r="K8" s="1291"/>
      <c r="L8" s="1291"/>
      <c r="M8" s="1291"/>
      <c r="N8" s="1291"/>
      <c r="O8" s="1291"/>
      <c r="P8" s="1291"/>
      <c r="Q8" s="1292"/>
      <c r="R8" s="1276"/>
      <c r="S8" s="815"/>
      <c r="T8" s="1269"/>
      <c r="U8" s="1272"/>
      <c r="V8" s="812"/>
      <c r="W8" s="812"/>
      <c r="X8" s="812"/>
      <c r="Y8" s="815"/>
      <c r="Z8" s="812"/>
      <c r="AA8" s="815"/>
      <c r="AB8" s="1288"/>
      <c r="AC8" s="1168"/>
      <c r="AD8" s="1288"/>
      <c r="AE8" s="1168"/>
      <c r="AF8" s="1172"/>
      <c r="AG8" s="1170"/>
    </row>
    <row r="9" spans="1:33" ht="13.5" customHeight="1">
      <c r="A9" s="872"/>
      <c r="B9" s="857"/>
      <c r="C9" s="728"/>
      <c r="D9" s="729"/>
      <c r="E9" s="864"/>
      <c r="F9" s="865"/>
      <c r="G9" s="865"/>
      <c r="H9" s="866"/>
      <c r="I9" s="1293"/>
      <c r="J9" s="1291"/>
      <c r="K9" s="1291"/>
      <c r="L9" s="1291"/>
      <c r="M9" s="1291"/>
      <c r="N9" s="1291"/>
      <c r="O9" s="1291"/>
      <c r="P9" s="1291"/>
      <c r="Q9" s="1292"/>
      <c r="R9" s="1276"/>
      <c r="S9" s="815"/>
      <c r="T9" s="1269"/>
      <c r="U9" s="1272"/>
      <c r="V9" s="812"/>
      <c r="W9" s="812"/>
      <c r="X9" s="812"/>
      <c r="Y9" s="815"/>
      <c r="Z9" s="812"/>
      <c r="AA9" s="815"/>
      <c r="AB9" s="1288"/>
      <c r="AC9" s="1168"/>
      <c r="AD9" s="1288"/>
      <c r="AE9" s="1168"/>
      <c r="AF9" s="1172"/>
      <c r="AG9" s="1170"/>
    </row>
    <row r="10" spans="1:33" ht="13.5" customHeight="1">
      <c r="A10" s="872"/>
      <c r="B10" s="857"/>
      <c r="C10" s="728"/>
      <c r="D10" s="729"/>
      <c r="E10" s="864"/>
      <c r="F10" s="865"/>
      <c r="G10" s="865"/>
      <c r="H10" s="866"/>
      <c r="I10" s="1293"/>
      <c r="J10" s="1291"/>
      <c r="K10" s="1291"/>
      <c r="L10" s="1291"/>
      <c r="M10" s="1291"/>
      <c r="N10" s="1291"/>
      <c r="O10" s="1291"/>
      <c r="P10" s="1291"/>
      <c r="Q10" s="1292"/>
      <c r="R10" s="1276"/>
      <c r="S10" s="815"/>
      <c r="T10" s="1269"/>
      <c r="U10" s="1272"/>
      <c r="V10" s="812"/>
      <c r="W10" s="812"/>
      <c r="X10" s="812"/>
      <c r="Y10" s="815"/>
      <c r="Z10" s="812"/>
      <c r="AA10" s="815"/>
      <c r="AB10" s="1288"/>
      <c r="AC10" s="1168"/>
      <c r="AD10" s="1288"/>
      <c r="AE10" s="1168"/>
      <c r="AF10" s="1172"/>
      <c r="AG10" s="1170"/>
    </row>
    <row r="11" spans="1:33" ht="13.5" customHeight="1">
      <c r="A11" s="872"/>
      <c r="B11" s="857"/>
      <c r="C11" s="728"/>
      <c r="D11" s="729"/>
      <c r="E11" s="864"/>
      <c r="F11" s="865"/>
      <c r="G11" s="865"/>
      <c r="H11" s="866"/>
      <c r="I11" s="1293"/>
      <c r="J11" s="1291"/>
      <c r="K11" s="1291"/>
      <c r="L11" s="1291"/>
      <c r="M11" s="1291"/>
      <c r="N11" s="1291"/>
      <c r="O11" s="1291"/>
      <c r="P11" s="1291"/>
      <c r="Q11" s="1292"/>
      <c r="R11" s="1276"/>
      <c r="S11" s="815"/>
      <c r="T11" s="1269"/>
      <c r="U11" s="1272"/>
      <c r="V11" s="812"/>
      <c r="W11" s="812"/>
      <c r="X11" s="812"/>
      <c r="Y11" s="815"/>
      <c r="Z11" s="812"/>
      <c r="AA11" s="815"/>
      <c r="AB11" s="1288"/>
      <c r="AC11" s="1168"/>
      <c r="AD11" s="1288"/>
      <c r="AE11" s="1168"/>
      <c r="AF11" s="1172"/>
      <c r="AG11" s="1170"/>
    </row>
    <row r="12" spans="1:33" ht="13.5" customHeight="1" thickBot="1">
      <c r="A12" s="873"/>
      <c r="B12" s="858"/>
      <c r="C12" s="859"/>
      <c r="D12" s="860"/>
      <c r="E12" s="837"/>
      <c r="F12" s="838"/>
      <c r="G12" s="838"/>
      <c r="H12" s="867"/>
      <c r="I12" s="819"/>
      <c r="J12" s="820"/>
      <c r="K12" s="820"/>
      <c r="L12" s="820"/>
      <c r="M12" s="820"/>
      <c r="N12" s="820"/>
      <c r="O12" s="820"/>
      <c r="P12" s="820"/>
      <c r="Q12" s="1294"/>
      <c r="R12" s="1277"/>
      <c r="S12" s="827"/>
      <c r="T12" s="1270"/>
      <c r="U12" s="1273"/>
      <c r="V12" s="825"/>
      <c r="W12" s="825"/>
      <c r="X12" s="825"/>
      <c r="Y12" s="827"/>
      <c r="Z12" s="825"/>
      <c r="AA12" s="827"/>
      <c r="AB12" s="1289"/>
      <c r="AC12" s="1169"/>
      <c r="AD12" s="1289"/>
      <c r="AE12" s="1169"/>
      <c r="AF12" s="1173"/>
      <c r="AG12" s="1171"/>
    </row>
    <row r="13" spans="1:33" ht="36" customHeight="1" thickBot="1">
      <c r="A13" s="291" t="s">
        <v>45</v>
      </c>
      <c r="B13" s="780" t="s">
        <v>150</v>
      </c>
      <c r="C13" s="780"/>
      <c r="D13" s="781"/>
      <c r="E13" s="292" t="s">
        <v>47</v>
      </c>
      <c r="F13" s="293" t="s">
        <v>48</v>
      </c>
      <c r="G13" s="293" t="s">
        <v>49</v>
      </c>
      <c r="H13" s="293" t="s">
        <v>50</v>
      </c>
      <c r="I13" s="293" t="s">
        <v>51</v>
      </c>
      <c r="J13" s="293" t="s">
        <v>52</v>
      </c>
      <c r="K13" s="293" t="s">
        <v>53</v>
      </c>
      <c r="L13" s="293" t="s">
        <v>54</v>
      </c>
      <c r="M13" s="293" t="s">
        <v>55</v>
      </c>
      <c r="N13" s="293" t="s">
        <v>56</v>
      </c>
      <c r="O13" s="293" t="s">
        <v>57</v>
      </c>
      <c r="P13" s="293" t="s">
        <v>58</v>
      </c>
      <c r="Q13" s="293" t="s">
        <v>59</v>
      </c>
      <c r="R13" s="782" t="s">
        <v>60</v>
      </c>
      <c r="S13" s="783"/>
      <c r="T13" s="783"/>
      <c r="U13" s="783"/>
      <c r="V13" s="783"/>
      <c r="W13" s="783"/>
      <c r="X13" s="783"/>
      <c r="Y13" s="784"/>
      <c r="Z13" s="782" t="s">
        <v>61</v>
      </c>
      <c r="AA13" s="783"/>
      <c r="AB13" s="783"/>
      <c r="AC13" s="783"/>
      <c r="AD13" s="783"/>
      <c r="AE13" s="783"/>
      <c r="AF13" s="783"/>
      <c r="AG13" s="784"/>
    </row>
    <row r="14" spans="1:33" ht="80.5" customHeight="1">
      <c r="A14" s="432">
        <v>1</v>
      </c>
      <c r="B14" s="1255" t="s">
        <v>210</v>
      </c>
      <c r="C14" s="1256"/>
      <c r="D14" s="1257"/>
      <c r="E14" s="307" t="s">
        <v>273</v>
      </c>
      <c r="F14" s="280"/>
      <c r="G14" s="280"/>
      <c r="H14" s="280"/>
      <c r="I14" s="280"/>
      <c r="J14" s="280"/>
      <c r="K14" s="280"/>
      <c r="L14" s="280"/>
      <c r="M14" s="280"/>
      <c r="N14" s="280"/>
      <c r="O14" s="280"/>
      <c r="P14" s="280"/>
      <c r="Q14" s="280"/>
      <c r="R14" s="196">
        <v>45383</v>
      </c>
      <c r="S14" s="762" t="s">
        <v>322</v>
      </c>
      <c r="T14" s="763"/>
      <c r="U14" s="763"/>
      <c r="V14" s="763"/>
      <c r="W14" s="763"/>
      <c r="X14" s="763"/>
      <c r="Y14" s="764"/>
      <c r="Z14" s="196">
        <v>45383</v>
      </c>
      <c r="AA14" s="1096" t="s">
        <v>329</v>
      </c>
      <c r="AB14" s="1097"/>
      <c r="AC14" s="1097"/>
      <c r="AD14" s="1097"/>
      <c r="AE14" s="1097"/>
      <c r="AF14" s="1097"/>
      <c r="AG14" s="1098"/>
    </row>
    <row r="15" spans="1:33" ht="96.65" customHeight="1">
      <c r="A15" s="434">
        <v>2</v>
      </c>
      <c r="B15" s="739" t="s">
        <v>211</v>
      </c>
      <c r="C15" s="740"/>
      <c r="D15" s="741"/>
      <c r="E15" s="307" t="s">
        <v>209</v>
      </c>
      <c r="F15" s="281"/>
      <c r="G15" s="281"/>
      <c r="H15" s="280"/>
      <c r="I15" s="280"/>
      <c r="J15" s="280"/>
      <c r="K15" s="280"/>
      <c r="L15" s="280"/>
      <c r="M15" s="280"/>
      <c r="N15" s="280"/>
      <c r="O15" s="280"/>
      <c r="P15" s="280"/>
      <c r="Q15" s="280"/>
      <c r="R15" s="196">
        <v>45413</v>
      </c>
      <c r="S15" s="1080" t="s">
        <v>327</v>
      </c>
      <c r="T15" s="1081"/>
      <c r="U15" s="1081"/>
      <c r="V15" s="1081"/>
      <c r="W15" s="1081"/>
      <c r="X15" s="1081"/>
      <c r="Y15" s="1082"/>
      <c r="Z15" s="196">
        <v>45413</v>
      </c>
      <c r="AA15" s="1096" t="s">
        <v>328</v>
      </c>
      <c r="AB15" s="1097"/>
      <c r="AC15" s="1097"/>
      <c r="AD15" s="1097"/>
      <c r="AE15" s="1097"/>
      <c r="AF15" s="1097"/>
      <c r="AG15" s="1098"/>
    </row>
    <row r="16" spans="1:33" ht="63.75" customHeight="1">
      <c r="A16" s="434"/>
      <c r="B16" s="739"/>
      <c r="C16" s="740"/>
      <c r="D16" s="741"/>
      <c r="E16" s="307"/>
      <c r="F16" s="281"/>
      <c r="G16" s="281"/>
      <c r="H16" s="281"/>
      <c r="I16" s="281"/>
      <c r="J16" s="281"/>
      <c r="K16" s="311"/>
      <c r="L16" s="311"/>
      <c r="M16" s="311"/>
      <c r="N16" s="311"/>
      <c r="O16" s="311"/>
      <c r="P16" s="311"/>
      <c r="Q16" s="312"/>
      <c r="R16" s="196">
        <v>45444</v>
      </c>
      <c r="S16" s="757" t="s">
        <v>350</v>
      </c>
      <c r="T16" s="758"/>
      <c r="U16" s="758"/>
      <c r="V16" s="758"/>
      <c r="W16" s="758"/>
      <c r="X16" s="758"/>
      <c r="Y16" s="759"/>
      <c r="Z16" s="196"/>
      <c r="AA16" s="1096"/>
      <c r="AB16" s="1097"/>
      <c r="AC16" s="1097"/>
      <c r="AD16" s="1097"/>
      <c r="AE16" s="1097"/>
      <c r="AF16" s="1097"/>
      <c r="AG16" s="1098"/>
    </row>
    <row r="17" spans="1:33" ht="63.75" customHeight="1">
      <c r="A17" s="434"/>
      <c r="B17" s="739"/>
      <c r="C17" s="740"/>
      <c r="D17" s="741"/>
      <c r="E17" s="307"/>
      <c r="F17" s="281"/>
      <c r="G17" s="281"/>
      <c r="H17" s="281"/>
      <c r="I17" s="281"/>
      <c r="J17" s="281"/>
      <c r="K17" s="281"/>
      <c r="L17" s="281"/>
      <c r="M17" s="281"/>
      <c r="N17" s="281"/>
      <c r="O17" s="281"/>
      <c r="P17" s="281"/>
      <c r="Q17" s="308"/>
      <c r="R17" s="196">
        <v>45474</v>
      </c>
      <c r="S17" s="757" t="s">
        <v>355</v>
      </c>
      <c r="T17" s="758"/>
      <c r="U17" s="758"/>
      <c r="V17" s="758"/>
      <c r="W17" s="758"/>
      <c r="X17" s="758"/>
      <c r="Y17" s="759"/>
      <c r="Z17" s="196"/>
      <c r="AA17" s="1096"/>
      <c r="AB17" s="1097"/>
      <c r="AC17" s="1097"/>
      <c r="AD17" s="1097"/>
      <c r="AE17" s="1097"/>
      <c r="AF17" s="1097"/>
      <c r="AG17" s="1098"/>
    </row>
    <row r="18" spans="1:33" ht="63.75" customHeight="1">
      <c r="A18" s="306"/>
      <c r="B18" s="723"/>
      <c r="C18" s="724"/>
      <c r="D18" s="725"/>
      <c r="E18" s="535"/>
      <c r="F18" s="311"/>
      <c r="G18" s="282"/>
      <c r="H18" s="282"/>
      <c r="I18" s="282"/>
      <c r="J18" s="282"/>
      <c r="K18" s="282"/>
      <c r="L18" s="311"/>
      <c r="M18" s="311"/>
      <c r="N18" s="311"/>
      <c r="O18" s="311"/>
      <c r="P18" s="311"/>
      <c r="Q18" s="312"/>
      <c r="R18" s="657">
        <v>45505</v>
      </c>
      <c r="S18" s="1080" t="s">
        <v>377</v>
      </c>
      <c r="T18" s="1081"/>
      <c r="U18" s="1081"/>
      <c r="V18" s="1081"/>
      <c r="W18" s="1081"/>
      <c r="X18" s="1081"/>
      <c r="Y18" s="1082"/>
      <c r="Z18" s="196"/>
      <c r="AA18" s="1096"/>
      <c r="AB18" s="1097"/>
      <c r="AC18" s="1097"/>
      <c r="AD18" s="1097"/>
      <c r="AE18" s="1097"/>
      <c r="AF18" s="1097"/>
      <c r="AG18" s="1098"/>
    </row>
    <row r="19" spans="1:33" ht="63.75" customHeight="1">
      <c r="A19" s="309"/>
      <c r="B19" s="739"/>
      <c r="C19" s="740"/>
      <c r="D19" s="741"/>
      <c r="E19" s="307"/>
      <c r="F19" s="281"/>
      <c r="G19" s="281"/>
      <c r="H19" s="281"/>
      <c r="I19" s="281"/>
      <c r="J19" s="281"/>
      <c r="K19" s="281"/>
      <c r="L19" s="281"/>
      <c r="M19" s="281"/>
      <c r="N19" s="281"/>
      <c r="O19" s="281"/>
      <c r="P19" s="281"/>
      <c r="Q19" s="308"/>
      <c r="R19" s="196"/>
      <c r="S19" s="1080"/>
      <c r="T19" s="1081"/>
      <c r="U19" s="1081"/>
      <c r="V19" s="1081"/>
      <c r="W19" s="1081"/>
      <c r="X19" s="1081"/>
      <c r="Y19" s="1082"/>
      <c r="Z19" s="437"/>
      <c r="AA19" s="895"/>
      <c r="AB19" s="896"/>
      <c r="AC19" s="896"/>
      <c r="AD19" s="896"/>
      <c r="AE19" s="896"/>
      <c r="AF19" s="896"/>
      <c r="AG19" s="897"/>
    </row>
    <row r="20" spans="1:33" ht="63.75" customHeight="1">
      <c r="A20" s="309"/>
      <c r="B20" s="310"/>
      <c r="C20" s="287"/>
      <c r="D20" s="288"/>
      <c r="E20" s="307"/>
      <c r="F20" s="281"/>
      <c r="G20" s="281"/>
      <c r="H20" s="281"/>
      <c r="I20" s="281"/>
      <c r="J20" s="281"/>
      <c r="K20" s="281"/>
      <c r="L20" s="281"/>
      <c r="M20" s="281"/>
      <c r="N20" s="281"/>
      <c r="O20" s="281"/>
      <c r="P20" s="281"/>
      <c r="Q20" s="308"/>
      <c r="R20" s="196"/>
      <c r="S20" s="1080"/>
      <c r="T20" s="1081"/>
      <c r="U20" s="1081"/>
      <c r="V20" s="1081"/>
      <c r="W20" s="1081"/>
      <c r="X20" s="1081"/>
      <c r="Y20" s="1082"/>
      <c r="Z20" s="437"/>
      <c r="AA20" s="895"/>
      <c r="AB20" s="896"/>
      <c r="AC20" s="896"/>
      <c r="AD20" s="896"/>
      <c r="AE20" s="896"/>
      <c r="AF20" s="896"/>
      <c r="AG20" s="897"/>
    </row>
    <row r="21" spans="1:33" ht="63.75" customHeight="1">
      <c r="A21" s="309"/>
      <c r="B21" s="739"/>
      <c r="C21" s="740"/>
      <c r="D21" s="741"/>
      <c r="E21" s="307"/>
      <c r="F21" s="281"/>
      <c r="G21" s="281"/>
      <c r="H21" s="281"/>
      <c r="I21" s="281"/>
      <c r="J21" s="281"/>
      <c r="K21" s="281"/>
      <c r="L21" s="281"/>
      <c r="M21" s="281"/>
      <c r="N21" s="281"/>
      <c r="O21" s="281"/>
      <c r="P21" s="281"/>
      <c r="Q21" s="308"/>
      <c r="R21" s="196"/>
      <c r="S21" s="757"/>
      <c r="T21" s="758"/>
      <c r="U21" s="758"/>
      <c r="V21" s="758"/>
      <c r="W21" s="758"/>
      <c r="X21" s="758"/>
      <c r="Y21" s="759"/>
      <c r="Z21" s="437"/>
      <c r="AA21" s="895"/>
      <c r="AB21" s="896"/>
      <c r="AC21" s="896"/>
      <c r="AD21" s="896"/>
      <c r="AE21" s="896"/>
      <c r="AF21" s="896"/>
      <c r="AG21" s="897"/>
    </row>
    <row r="22" spans="1:33" ht="63.75" customHeight="1" thickBot="1">
      <c r="A22" s="315"/>
      <c r="B22" s="746"/>
      <c r="C22" s="747"/>
      <c r="D22" s="748"/>
      <c r="E22" s="316"/>
      <c r="F22" s="317"/>
      <c r="G22" s="317"/>
      <c r="H22" s="317"/>
      <c r="I22" s="317"/>
      <c r="J22" s="317"/>
      <c r="K22" s="317"/>
      <c r="L22" s="317"/>
      <c r="M22" s="317"/>
      <c r="N22" s="317"/>
      <c r="O22" s="317"/>
      <c r="P22" s="317"/>
      <c r="Q22" s="318"/>
      <c r="R22" s="540"/>
      <c r="S22" s="1083"/>
      <c r="T22" s="1084"/>
      <c r="U22" s="1084"/>
      <c r="V22" s="1084"/>
      <c r="W22" s="1084"/>
      <c r="X22" s="1084"/>
      <c r="Y22" s="1085"/>
      <c r="Z22" s="540"/>
      <c r="AA22" s="1295"/>
      <c r="AB22" s="1295"/>
      <c r="AC22" s="1295"/>
      <c r="AD22" s="1295"/>
      <c r="AE22" s="1295"/>
      <c r="AF22" s="1295"/>
      <c r="AG22" s="1103"/>
    </row>
    <row r="23" spans="1:33" ht="24.65" customHeight="1">
      <c r="A23" s="736"/>
      <c r="B23" s="737"/>
      <c r="C23" s="737"/>
      <c r="D23" s="737"/>
      <c r="E23" s="734"/>
      <c r="F23" s="734"/>
      <c r="G23" s="730"/>
      <c r="H23" s="730"/>
      <c r="I23" s="730"/>
      <c r="J23" s="730"/>
      <c r="K23" s="730"/>
      <c r="L23" s="730"/>
      <c r="M23" s="730"/>
      <c r="N23" s="730"/>
      <c r="O23" s="730"/>
      <c r="P23" s="730"/>
      <c r="Q23" s="730"/>
      <c r="R23" s="733"/>
      <c r="S23" s="728"/>
      <c r="T23" s="728"/>
      <c r="U23" s="728"/>
      <c r="V23" s="728"/>
      <c r="W23" s="728"/>
      <c r="X23" s="728"/>
      <c r="Y23" s="728"/>
      <c r="Z23" s="733"/>
      <c r="AA23" s="728"/>
      <c r="AB23" s="728"/>
      <c r="AC23" s="728"/>
      <c r="AD23" s="728"/>
      <c r="AE23" s="728"/>
      <c r="AF23" s="728"/>
      <c r="AG23" s="729"/>
    </row>
    <row r="24" spans="1:33" ht="24.65" customHeight="1">
      <c r="A24" s="736"/>
      <c r="B24" s="737"/>
      <c r="C24" s="737"/>
      <c r="D24" s="737"/>
      <c r="E24" s="734"/>
      <c r="F24" s="734"/>
      <c r="G24" s="730"/>
      <c r="H24" s="730"/>
      <c r="I24" s="730"/>
      <c r="J24" s="730"/>
      <c r="K24" s="730"/>
      <c r="L24" s="730"/>
      <c r="M24" s="730"/>
      <c r="N24" s="730"/>
      <c r="O24" s="730"/>
      <c r="P24" s="730"/>
      <c r="Q24" s="730"/>
      <c r="R24" s="733"/>
      <c r="S24" s="728"/>
      <c r="T24" s="728"/>
      <c r="U24" s="728"/>
      <c r="V24" s="728"/>
      <c r="W24" s="728"/>
      <c r="X24" s="728"/>
      <c r="Y24" s="728"/>
      <c r="Z24" s="733"/>
      <c r="AA24" s="728"/>
      <c r="AB24" s="728"/>
      <c r="AC24" s="728"/>
      <c r="AD24" s="728"/>
      <c r="AE24" s="728"/>
      <c r="AF24" s="728"/>
      <c r="AG24" s="729"/>
    </row>
    <row r="25" spans="1:33" ht="24.65" customHeight="1">
      <c r="A25" s="736"/>
      <c r="B25" s="737"/>
      <c r="C25" s="737"/>
      <c r="D25" s="737"/>
      <c r="E25" s="734"/>
      <c r="F25" s="730"/>
      <c r="G25" s="730"/>
      <c r="H25" s="730"/>
      <c r="I25" s="730"/>
      <c r="J25" s="730"/>
      <c r="K25" s="730"/>
      <c r="L25" s="730"/>
      <c r="M25" s="730"/>
      <c r="N25" s="730"/>
      <c r="O25" s="730"/>
      <c r="P25" s="730"/>
      <c r="Q25" s="730"/>
      <c r="R25" s="733"/>
      <c r="S25" s="728"/>
      <c r="T25" s="728"/>
      <c r="U25" s="728"/>
      <c r="V25" s="728"/>
      <c r="W25" s="728"/>
      <c r="X25" s="728"/>
      <c r="Y25" s="728"/>
      <c r="Z25" s="733"/>
      <c r="AA25" s="728"/>
      <c r="AB25" s="728"/>
      <c r="AC25" s="728"/>
      <c r="AD25" s="728"/>
      <c r="AE25" s="728"/>
      <c r="AF25" s="728"/>
      <c r="AG25" s="729"/>
    </row>
    <row r="26" spans="1:33" ht="24.65" customHeight="1">
      <c r="A26" s="736"/>
      <c r="B26" s="737"/>
      <c r="C26" s="737"/>
      <c r="D26" s="737"/>
      <c r="E26" s="734"/>
      <c r="F26" s="730"/>
      <c r="G26" s="730"/>
      <c r="H26" s="730"/>
      <c r="I26" s="730"/>
      <c r="J26" s="730"/>
      <c r="K26" s="730"/>
      <c r="L26" s="730"/>
      <c r="M26" s="730"/>
      <c r="N26" s="730"/>
      <c r="O26" s="730"/>
      <c r="P26" s="730"/>
      <c r="Q26" s="730"/>
      <c r="R26" s="733"/>
      <c r="S26" s="728"/>
      <c r="T26" s="728"/>
      <c r="U26" s="728"/>
      <c r="V26" s="728"/>
      <c r="W26" s="728"/>
      <c r="X26" s="728"/>
      <c r="Y26" s="728"/>
      <c r="Z26" s="733"/>
      <c r="AA26" s="728"/>
      <c r="AB26" s="728"/>
      <c r="AC26" s="728"/>
      <c r="AD26" s="728"/>
      <c r="AE26" s="728"/>
      <c r="AF26" s="728"/>
      <c r="AG26" s="729"/>
    </row>
    <row r="27" spans="1:33" ht="24.65" customHeight="1">
      <c r="A27" s="736"/>
      <c r="B27" s="737"/>
      <c r="C27" s="737"/>
      <c r="D27" s="737"/>
      <c r="E27" s="734"/>
      <c r="F27" s="730"/>
      <c r="G27" s="730"/>
      <c r="H27" s="730"/>
      <c r="I27" s="730"/>
      <c r="J27" s="730"/>
      <c r="K27" s="730"/>
      <c r="L27" s="730"/>
      <c r="M27" s="730"/>
      <c r="N27" s="730"/>
      <c r="O27" s="730"/>
      <c r="P27" s="730"/>
      <c r="Q27" s="730"/>
      <c r="R27" s="732"/>
      <c r="S27" s="728"/>
      <c r="T27" s="728"/>
      <c r="U27" s="728"/>
      <c r="V27" s="728"/>
      <c r="W27" s="728"/>
      <c r="X27" s="728"/>
      <c r="Y27" s="728"/>
      <c r="Z27" s="733"/>
      <c r="AA27" s="728"/>
      <c r="AB27" s="728"/>
      <c r="AC27" s="728"/>
      <c r="AD27" s="728"/>
      <c r="AE27" s="728"/>
      <c r="AF27" s="728"/>
      <c r="AG27" s="729"/>
    </row>
    <row r="28" spans="1:33" ht="24.65" customHeight="1">
      <c r="A28" s="736"/>
      <c r="B28" s="737"/>
      <c r="C28" s="737"/>
      <c r="D28" s="737"/>
      <c r="E28" s="734"/>
      <c r="F28" s="730"/>
      <c r="G28" s="730"/>
      <c r="H28" s="730"/>
      <c r="I28" s="730"/>
      <c r="J28" s="730"/>
      <c r="K28" s="730"/>
      <c r="L28" s="730"/>
      <c r="M28" s="730"/>
      <c r="N28" s="730"/>
      <c r="O28" s="730"/>
      <c r="P28" s="730"/>
      <c r="Q28" s="730"/>
      <c r="R28" s="732"/>
      <c r="S28" s="728"/>
      <c r="T28" s="728"/>
      <c r="U28" s="728"/>
      <c r="V28" s="728"/>
      <c r="W28" s="728"/>
      <c r="X28" s="728"/>
      <c r="Y28" s="728"/>
      <c r="Z28" s="733"/>
      <c r="AA28" s="728"/>
      <c r="AB28" s="728"/>
      <c r="AC28" s="728"/>
      <c r="AD28" s="728"/>
      <c r="AE28" s="728"/>
      <c r="AF28" s="728"/>
      <c r="AG28" s="729"/>
    </row>
    <row r="29" spans="1:33" ht="24.65" customHeight="1">
      <c r="A29" s="736"/>
      <c r="B29" s="737"/>
      <c r="C29" s="737"/>
      <c r="D29" s="737"/>
      <c r="E29" s="734"/>
      <c r="F29" s="734"/>
      <c r="G29" s="730"/>
      <c r="H29" s="730"/>
      <c r="I29" s="730"/>
      <c r="J29" s="730"/>
      <c r="K29" s="730"/>
      <c r="L29" s="730"/>
      <c r="M29" s="730"/>
      <c r="N29" s="730"/>
      <c r="O29" s="730"/>
      <c r="P29" s="730"/>
      <c r="Q29" s="730"/>
      <c r="R29" s="733"/>
      <c r="S29" s="728"/>
      <c r="T29" s="728"/>
      <c r="U29" s="728"/>
      <c r="V29" s="728"/>
      <c r="W29" s="728"/>
      <c r="X29" s="728"/>
      <c r="Y29" s="728"/>
      <c r="Z29" s="733"/>
      <c r="AA29" s="728"/>
      <c r="AB29" s="728"/>
      <c r="AC29" s="728"/>
      <c r="AD29" s="728"/>
      <c r="AE29" s="728"/>
      <c r="AF29" s="728"/>
      <c r="AG29" s="729"/>
    </row>
    <row r="30" spans="1:33" ht="24.65" customHeight="1">
      <c r="A30" s="736"/>
      <c r="B30" s="737"/>
      <c r="C30" s="737"/>
      <c r="D30" s="737"/>
      <c r="E30" s="734"/>
      <c r="F30" s="734"/>
      <c r="G30" s="730"/>
      <c r="H30" s="730"/>
      <c r="I30" s="730"/>
      <c r="J30" s="730"/>
      <c r="K30" s="730"/>
      <c r="L30" s="730"/>
      <c r="M30" s="730"/>
      <c r="N30" s="730"/>
      <c r="O30" s="730"/>
      <c r="P30" s="730"/>
      <c r="Q30" s="730"/>
      <c r="R30" s="733"/>
      <c r="S30" s="728"/>
      <c r="T30" s="728"/>
      <c r="U30" s="728"/>
      <c r="V30" s="728"/>
      <c r="W30" s="728"/>
      <c r="X30" s="728"/>
      <c r="Y30" s="728"/>
      <c r="Z30" s="733"/>
      <c r="AA30" s="728"/>
      <c r="AB30" s="728"/>
      <c r="AC30" s="728"/>
      <c r="AD30" s="728"/>
      <c r="AE30" s="728"/>
      <c r="AF30" s="728"/>
      <c r="AG30" s="729"/>
    </row>
    <row r="31" spans="1:33" ht="24.65" customHeight="1">
      <c r="A31" s="736"/>
      <c r="B31" s="737"/>
      <c r="C31" s="737"/>
      <c r="D31" s="737"/>
      <c r="E31" s="734"/>
      <c r="F31" s="734"/>
      <c r="G31" s="730"/>
      <c r="H31" s="730"/>
      <c r="I31" s="730"/>
      <c r="J31" s="730"/>
      <c r="K31" s="730"/>
      <c r="L31" s="730"/>
      <c r="M31" s="730"/>
      <c r="N31" s="730"/>
      <c r="O31" s="730"/>
      <c r="P31" s="730"/>
      <c r="Q31" s="730"/>
      <c r="R31" s="732"/>
      <c r="S31" s="728"/>
      <c r="T31" s="728"/>
      <c r="U31" s="728"/>
      <c r="V31" s="728"/>
      <c r="W31" s="728"/>
      <c r="X31" s="728"/>
      <c r="Y31" s="728"/>
      <c r="Z31" s="733"/>
      <c r="AA31" s="728"/>
      <c r="AB31" s="728"/>
      <c r="AC31" s="728"/>
      <c r="AD31" s="728"/>
      <c r="AE31" s="728"/>
      <c r="AF31" s="728"/>
      <c r="AG31" s="729"/>
    </row>
    <row r="32" spans="1:33" ht="24.65" customHeight="1">
      <c r="A32" s="736"/>
      <c r="B32" s="737"/>
      <c r="C32" s="737"/>
      <c r="D32" s="737"/>
      <c r="E32" s="734"/>
      <c r="F32" s="734"/>
      <c r="G32" s="730"/>
      <c r="H32" s="730"/>
      <c r="I32" s="730"/>
      <c r="J32" s="730"/>
      <c r="K32" s="730"/>
      <c r="L32" s="730"/>
      <c r="M32" s="730"/>
      <c r="N32" s="730"/>
      <c r="O32" s="730"/>
      <c r="P32" s="730"/>
      <c r="Q32" s="730"/>
      <c r="R32" s="732"/>
      <c r="S32" s="728"/>
      <c r="T32" s="728"/>
      <c r="U32" s="728"/>
      <c r="V32" s="728"/>
      <c r="W32" s="728"/>
      <c r="X32" s="728"/>
      <c r="Y32" s="728"/>
      <c r="Z32" s="733"/>
      <c r="AA32" s="728"/>
      <c r="AB32" s="728"/>
      <c r="AC32" s="728"/>
      <c r="AD32" s="728"/>
      <c r="AE32" s="728"/>
      <c r="AF32" s="728"/>
      <c r="AG32" s="729"/>
    </row>
    <row r="33" spans="1:48" ht="24.65" customHeight="1">
      <c r="A33" s="320"/>
      <c r="B33" s="323"/>
      <c r="C33" s="323"/>
      <c r="D33" s="323"/>
      <c r="E33" s="324"/>
      <c r="F33" s="325"/>
      <c r="G33" s="326"/>
      <c r="H33" s="326"/>
      <c r="I33" s="326"/>
      <c r="J33" s="326"/>
      <c r="K33" s="326"/>
      <c r="L33" s="326"/>
      <c r="M33" s="326"/>
      <c r="N33" s="326"/>
      <c r="O33" s="326"/>
      <c r="P33" s="326"/>
      <c r="Q33" s="326"/>
      <c r="R33" s="327"/>
      <c r="S33" s="328"/>
      <c r="T33" s="328"/>
      <c r="U33" s="328"/>
      <c r="V33" s="328"/>
      <c r="W33" s="328"/>
      <c r="X33" s="328"/>
      <c r="Y33" s="325"/>
      <c r="Z33" s="327"/>
      <c r="AA33" s="328"/>
      <c r="AB33" s="328"/>
      <c r="AC33" s="328"/>
      <c r="AD33" s="328"/>
      <c r="AE33" s="328"/>
      <c r="AF33" s="328"/>
      <c r="AG33" s="441"/>
    </row>
    <row r="34" spans="1:48" ht="24.65" customHeight="1" thickBot="1">
      <c r="A34" s="442"/>
      <c r="B34" s="1194"/>
      <c r="C34" s="1194"/>
      <c r="D34" s="1194"/>
      <c r="E34" s="444"/>
      <c r="F34" s="446"/>
      <c r="G34" s="446"/>
      <c r="H34" s="446"/>
      <c r="I34" s="446"/>
      <c r="J34" s="446"/>
      <c r="K34" s="446"/>
      <c r="L34" s="446"/>
      <c r="M34" s="446"/>
      <c r="N34" s="446"/>
      <c r="O34" s="446"/>
      <c r="P34" s="446"/>
      <c r="Q34" s="446"/>
      <c r="R34" s="447"/>
      <c r="S34" s="1195"/>
      <c r="T34" s="1195"/>
      <c r="U34" s="1195"/>
      <c r="V34" s="1195"/>
      <c r="W34" s="1195"/>
      <c r="X34" s="1195"/>
      <c r="Y34" s="445"/>
      <c r="Z34" s="447"/>
      <c r="AA34" s="1195"/>
      <c r="AB34" s="1195"/>
      <c r="AC34" s="1195"/>
      <c r="AD34" s="1195"/>
      <c r="AE34" s="1195"/>
      <c r="AF34" s="1195"/>
      <c r="AG34" s="449"/>
    </row>
    <row r="36" spans="1:48" ht="16" thickBot="1">
      <c r="AI36" s="337"/>
      <c r="AJ36" s="294" t="s">
        <v>95</v>
      </c>
    </row>
    <row r="37" spans="1:48">
      <c r="AH37" s="338" t="s">
        <v>140</v>
      </c>
      <c r="AI37" s="339"/>
      <c r="AJ37" s="339"/>
      <c r="AK37" s="339"/>
      <c r="AL37" s="339"/>
      <c r="AM37" s="339"/>
      <c r="AN37" s="339"/>
      <c r="AO37" s="339"/>
      <c r="AP37" s="339"/>
      <c r="AQ37" s="339"/>
      <c r="AR37" s="339"/>
      <c r="AS37" s="339"/>
      <c r="AT37" s="339"/>
      <c r="AU37" s="339"/>
      <c r="AV37" s="340"/>
    </row>
    <row r="38" spans="1:48">
      <c r="AH38" s="341" t="s">
        <v>123</v>
      </c>
      <c r="AJ38" s="342">
        <v>45352</v>
      </c>
      <c r="AK38" s="342">
        <v>45383</v>
      </c>
      <c r="AL38" s="342">
        <v>45413</v>
      </c>
      <c r="AM38" s="342">
        <v>45444</v>
      </c>
      <c r="AN38" s="342">
        <v>45474</v>
      </c>
      <c r="AO38" s="342">
        <v>45505</v>
      </c>
      <c r="AP38" s="342">
        <v>45536</v>
      </c>
      <c r="AQ38" s="342">
        <v>45566</v>
      </c>
      <c r="AR38" s="342">
        <v>45597</v>
      </c>
      <c r="AS38" s="342">
        <v>45627</v>
      </c>
      <c r="AT38" s="342">
        <v>45658</v>
      </c>
      <c r="AU38" s="342">
        <v>45689</v>
      </c>
      <c r="AV38" s="343">
        <v>45717</v>
      </c>
    </row>
    <row r="39" spans="1:48">
      <c r="AH39" s="344">
        <f>(AV39-AJ39)/12</f>
        <v>0</v>
      </c>
      <c r="AI39" s="345"/>
      <c r="AJ39" s="345">
        <v>0</v>
      </c>
      <c r="AK39" s="345">
        <f>AJ39+$AH$39</f>
        <v>0</v>
      </c>
      <c r="AL39" s="345">
        <f t="shared" ref="AL39:AU39" si="0">AK39+$AH$39</f>
        <v>0</v>
      </c>
      <c r="AM39" s="345">
        <f t="shared" si="0"/>
        <v>0</v>
      </c>
      <c r="AN39" s="345">
        <f t="shared" si="0"/>
        <v>0</v>
      </c>
      <c r="AO39" s="345">
        <f t="shared" si="0"/>
        <v>0</v>
      </c>
      <c r="AP39" s="345">
        <f t="shared" si="0"/>
        <v>0</v>
      </c>
      <c r="AQ39" s="345">
        <f t="shared" si="0"/>
        <v>0</v>
      </c>
      <c r="AR39" s="345">
        <f t="shared" si="0"/>
        <v>0</v>
      </c>
      <c r="AS39" s="345">
        <f t="shared" si="0"/>
        <v>0</v>
      </c>
      <c r="AT39" s="345">
        <f t="shared" si="0"/>
        <v>0</v>
      </c>
      <c r="AU39" s="345">
        <f t="shared" si="0"/>
        <v>0</v>
      </c>
      <c r="AV39" s="346">
        <v>0</v>
      </c>
    </row>
    <row r="40" spans="1:48">
      <c r="AH40" s="344">
        <f>(AV40-AJ40)/12</f>
        <v>0</v>
      </c>
      <c r="AI40" s="347" t="s">
        <v>2</v>
      </c>
      <c r="AJ40" s="345">
        <f>AV39</f>
        <v>0</v>
      </c>
      <c r="AK40" s="345">
        <f>AJ40+$AH$40</f>
        <v>0</v>
      </c>
      <c r="AL40" s="345">
        <f t="shared" ref="AL40:AU40" si="1">AK40+$AH$40</f>
        <v>0</v>
      </c>
      <c r="AM40" s="345">
        <f t="shared" si="1"/>
        <v>0</v>
      </c>
      <c r="AN40" s="345">
        <f t="shared" si="1"/>
        <v>0</v>
      </c>
      <c r="AO40" s="345">
        <f t="shared" si="1"/>
        <v>0</v>
      </c>
      <c r="AP40" s="345">
        <f t="shared" si="1"/>
        <v>0</v>
      </c>
      <c r="AQ40" s="345">
        <f t="shared" si="1"/>
        <v>0</v>
      </c>
      <c r="AR40" s="345">
        <f t="shared" si="1"/>
        <v>0</v>
      </c>
      <c r="AS40" s="345">
        <f t="shared" si="1"/>
        <v>0</v>
      </c>
      <c r="AT40" s="345">
        <f t="shared" si="1"/>
        <v>0</v>
      </c>
      <c r="AU40" s="345">
        <f t="shared" si="1"/>
        <v>0</v>
      </c>
      <c r="AV40" s="348">
        <f>AV39-(AV39-AV42)*0.5</f>
        <v>0</v>
      </c>
    </row>
    <row r="41" spans="1:48">
      <c r="AH41" s="344">
        <f>(AV41-AJ41)/12</f>
        <v>0</v>
      </c>
      <c r="AI41" s="349" t="s">
        <v>2</v>
      </c>
      <c r="AJ41" s="345">
        <f>AV39</f>
        <v>0</v>
      </c>
      <c r="AK41" s="345">
        <f>AJ41+$AH$41</f>
        <v>0</v>
      </c>
      <c r="AL41" s="345">
        <f t="shared" ref="AL41:AU41" si="2">AK41+$AH$41</f>
        <v>0</v>
      </c>
      <c r="AM41" s="345">
        <f t="shared" si="2"/>
        <v>0</v>
      </c>
      <c r="AN41" s="345">
        <f t="shared" si="2"/>
        <v>0</v>
      </c>
      <c r="AO41" s="345">
        <f t="shared" si="2"/>
        <v>0</v>
      </c>
      <c r="AP41" s="345">
        <f t="shared" si="2"/>
        <v>0</v>
      </c>
      <c r="AQ41" s="345">
        <f t="shared" si="2"/>
        <v>0</v>
      </c>
      <c r="AR41" s="345">
        <f t="shared" si="2"/>
        <v>0</v>
      </c>
      <c r="AS41" s="345">
        <f t="shared" si="2"/>
        <v>0</v>
      </c>
      <c r="AT41" s="345">
        <f t="shared" si="2"/>
        <v>0</v>
      </c>
      <c r="AU41" s="345">
        <f t="shared" si="2"/>
        <v>0</v>
      </c>
      <c r="AV41" s="350">
        <f>AV39-(AV39-AV42)*0.8</f>
        <v>0</v>
      </c>
    </row>
    <row r="42" spans="1:48">
      <c r="AH42" s="344">
        <f>(AV42-AJ42)/12</f>
        <v>0</v>
      </c>
      <c r="AI42" s="351" t="s">
        <v>2</v>
      </c>
      <c r="AJ42" s="345">
        <f>AV39</f>
        <v>0</v>
      </c>
      <c r="AK42" s="345">
        <f>AJ42+$AH$42</f>
        <v>0</v>
      </c>
      <c r="AL42" s="345">
        <f t="shared" ref="AL42:AU42" si="3">AK42+$AH$42</f>
        <v>0</v>
      </c>
      <c r="AM42" s="345">
        <f t="shared" si="3"/>
        <v>0</v>
      </c>
      <c r="AN42" s="345">
        <f t="shared" si="3"/>
        <v>0</v>
      </c>
      <c r="AO42" s="345">
        <f t="shared" si="3"/>
        <v>0</v>
      </c>
      <c r="AP42" s="345">
        <f t="shared" si="3"/>
        <v>0</v>
      </c>
      <c r="AQ42" s="345">
        <f t="shared" si="3"/>
        <v>0</v>
      </c>
      <c r="AR42" s="345">
        <f t="shared" si="3"/>
        <v>0</v>
      </c>
      <c r="AS42" s="345">
        <f t="shared" si="3"/>
        <v>0</v>
      </c>
      <c r="AT42" s="345">
        <f t="shared" si="3"/>
        <v>0</v>
      </c>
      <c r="AU42" s="345">
        <f t="shared" si="3"/>
        <v>0</v>
      </c>
      <c r="AV42" s="352">
        <v>0</v>
      </c>
    </row>
    <row r="43" spans="1:48">
      <c r="AH43" s="721" t="s">
        <v>3</v>
      </c>
      <c r="AI43" s="722"/>
      <c r="AJ43" s="345">
        <f>AV39</f>
        <v>0</v>
      </c>
      <c r="AK43" s="356">
        <f>AK45</f>
        <v>0</v>
      </c>
      <c r="AL43" s="356">
        <f>AK43+AL45</f>
        <v>0</v>
      </c>
      <c r="AM43" s="356">
        <f t="shared" ref="AM43:AU43" si="4">AL43+AM45</f>
        <v>0</v>
      </c>
      <c r="AN43" s="356">
        <f t="shared" si="4"/>
        <v>0</v>
      </c>
      <c r="AO43" s="356">
        <f t="shared" si="4"/>
        <v>0</v>
      </c>
      <c r="AP43" s="356">
        <f t="shared" si="4"/>
        <v>0</v>
      </c>
      <c r="AQ43" s="356">
        <f t="shared" si="4"/>
        <v>0</v>
      </c>
      <c r="AR43" s="356">
        <f t="shared" si="4"/>
        <v>0</v>
      </c>
      <c r="AS43" s="356">
        <f t="shared" si="4"/>
        <v>0</v>
      </c>
      <c r="AT43" s="356">
        <f t="shared" si="4"/>
        <v>0</v>
      </c>
      <c r="AU43" s="356">
        <f t="shared" si="4"/>
        <v>0</v>
      </c>
      <c r="AV43" s="357">
        <f>AU43+AV45</f>
        <v>0</v>
      </c>
    </row>
    <row r="44" spans="1:48">
      <c r="AH44" s="353"/>
      <c r="AI44" s="354"/>
      <c r="AJ44" s="355"/>
      <c r="AK44" s="355"/>
      <c r="AL44" s="356"/>
      <c r="AM44" s="355"/>
      <c r="AN44" s="355"/>
      <c r="AO44" s="355"/>
      <c r="AP44" s="356"/>
      <c r="AQ44" s="356"/>
      <c r="AR44" s="356"/>
      <c r="AS44" s="356"/>
      <c r="AT44" s="356"/>
      <c r="AU44" s="356"/>
      <c r="AV44" s="357"/>
    </row>
    <row r="45" spans="1:48">
      <c r="AH45" s="721" t="s">
        <v>4</v>
      </c>
      <c r="AI45" s="722"/>
      <c r="AJ45" s="331"/>
      <c r="AK45" s="358">
        <v>0</v>
      </c>
      <c r="AL45" s="358">
        <v>0</v>
      </c>
      <c r="AM45" s="358">
        <v>0</v>
      </c>
      <c r="AN45" s="358">
        <v>0</v>
      </c>
      <c r="AO45" s="358">
        <v>0</v>
      </c>
      <c r="AP45" s="358"/>
      <c r="AQ45" s="358"/>
      <c r="AR45" s="358"/>
      <c r="AS45" s="358"/>
      <c r="AT45" s="358"/>
      <c r="AU45" s="358"/>
      <c r="AV45" s="359"/>
    </row>
    <row r="46" spans="1:48">
      <c r="AH46" s="353"/>
      <c r="AI46" s="354"/>
      <c r="AJ46" s="331"/>
      <c r="AK46" s="331"/>
      <c r="AL46" s="331"/>
      <c r="AM46" s="331"/>
      <c r="AN46" s="331"/>
      <c r="AO46" s="331"/>
      <c r="AP46" s="331"/>
      <c r="AQ46" s="331"/>
      <c r="AR46" s="331"/>
      <c r="AS46" s="331"/>
      <c r="AT46" s="331"/>
      <c r="AU46" s="331"/>
      <c r="AV46" s="360"/>
    </row>
    <row r="47" spans="1:48">
      <c r="AH47" s="721" t="s">
        <v>5</v>
      </c>
      <c r="AI47" s="722"/>
      <c r="AK47" s="616" t="e">
        <f>([64]Support!AK39-[64]Support!AK43)/([64]Support!AK39-[64]Support!AK42)</f>
        <v>#DIV/0!</v>
      </c>
      <c r="AL47" s="361" t="e">
        <f t="shared" ref="AL47:AV47" si="5">(AL39-AL43)/(AL39-AL42)</f>
        <v>#DIV/0!</v>
      </c>
      <c r="AM47" s="361" t="e">
        <f t="shared" si="5"/>
        <v>#DIV/0!</v>
      </c>
      <c r="AN47" s="361" t="e">
        <f t="shared" si="5"/>
        <v>#DIV/0!</v>
      </c>
      <c r="AO47" s="361" t="e">
        <f t="shared" si="5"/>
        <v>#DIV/0!</v>
      </c>
      <c r="AP47" s="361" t="e">
        <f t="shared" si="5"/>
        <v>#DIV/0!</v>
      </c>
      <c r="AQ47" s="361" t="e">
        <f t="shared" si="5"/>
        <v>#DIV/0!</v>
      </c>
      <c r="AR47" s="361" t="e">
        <f t="shared" si="5"/>
        <v>#DIV/0!</v>
      </c>
      <c r="AS47" s="361" t="e">
        <f t="shared" si="5"/>
        <v>#DIV/0!</v>
      </c>
      <c r="AT47" s="361" t="e">
        <f t="shared" si="5"/>
        <v>#DIV/0!</v>
      </c>
      <c r="AU47" s="361" t="e">
        <f t="shared" si="5"/>
        <v>#DIV/0!</v>
      </c>
      <c r="AV47" s="362" t="e">
        <f t="shared" si="5"/>
        <v>#DIV/0!</v>
      </c>
    </row>
    <row r="48" spans="1:48">
      <c r="AH48" s="721" t="s">
        <v>6</v>
      </c>
      <c r="AI48" s="722"/>
      <c r="AK48" s="554">
        <v>1</v>
      </c>
      <c r="AL48" s="554">
        <v>1</v>
      </c>
      <c r="AM48" s="363">
        <v>1</v>
      </c>
      <c r="AN48" s="363">
        <v>1</v>
      </c>
      <c r="AO48" s="363">
        <v>1</v>
      </c>
      <c r="AP48" s="363" t="e">
        <f t="shared" ref="AP48:AU48" si="6">IF(OR(AP47&gt;=100%),100%,IF(OR(AP47&lt;=0%),0%,AVERAGE(AP47)))</f>
        <v>#DIV/0!</v>
      </c>
      <c r="AQ48" s="363" t="e">
        <f>IF(OR(AQ47&gt;=100%),100%,IF(OR(AQ47&lt;=0%),0%,AVERAGE(AQ47)))</f>
        <v>#DIV/0!</v>
      </c>
      <c r="AR48" s="363" t="e">
        <f t="shared" si="6"/>
        <v>#DIV/0!</v>
      </c>
      <c r="AS48" s="363" t="e">
        <f t="shared" si="6"/>
        <v>#DIV/0!</v>
      </c>
      <c r="AT48" s="363" t="e">
        <f t="shared" si="6"/>
        <v>#DIV/0!</v>
      </c>
      <c r="AU48" s="363" t="e">
        <f t="shared" si="6"/>
        <v>#DIV/0!</v>
      </c>
      <c r="AV48" s="364" t="e">
        <f>IF(OR(AV47&gt;=100%),100%,IF(OR(AV47&lt;=0%),0%,AVERAGE(AV47)))</f>
        <v>#DIV/0!</v>
      </c>
    </row>
    <row r="49" spans="34:48">
      <c r="AH49" s="717" t="s">
        <v>7</v>
      </c>
      <c r="AI49" s="718"/>
      <c r="AK49" s="365">
        <f>AK48*0.5</f>
        <v>0.5</v>
      </c>
      <c r="AL49" s="365">
        <f t="shared" ref="AL49:AV49" si="7">AL48*0.5</f>
        <v>0.5</v>
      </c>
      <c r="AM49" s="365">
        <f t="shared" si="7"/>
        <v>0.5</v>
      </c>
      <c r="AN49" s="365">
        <f t="shared" si="7"/>
        <v>0.5</v>
      </c>
      <c r="AO49" s="365">
        <f t="shared" si="7"/>
        <v>0.5</v>
      </c>
      <c r="AP49" s="365" t="e">
        <f t="shared" si="7"/>
        <v>#DIV/0!</v>
      </c>
      <c r="AQ49" s="365" t="e">
        <f t="shared" si="7"/>
        <v>#DIV/0!</v>
      </c>
      <c r="AR49" s="365" t="e">
        <f t="shared" si="7"/>
        <v>#DIV/0!</v>
      </c>
      <c r="AS49" s="365" t="e">
        <f t="shared" si="7"/>
        <v>#DIV/0!</v>
      </c>
      <c r="AT49" s="365" t="e">
        <f t="shared" si="7"/>
        <v>#DIV/0!</v>
      </c>
      <c r="AU49" s="365" t="e">
        <f t="shared" si="7"/>
        <v>#DIV/0!</v>
      </c>
      <c r="AV49" s="366" t="e">
        <f t="shared" si="7"/>
        <v>#DIV/0!</v>
      </c>
    </row>
    <row r="50" spans="34:48">
      <c r="AH50" s="367"/>
      <c r="AI50" s="368"/>
      <c r="AJ50" s="368"/>
      <c r="AK50" s="369"/>
      <c r="AL50" s="369"/>
      <c r="AM50" s="369"/>
      <c r="AN50" s="369"/>
      <c r="AO50" s="369"/>
      <c r="AP50" s="369"/>
      <c r="AQ50" s="369"/>
      <c r="AR50" s="369"/>
      <c r="AS50" s="369"/>
      <c r="AT50" s="369"/>
      <c r="AU50" s="369"/>
      <c r="AV50" s="370"/>
    </row>
    <row r="51" spans="34:48">
      <c r="AH51" s="367"/>
      <c r="AI51" s="368"/>
      <c r="AJ51" s="368"/>
      <c r="AK51" s="369"/>
      <c r="AL51" s="369"/>
      <c r="AM51" s="369"/>
      <c r="AN51" s="369"/>
      <c r="AO51" s="369"/>
      <c r="AP51" s="369"/>
      <c r="AQ51" s="369"/>
      <c r="AR51" s="369"/>
      <c r="AS51" s="369"/>
      <c r="AT51" s="369"/>
      <c r="AU51" s="369"/>
      <c r="AV51" s="370"/>
    </row>
    <row r="52" spans="34:48">
      <c r="AH52" s="341" t="s">
        <v>124</v>
      </c>
      <c r="AJ52" s="342">
        <v>45352</v>
      </c>
      <c r="AK52" s="342">
        <v>45383</v>
      </c>
      <c r="AL52" s="342">
        <v>45413</v>
      </c>
      <c r="AM52" s="342">
        <v>45444</v>
      </c>
      <c r="AN52" s="342">
        <v>45474</v>
      </c>
      <c r="AO52" s="342">
        <v>45505</v>
      </c>
      <c r="AP52" s="342">
        <v>45536</v>
      </c>
      <c r="AQ52" s="342">
        <v>45566</v>
      </c>
      <c r="AR52" s="342">
        <v>45597</v>
      </c>
      <c r="AS52" s="342">
        <v>45627</v>
      </c>
      <c r="AT52" s="342">
        <v>45658</v>
      </c>
      <c r="AU52" s="342">
        <v>45689</v>
      </c>
      <c r="AV52" s="343">
        <v>45717</v>
      </c>
    </row>
    <row r="53" spans="34:48">
      <c r="AH53" s="344">
        <f>(AV53-AJ53)/12</f>
        <v>-3.9416666666666671E-3</v>
      </c>
      <c r="AI53" s="351" t="s">
        <v>2</v>
      </c>
      <c r="AJ53" s="392">
        <f>$AV$56</f>
        <v>0.99729999999999996</v>
      </c>
      <c r="AK53" s="392">
        <f>++AJ53+$AH$53</f>
        <v>0.99335833333333334</v>
      </c>
      <c r="AL53" s="392">
        <f t="shared" ref="AL53:AU53" si="8">++AK53+$AH$53</f>
        <v>0.98941666666666672</v>
      </c>
      <c r="AM53" s="392">
        <f t="shared" si="8"/>
        <v>0.9854750000000001</v>
      </c>
      <c r="AN53" s="392">
        <f t="shared" si="8"/>
        <v>0.98153333333333348</v>
      </c>
      <c r="AO53" s="392">
        <f t="shared" si="8"/>
        <v>0.97759166666666686</v>
      </c>
      <c r="AP53" s="392">
        <f t="shared" si="8"/>
        <v>0.97365000000000024</v>
      </c>
      <c r="AQ53" s="392">
        <f t="shared" si="8"/>
        <v>0.96970833333333362</v>
      </c>
      <c r="AR53" s="392">
        <f t="shared" si="8"/>
        <v>0.965766666666667</v>
      </c>
      <c r="AS53" s="392">
        <f t="shared" si="8"/>
        <v>0.96182500000000037</v>
      </c>
      <c r="AT53" s="392">
        <f t="shared" si="8"/>
        <v>0.95788333333333375</v>
      </c>
      <c r="AU53" s="392">
        <f t="shared" si="8"/>
        <v>0.95394166666666713</v>
      </c>
      <c r="AV53" s="561">
        <v>0.95</v>
      </c>
    </row>
    <row r="54" spans="34:48">
      <c r="AH54" s="344">
        <f>(AV54-AJ54)/12</f>
        <v>-3.1533333333333322E-3</v>
      </c>
      <c r="AI54" s="349" t="s">
        <v>2</v>
      </c>
      <c r="AJ54" s="392">
        <f>$AV$56</f>
        <v>0.99729999999999996</v>
      </c>
      <c r="AK54" s="392">
        <f>++AJ54+$AH$54</f>
        <v>0.99414666666666662</v>
      </c>
      <c r="AL54" s="392">
        <f t="shared" ref="AL54:AU54" si="9">++AK54+$AH$54</f>
        <v>0.99099333333333328</v>
      </c>
      <c r="AM54" s="392">
        <f t="shared" si="9"/>
        <v>0.98783999999999994</v>
      </c>
      <c r="AN54" s="392">
        <f t="shared" si="9"/>
        <v>0.9846866666666666</v>
      </c>
      <c r="AO54" s="392">
        <f t="shared" si="9"/>
        <v>0.98153333333333326</v>
      </c>
      <c r="AP54" s="392">
        <f t="shared" si="9"/>
        <v>0.97837999999999992</v>
      </c>
      <c r="AQ54" s="392">
        <f t="shared" si="9"/>
        <v>0.97522666666666658</v>
      </c>
      <c r="AR54" s="392">
        <f t="shared" si="9"/>
        <v>0.97207333333333323</v>
      </c>
      <c r="AS54" s="392">
        <f t="shared" si="9"/>
        <v>0.96891999999999989</v>
      </c>
      <c r="AT54" s="392">
        <f t="shared" si="9"/>
        <v>0.96576666666666655</v>
      </c>
      <c r="AU54" s="392">
        <f t="shared" si="9"/>
        <v>0.96261333333333321</v>
      </c>
      <c r="AV54" s="562">
        <f>AV53-(AV53-AV56)*0.2</f>
        <v>0.95945999999999998</v>
      </c>
    </row>
    <row r="55" spans="34:48">
      <c r="AH55" s="344">
        <f>(AV55-AJ55)/12</f>
        <v>-1.9708333333333383E-3</v>
      </c>
      <c r="AI55" s="347" t="s">
        <v>2</v>
      </c>
      <c r="AJ55" s="392">
        <f>$AV$56</f>
        <v>0.99729999999999996</v>
      </c>
      <c r="AK55" s="392">
        <f>++AJ55+$AH$55</f>
        <v>0.9953291666666666</v>
      </c>
      <c r="AL55" s="392">
        <f t="shared" ref="AL55:AU55" si="10">++AK55+$AH$55</f>
        <v>0.99335833333333323</v>
      </c>
      <c r="AM55" s="392">
        <f t="shared" si="10"/>
        <v>0.99138749999999987</v>
      </c>
      <c r="AN55" s="392">
        <f t="shared" si="10"/>
        <v>0.9894166666666665</v>
      </c>
      <c r="AO55" s="392">
        <f t="shared" si="10"/>
        <v>0.98744583333333313</v>
      </c>
      <c r="AP55" s="392">
        <f t="shared" si="10"/>
        <v>0.98547499999999977</v>
      </c>
      <c r="AQ55" s="392">
        <f t="shared" si="10"/>
        <v>0.9835041666666664</v>
      </c>
      <c r="AR55" s="392">
        <f t="shared" si="10"/>
        <v>0.98153333333333304</v>
      </c>
      <c r="AS55" s="392">
        <f t="shared" si="10"/>
        <v>0.97956249999999967</v>
      </c>
      <c r="AT55" s="392">
        <f t="shared" si="10"/>
        <v>0.9775916666666663</v>
      </c>
      <c r="AU55" s="392">
        <f t="shared" si="10"/>
        <v>0.97562083333333294</v>
      </c>
      <c r="AV55" s="563">
        <f>AV53-(AV53-AV56)*0.5</f>
        <v>0.9736499999999999</v>
      </c>
    </row>
    <row r="56" spans="34:48">
      <c r="AH56" s="344">
        <f>(AV56-AJ56)/12</f>
        <v>0</v>
      </c>
      <c r="AI56" s="345"/>
      <c r="AJ56" s="392">
        <f>$AV$56</f>
        <v>0.99729999999999996</v>
      </c>
      <c r="AK56" s="392">
        <f>++AJ56+$AH$56</f>
        <v>0.99729999999999996</v>
      </c>
      <c r="AL56" s="392">
        <f t="shared" ref="AL56:AU56" si="11">++AK56+$AH$56</f>
        <v>0.99729999999999996</v>
      </c>
      <c r="AM56" s="392">
        <f t="shared" si="11"/>
        <v>0.99729999999999996</v>
      </c>
      <c r="AN56" s="392">
        <f t="shared" si="11"/>
        <v>0.99729999999999996</v>
      </c>
      <c r="AO56" s="392">
        <f t="shared" si="11"/>
        <v>0.99729999999999996</v>
      </c>
      <c r="AP56" s="392">
        <f t="shared" si="11"/>
        <v>0.99729999999999996</v>
      </c>
      <c r="AQ56" s="392">
        <f t="shared" si="11"/>
        <v>0.99729999999999996</v>
      </c>
      <c r="AR56" s="392">
        <f t="shared" si="11"/>
        <v>0.99729999999999996</v>
      </c>
      <c r="AS56" s="392">
        <f t="shared" si="11"/>
        <v>0.99729999999999996</v>
      </c>
      <c r="AT56" s="392">
        <f t="shared" si="11"/>
        <v>0.99729999999999996</v>
      </c>
      <c r="AU56" s="392">
        <f t="shared" si="11"/>
        <v>0.99729999999999996</v>
      </c>
      <c r="AV56" s="564">
        <v>0.99729999999999996</v>
      </c>
    </row>
    <row r="57" spans="34:48">
      <c r="AH57" s="721" t="s">
        <v>4</v>
      </c>
      <c r="AI57" s="722"/>
      <c r="AJ57" s="565"/>
      <c r="AK57" s="566">
        <f>AK59</f>
        <v>0.97</v>
      </c>
      <c r="AL57" s="566">
        <f t="shared" ref="AL57:AV57" si="12">AL59</f>
        <v>0.995</v>
      </c>
      <c r="AM57" s="566">
        <f t="shared" si="12"/>
        <v>0.98280000000000001</v>
      </c>
      <c r="AN57" s="566">
        <f t="shared" si="12"/>
        <v>0.96719999999999995</v>
      </c>
      <c r="AO57" s="566">
        <f t="shared" si="12"/>
        <v>0.99809999999999999</v>
      </c>
      <c r="AP57" s="566">
        <f t="shared" si="12"/>
        <v>0</v>
      </c>
      <c r="AQ57" s="566">
        <f t="shared" si="12"/>
        <v>0</v>
      </c>
      <c r="AR57" s="566">
        <f t="shared" si="12"/>
        <v>0</v>
      </c>
      <c r="AS57" s="566">
        <f t="shared" si="12"/>
        <v>0</v>
      </c>
      <c r="AT57" s="566">
        <f t="shared" si="12"/>
        <v>0</v>
      </c>
      <c r="AU57" s="566">
        <f t="shared" si="12"/>
        <v>0</v>
      </c>
      <c r="AV57" s="567">
        <f t="shared" si="12"/>
        <v>0</v>
      </c>
    </row>
    <row r="58" spans="34:48">
      <c r="AH58" s="353"/>
      <c r="AI58" s="354"/>
      <c r="AJ58" s="355"/>
      <c r="AK58" s="355"/>
      <c r="AL58" s="356"/>
      <c r="AM58" s="356"/>
      <c r="AN58" s="355"/>
      <c r="AO58" s="355"/>
      <c r="AP58" s="356"/>
      <c r="AQ58" s="356"/>
      <c r="AR58" s="356"/>
      <c r="AS58" s="356"/>
      <c r="AT58" s="356"/>
      <c r="AU58" s="356"/>
      <c r="AV58" s="357"/>
    </row>
    <row r="59" spans="34:48">
      <c r="AH59" s="721" t="s">
        <v>4</v>
      </c>
      <c r="AI59" s="722"/>
      <c r="AJ59" s="331"/>
      <c r="AK59" s="615">
        <v>0.97</v>
      </c>
      <c r="AL59" s="568">
        <v>0.995</v>
      </c>
      <c r="AM59" s="615">
        <v>0.98280000000000001</v>
      </c>
      <c r="AN59" s="615">
        <v>0.96719999999999995</v>
      </c>
      <c r="AO59" s="570">
        <v>0.99809999999999999</v>
      </c>
      <c r="AP59" s="570"/>
      <c r="AQ59" s="569"/>
      <c r="AR59" s="569"/>
      <c r="AS59" s="569"/>
      <c r="AT59" s="570"/>
      <c r="AU59" s="571"/>
      <c r="AV59" s="572"/>
    </row>
    <row r="60" spans="34:48">
      <c r="AH60" s="353"/>
      <c r="AI60" s="354"/>
      <c r="AJ60" s="331"/>
      <c r="AK60" s="331"/>
      <c r="AL60" s="331"/>
      <c r="AM60" s="331"/>
      <c r="AN60" s="331"/>
      <c r="AO60" s="331"/>
      <c r="AP60" s="331"/>
      <c r="AQ60" s="331"/>
      <c r="AR60" s="331"/>
      <c r="AS60" s="331"/>
      <c r="AT60" s="331"/>
      <c r="AU60" s="331"/>
      <c r="AV60" s="360"/>
    </row>
    <row r="61" spans="34:48">
      <c r="AH61" s="721" t="s">
        <v>5</v>
      </c>
      <c r="AI61" s="722"/>
      <c r="AK61" s="361">
        <f>(AK57-AK56)/(AK53-AK56)</f>
        <v>6.9260042283298873</v>
      </c>
      <c r="AL61" s="361">
        <f>(AL57-AL56)/(AL53-AL56)</f>
        <v>0.29175475687103536</v>
      </c>
      <c r="AM61" s="361">
        <f>(AM57-AM56)/(AM53-AM56)</f>
        <v>1.2262156448203065</v>
      </c>
      <c r="AN61" s="361">
        <f>(AN57-AN56)/(AN53-AN56)</f>
        <v>1.909090909090932</v>
      </c>
      <c r="AO61" s="361">
        <f t="shared" ref="AO61:AV61" si="13">(AO57-AO56)/(AO53-AO56)</f>
        <v>-4.059196617336315E-2</v>
      </c>
      <c r="AP61" s="361">
        <f t="shared" si="13"/>
        <v>42.169133192389495</v>
      </c>
      <c r="AQ61" s="361">
        <f t="shared" si="13"/>
        <v>36.144971307762418</v>
      </c>
      <c r="AR61" s="361">
        <f t="shared" si="13"/>
        <v>31.626849894292118</v>
      </c>
      <c r="AS61" s="361">
        <f t="shared" si="13"/>
        <v>28.112755461592993</v>
      </c>
      <c r="AT61" s="361">
        <f t="shared" si="13"/>
        <v>25.301479915433696</v>
      </c>
      <c r="AU61" s="361">
        <f t="shared" si="13"/>
        <v>23.001345377666997</v>
      </c>
      <c r="AV61" s="362">
        <f t="shared" si="13"/>
        <v>21.084566596194499</v>
      </c>
    </row>
    <row r="62" spans="34:48">
      <c r="AH62" s="721" t="s">
        <v>6</v>
      </c>
      <c r="AI62" s="722"/>
      <c r="AK62" s="363">
        <f>IF(OR(AK61&gt;=100%),100%,IF(OR(AK61&lt;=0%),0%,AVERAGE(AK61)))</f>
        <v>1</v>
      </c>
      <c r="AL62" s="363">
        <v>1</v>
      </c>
      <c r="AM62" s="363">
        <f>IF(OR(AM61&gt;=100%),100%,IF(OR(AM61&lt;=0%),0%,AVERAGE(AM61)))</f>
        <v>1</v>
      </c>
      <c r="AN62" s="363">
        <f>IF(OR(AN61&gt;=100%),100%,IF(OR(AN61&lt;=0%),0%,AVERAGE(AN61)))</f>
        <v>1</v>
      </c>
      <c r="AO62" s="363">
        <v>1</v>
      </c>
      <c r="AP62" s="363">
        <f t="shared" ref="AP62:AV62" si="14">IF(OR(AP61&gt;=100%),100%,IF(OR(AP61&lt;=0%),0%,AVERAGE(AP61)))</f>
        <v>1</v>
      </c>
      <c r="AQ62" s="363">
        <f t="shared" si="14"/>
        <v>1</v>
      </c>
      <c r="AR62" s="363">
        <f t="shared" si="14"/>
        <v>1</v>
      </c>
      <c r="AS62" s="363">
        <f t="shared" si="14"/>
        <v>1</v>
      </c>
      <c r="AT62" s="363">
        <f t="shared" si="14"/>
        <v>1</v>
      </c>
      <c r="AU62" s="363">
        <f t="shared" si="14"/>
        <v>1</v>
      </c>
      <c r="AV62" s="364">
        <f t="shared" si="14"/>
        <v>1</v>
      </c>
    </row>
    <row r="63" spans="34:48">
      <c r="AH63" s="717" t="s">
        <v>7</v>
      </c>
      <c r="AI63" s="718"/>
      <c r="AK63" s="365">
        <f>AK62*0.5</f>
        <v>0.5</v>
      </c>
      <c r="AL63" s="365">
        <f t="shared" ref="AL63:AV63" si="15">AL62*0.5</f>
        <v>0.5</v>
      </c>
      <c r="AM63" s="365">
        <f t="shared" si="15"/>
        <v>0.5</v>
      </c>
      <c r="AN63" s="365">
        <f t="shared" si="15"/>
        <v>0.5</v>
      </c>
      <c r="AO63" s="365">
        <f t="shared" si="15"/>
        <v>0.5</v>
      </c>
      <c r="AP63" s="365">
        <f t="shared" si="15"/>
        <v>0.5</v>
      </c>
      <c r="AQ63" s="365">
        <f t="shared" si="15"/>
        <v>0.5</v>
      </c>
      <c r="AR63" s="365">
        <f t="shared" si="15"/>
        <v>0.5</v>
      </c>
      <c r="AS63" s="365">
        <f t="shared" si="15"/>
        <v>0.5</v>
      </c>
      <c r="AT63" s="365">
        <f t="shared" si="15"/>
        <v>0.5</v>
      </c>
      <c r="AU63" s="365">
        <f t="shared" si="15"/>
        <v>0.5</v>
      </c>
      <c r="AV63" s="366">
        <f t="shared" si="15"/>
        <v>0.5</v>
      </c>
    </row>
    <row r="64" spans="34:48">
      <c r="AH64" s="367"/>
      <c r="AI64" s="368"/>
      <c r="AJ64" s="368"/>
      <c r="AK64" s="369"/>
      <c r="AL64" s="369"/>
      <c r="AM64" s="369"/>
      <c r="AN64" s="369"/>
      <c r="AO64" s="369"/>
      <c r="AP64" s="369"/>
      <c r="AQ64" s="369"/>
      <c r="AR64" s="369"/>
      <c r="AS64" s="369"/>
      <c r="AT64" s="369"/>
      <c r="AU64" s="369"/>
      <c r="AV64" s="370"/>
    </row>
    <row r="65" spans="34:48">
      <c r="AH65" s="412"/>
      <c r="AI65" s="413"/>
      <c r="AK65" s="422"/>
      <c r="AL65" s="422"/>
      <c r="AM65" s="422"/>
      <c r="AN65" s="422"/>
      <c r="AO65" s="422"/>
      <c r="AP65" s="422"/>
      <c r="AQ65" s="422"/>
      <c r="AR65" s="422"/>
      <c r="AS65" s="422"/>
      <c r="AT65" s="422"/>
      <c r="AU65" s="422"/>
      <c r="AV65" s="423"/>
    </row>
    <row r="66" spans="34:48" ht="16" thickBot="1">
      <c r="AH66" s="424" t="s">
        <v>25</v>
      </c>
      <c r="AI66" s="190"/>
      <c r="AJ66" s="191"/>
      <c r="AK66" s="617">
        <f>SUM(AK63,Support!AK49)</f>
        <v>1</v>
      </c>
      <c r="AL66" s="192">
        <f t="shared" ref="AL66:AV66" si="16">SUM(AL63,AL49)</f>
        <v>1</v>
      </c>
      <c r="AM66" s="192">
        <f t="shared" si="16"/>
        <v>1</v>
      </c>
      <c r="AN66" s="192">
        <f t="shared" si="16"/>
        <v>1</v>
      </c>
      <c r="AO66" s="192">
        <f t="shared" si="16"/>
        <v>1</v>
      </c>
      <c r="AP66" s="192" t="e">
        <f t="shared" si="16"/>
        <v>#DIV/0!</v>
      </c>
      <c r="AQ66" s="192" t="e">
        <f t="shared" si="16"/>
        <v>#DIV/0!</v>
      </c>
      <c r="AR66" s="192" t="e">
        <f t="shared" si="16"/>
        <v>#DIV/0!</v>
      </c>
      <c r="AS66" s="192" t="e">
        <f t="shared" si="16"/>
        <v>#DIV/0!</v>
      </c>
      <c r="AT66" s="192" t="e">
        <f t="shared" si="16"/>
        <v>#DIV/0!</v>
      </c>
      <c r="AU66" s="192" t="e">
        <f t="shared" si="16"/>
        <v>#DIV/0!</v>
      </c>
      <c r="AV66" s="193" t="e">
        <f t="shared" si="16"/>
        <v>#DIV/0!</v>
      </c>
    </row>
    <row r="69" spans="34:48">
      <c r="AH69" s="573"/>
      <c r="AI69" s="573"/>
      <c r="AJ69" s="574"/>
      <c r="AK69" s="574"/>
      <c r="AL69" s="574"/>
      <c r="AM69" s="574"/>
      <c r="AN69" s="574"/>
      <c r="AO69" s="574"/>
      <c r="AP69" s="574"/>
      <c r="AQ69" s="574"/>
      <c r="AR69" s="574"/>
      <c r="AS69" s="574"/>
      <c r="AT69" s="574"/>
      <c r="AU69" s="574"/>
      <c r="AV69" s="574"/>
    </row>
    <row r="70" spans="34:48">
      <c r="AH70" s="574"/>
      <c r="AI70" s="574"/>
      <c r="AJ70" s="574"/>
      <c r="AK70" s="574"/>
      <c r="AL70" s="574"/>
      <c r="AM70" s="574"/>
      <c r="AN70" s="574"/>
      <c r="AO70" s="574"/>
      <c r="AP70" s="574"/>
      <c r="AQ70" s="574"/>
      <c r="AR70" s="574"/>
      <c r="AS70" s="574"/>
      <c r="AT70" s="574"/>
      <c r="AU70" s="574"/>
      <c r="AV70" s="574"/>
    </row>
    <row r="71" spans="34:48">
      <c r="AH71" s="574"/>
      <c r="AI71" s="574"/>
      <c r="AJ71" s="574"/>
      <c r="AK71" s="574"/>
      <c r="AL71" s="574"/>
      <c r="AM71" s="574"/>
      <c r="AN71" s="574"/>
      <c r="AO71" s="574"/>
      <c r="AP71" s="574"/>
      <c r="AQ71" s="574"/>
      <c r="AR71" s="574"/>
      <c r="AS71" s="574"/>
      <c r="AT71" s="574"/>
      <c r="AU71" s="574"/>
      <c r="AV71" s="574"/>
    </row>
    <row r="72" spans="34:48">
      <c r="AH72" s="575"/>
      <c r="AI72" s="575"/>
      <c r="AJ72" s="576"/>
      <c r="AK72" s="342"/>
      <c r="AL72" s="342"/>
      <c r="AM72" s="342"/>
      <c r="AN72" s="342"/>
      <c r="AO72" s="342"/>
      <c r="AP72" s="342"/>
      <c r="AQ72" s="342"/>
      <c r="AR72" s="342"/>
      <c r="AS72" s="342"/>
      <c r="AT72" s="342"/>
      <c r="AU72" s="342"/>
      <c r="AV72" s="342"/>
    </row>
    <row r="73" spans="34:48">
      <c r="AH73" s="577"/>
      <c r="AI73" s="577"/>
      <c r="AJ73" s="578"/>
      <c r="AK73" s="578"/>
      <c r="AL73" s="578"/>
      <c r="AM73" s="578"/>
      <c r="AN73" s="578"/>
      <c r="AO73" s="578"/>
      <c r="AP73" s="578"/>
      <c r="AQ73" s="578"/>
      <c r="AR73" s="578"/>
      <c r="AS73" s="578"/>
      <c r="AT73" s="578"/>
      <c r="AU73" s="578"/>
      <c r="AV73" s="578"/>
    </row>
    <row r="74" spans="34:48">
      <c r="AH74" s="577"/>
      <c r="AI74" s="577"/>
      <c r="AJ74" s="578"/>
      <c r="AK74" s="579"/>
      <c r="AL74" s="578"/>
      <c r="AM74" s="578"/>
      <c r="AN74" s="579"/>
      <c r="AO74" s="579"/>
      <c r="AP74" s="579"/>
      <c r="AQ74" s="579"/>
      <c r="AR74" s="579"/>
      <c r="AS74" s="579"/>
      <c r="AT74" s="579"/>
      <c r="AU74" s="331"/>
      <c r="AV74" s="331"/>
    </row>
    <row r="75" spans="34:48">
      <c r="AJ75" s="371"/>
      <c r="AK75" s="371"/>
      <c r="AL75" s="371"/>
      <c r="AM75" s="371"/>
      <c r="AN75" s="371"/>
      <c r="AO75" s="371"/>
      <c r="AP75" s="371"/>
      <c r="AQ75" s="371"/>
      <c r="AR75" s="371"/>
      <c r="AS75" s="371"/>
      <c r="AT75" s="371"/>
      <c r="AU75" s="371"/>
      <c r="AV75" s="371"/>
    </row>
    <row r="76" spans="34:48">
      <c r="AH76" s="575"/>
      <c r="AI76" s="575"/>
      <c r="AJ76" s="576"/>
      <c r="AK76" s="342"/>
      <c r="AL76" s="342"/>
      <c r="AM76" s="342"/>
      <c r="AN76" s="342"/>
      <c r="AO76" s="342"/>
      <c r="AP76" s="342"/>
      <c r="AQ76" s="342"/>
      <c r="AR76" s="342"/>
      <c r="AS76" s="342"/>
      <c r="AT76" s="342"/>
      <c r="AU76" s="342"/>
      <c r="AV76" s="342"/>
    </row>
    <row r="77" spans="34:48">
      <c r="AH77" s="577"/>
      <c r="AI77" s="577"/>
      <c r="AJ77" s="331"/>
      <c r="AK77" s="331"/>
      <c r="AL77" s="331"/>
      <c r="AM77" s="331"/>
      <c r="AN77" s="331"/>
      <c r="AO77" s="331"/>
      <c r="AP77" s="331"/>
      <c r="AQ77" s="331"/>
      <c r="AR77" s="331"/>
      <c r="AS77" s="331"/>
      <c r="AT77" s="331"/>
      <c r="AU77" s="331"/>
      <c r="AV77" s="371"/>
    </row>
    <row r="78" spans="34:48">
      <c r="AH78" s="577"/>
      <c r="AI78" s="577"/>
      <c r="AJ78" s="578"/>
      <c r="AK78" s="579"/>
      <c r="AL78" s="579"/>
      <c r="AM78" s="579"/>
      <c r="AN78" s="579"/>
      <c r="AO78" s="579"/>
      <c r="AP78" s="579"/>
      <c r="AQ78" s="579"/>
      <c r="AR78" s="579"/>
      <c r="AS78" s="579"/>
      <c r="AT78" s="579"/>
      <c r="AU78" s="331"/>
    </row>
  </sheetData>
  <mergeCells count="186">
    <mergeCell ref="S27:Y28"/>
    <mergeCell ref="R25:R26"/>
    <mergeCell ref="R27:R28"/>
    <mergeCell ref="Z27:Z28"/>
    <mergeCell ref="O25:O26"/>
    <mergeCell ref="Q25:Q26"/>
    <mergeCell ref="J27:J28"/>
    <mergeCell ref="K27:K28"/>
    <mergeCell ref="L27:L28"/>
    <mergeCell ref="M27:M28"/>
    <mergeCell ref="N27:N28"/>
    <mergeCell ref="K25:K26"/>
    <mergeCell ref="Q27:Q28"/>
    <mergeCell ref="O27:O28"/>
    <mergeCell ref="M25:M26"/>
    <mergeCell ref="E6:H12"/>
    <mergeCell ref="X7:X12"/>
    <mergeCell ref="Y7:Y12"/>
    <mergeCell ref="Z13:AG13"/>
    <mergeCell ref="G23:G24"/>
    <mergeCell ref="I23:I24"/>
    <mergeCell ref="J23:J24"/>
    <mergeCell ref="K23:K24"/>
    <mergeCell ref="L23:L24"/>
    <mergeCell ref="S23:Y24"/>
    <mergeCell ref="Z23:Z24"/>
    <mergeCell ref="M23:M24"/>
    <mergeCell ref="R23:R24"/>
    <mergeCell ref="N23:N24"/>
    <mergeCell ref="O23:O24"/>
    <mergeCell ref="Z7:Z12"/>
    <mergeCell ref="I6:Q12"/>
    <mergeCell ref="S14:Y14"/>
    <mergeCell ref="AD7:AD12"/>
    <mergeCell ref="P23:P24"/>
    <mergeCell ref="Q23:Q24"/>
    <mergeCell ref="R13:Y13"/>
    <mergeCell ref="S22:Y22"/>
    <mergeCell ref="AA22:AG22"/>
    <mergeCell ref="Z2:AG2"/>
    <mergeCell ref="B3:D3"/>
    <mergeCell ref="S21:Y21"/>
    <mergeCell ref="S18:Y18"/>
    <mergeCell ref="AA18:AG18"/>
    <mergeCell ref="T3:Y3"/>
    <mergeCell ref="Z3:AG4"/>
    <mergeCell ref="AC7:AC12"/>
    <mergeCell ref="B2:D2"/>
    <mergeCell ref="T4:Y4"/>
    <mergeCell ref="B6:D12"/>
    <mergeCell ref="AA14:AG14"/>
    <mergeCell ref="B4:D4"/>
    <mergeCell ref="E2:H2"/>
    <mergeCell ref="AF5:AG5"/>
    <mergeCell ref="AG7:AG12"/>
    <mergeCell ref="AB7:AB12"/>
    <mergeCell ref="Z5:AA5"/>
    <mergeCell ref="AA7:AA12"/>
    <mergeCell ref="AF7:AF12"/>
    <mergeCell ref="AE7:AE12"/>
    <mergeCell ref="AB5:AC5"/>
    <mergeCell ref="AD5:AE5"/>
    <mergeCell ref="B13:D13"/>
    <mergeCell ref="A5:A12"/>
    <mergeCell ref="I2:Q2"/>
    <mergeCell ref="R2:S2"/>
    <mergeCell ref="T2:Y2"/>
    <mergeCell ref="R4:S4"/>
    <mergeCell ref="B5:D5"/>
    <mergeCell ref="I3:Q3"/>
    <mergeCell ref="R3:S3"/>
    <mergeCell ref="A2:A3"/>
    <mergeCell ref="E3:H3"/>
    <mergeCell ref="E4:H4"/>
    <mergeCell ref="S7:S12"/>
    <mergeCell ref="T7:T12"/>
    <mergeCell ref="U7:U12"/>
    <mergeCell ref="V7:V12"/>
    <mergeCell ref="W7:W12"/>
    <mergeCell ref="E5:H5"/>
    <mergeCell ref="V5:W5"/>
    <mergeCell ref="R7:R12"/>
    <mergeCell ref="I5:Q5"/>
    <mergeCell ref="R5:S5"/>
    <mergeCell ref="T5:U5"/>
    <mergeCell ref="X5:Y5"/>
    <mergeCell ref="I4:Q4"/>
    <mergeCell ref="S15:Y15"/>
    <mergeCell ref="AA15:AG15"/>
    <mergeCell ref="S17:Y17"/>
    <mergeCell ref="AA17:AG17"/>
    <mergeCell ref="B18:D18"/>
    <mergeCell ref="B19:D19"/>
    <mergeCell ref="B14:D14"/>
    <mergeCell ref="B22:D22"/>
    <mergeCell ref="AA21:AG21"/>
    <mergeCell ref="B15:D15"/>
    <mergeCell ref="B16:D16"/>
    <mergeCell ref="S16:Y16"/>
    <mergeCell ref="AA16:AG16"/>
    <mergeCell ref="S20:Y20"/>
    <mergeCell ref="AA20:AG20"/>
    <mergeCell ref="S19:Y19"/>
    <mergeCell ref="AA19:AG19"/>
    <mergeCell ref="A23:A24"/>
    <mergeCell ref="B23:D24"/>
    <mergeCell ref="E23:E24"/>
    <mergeCell ref="F23:F24"/>
    <mergeCell ref="A25:A26"/>
    <mergeCell ref="B25:D26"/>
    <mergeCell ref="E25:E26"/>
    <mergeCell ref="F25:F26"/>
    <mergeCell ref="B17:D17"/>
    <mergeCell ref="B21:D21"/>
    <mergeCell ref="A31:A32"/>
    <mergeCell ref="B31:D32"/>
    <mergeCell ref="E31:E32"/>
    <mergeCell ref="F31:F32"/>
    <mergeCell ref="G31:G32"/>
    <mergeCell ref="A27:A28"/>
    <mergeCell ref="B27:D28"/>
    <mergeCell ref="E27:E28"/>
    <mergeCell ref="F27:F28"/>
    <mergeCell ref="A29:A30"/>
    <mergeCell ref="B29:D30"/>
    <mergeCell ref="G29:G30"/>
    <mergeCell ref="E29:E30"/>
    <mergeCell ref="F29:F30"/>
    <mergeCell ref="B34:D34"/>
    <mergeCell ref="S34:X34"/>
    <mergeCell ref="AA34:AF34"/>
    <mergeCell ref="AH47:AI47"/>
    <mergeCell ref="AH43:AI43"/>
    <mergeCell ref="AH45:AI45"/>
    <mergeCell ref="R29:R30"/>
    <mergeCell ref="S29:Y30"/>
    <mergeCell ref="Z29:Z30"/>
    <mergeCell ref="H31:H32"/>
    <mergeCell ref="O31:O32"/>
    <mergeCell ref="P31:P32"/>
    <mergeCell ref="Q31:Q32"/>
    <mergeCell ref="I29:I30"/>
    <mergeCell ref="J29:J30"/>
    <mergeCell ref="K29:K30"/>
    <mergeCell ref="I31:I32"/>
    <mergeCell ref="J31:J32"/>
    <mergeCell ref="K31:K32"/>
    <mergeCell ref="L31:L32"/>
    <mergeCell ref="Z31:Z32"/>
    <mergeCell ref="M31:M32"/>
    <mergeCell ref="N31:N32"/>
    <mergeCell ref="H23:H24"/>
    <mergeCell ref="G27:G28"/>
    <mergeCell ref="H27:H28"/>
    <mergeCell ref="L29:L30"/>
    <mergeCell ref="M29:M30"/>
    <mergeCell ref="G25:G26"/>
    <mergeCell ref="P27:P28"/>
    <mergeCell ref="AA25:AG26"/>
    <mergeCell ref="N29:N30"/>
    <mergeCell ref="AA23:AG24"/>
    <mergeCell ref="H29:H30"/>
    <mergeCell ref="I27:I28"/>
    <mergeCell ref="AA27:AG28"/>
    <mergeCell ref="AA29:AG30"/>
    <mergeCell ref="O29:O30"/>
    <mergeCell ref="P29:P30"/>
    <mergeCell ref="H25:H26"/>
    <mergeCell ref="I25:I26"/>
    <mergeCell ref="J25:J26"/>
    <mergeCell ref="P25:P26"/>
    <mergeCell ref="S25:Y26"/>
    <mergeCell ref="Z25:Z26"/>
    <mergeCell ref="L25:L26"/>
    <mergeCell ref="N25:N26"/>
    <mergeCell ref="AH61:AI61"/>
    <mergeCell ref="AH63:AI63"/>
    <mergeCell ref="AH62:AI62"/>
    <mergeCell ref="AH48:AI48"/>
    <mergeCell ref="AH49:AI49"/>
    <mergeCell ref="R31:R32"/>
    <mergeCell ref="S31:Y32"/>
    <mergeCell ref="Q29:Q30"/>
    <mergeCell ref="AA31:AG32"/>
    <mergeCell ref="AH59:AI59"/>
    <mergeCell ref="AH57:AI57"/>
  </mergeCells>
  <conditionalFormatting sqref="AK48:AV48">
    <cfRule type="cellIs" dxfId="8" priority="4" stopIfTrue="1" operator="between">
      <formula>-1000</formula>
      <formula>0.494</formula>
    </cfRule>
    <cfRule type="cellIs" dxfId="7" priority="5" stopIfTrue="1" operator="between">
      <formula>0.495</formula>
      <formula>0.794</formula>
    </cfRule>
    <cfRule type="cellIs" dxfId="6" priority="6" stopIfTrue="1" operator="between">
      <formula>0.795</formula>
      <formula>1000</formula>
    </cfRule>
  </conditionalFormatting>
  <conditionalFormatting sqref="AK62:AV62">
    <cfRule type="cellIs" dxfId="5" priority="19" stopIfTrue="1" operator="between">
      <formula>-1000</formula>
      <formula>0.494</formula>
    </cfRule>
    <cfRule type="cellIs" dxfId="4" priority="20" stopIfTrue="1" operator="between">
      <formula>0.495</formula>
      <formula>0.794</formula>
    </cfRule>
    <cfRule type="cellIs" dxfId="3" priority="21" stopIfTrue="1" operator="between">
      <formula>0.795</formula>
      <formula>1000</formula>
    </cfRule>
  </conditionalFormatting>
  <conditionalFormatting sqref="AK66:AV66">
    <cfRule type="cellIs" dxfId="2" priority="1" stopIfTrue="1" operator="between">
      <formula>-1000</formula>
      <formula>0.494</formula>
    </cfRule>
    <cfRule type="cellIs" dxfId="1" priority="2" stopIfTrue="1" operator="between">
      <formula>0.495</formula>
      <formula>0.794</formula>
    </cfRule>
    <cfRule type="cellIs" dxfId="0" priority="3" stopIfTrue="1" operator="between">
      <formula>0.795</formula>
      <formula>1000</formula>
    </cfRule>
  </conditionalFormatting>
  <printOptions horizontalCentered="1" verticalCentered="1"/>
  <pageMargins left="0" right="0" top="0.31" bottom="0" header="0.25" footer="0"/>
  <pageSetup paperSize="8" scale="59" orientation="landscape" horizontalDpi="4294967293" verticalDpi="4294967293" r:id="rId1"/>
  <rowBreaks count="1" manualBreakCount="1">
    <brk id="34" max="16383" man="1"/>
  </rowBreaks>
  <colBreaks count="1" manualBreakCount="1">
    <brk id="33" max="1048575" man="1"/>
  </colBreaks>
  <drawing r:id="rId2"/>
  <legacyDrawing r:id="rId3"/>
  <oleObjects>
    <mc:AlternateContent xmlns:mc="http://schemas.openxmlformats.org/markup-compatibility/2006">
      <mc:Choice Requires="x14">
        <oleObject progId="MSGraph.Chart.8" shapeId="9258" r:id="rId4">
          <objectPr defaultSize="0" autoPict="0" r:id="rId5">
            <anchor moveWithCells="1" sizeWithCells="1">
              <from>
                <xdr:col>1</xdr:col>
                <xdr:colOff>50800</xdr:colOff>
                <xdr:row>22</xdr:row>
                <xdr:rowOff>76200</xdr:rowOff>
              </from>
              <to>
                <xdr:col>6</xdr:col>
                <xdr:colOff>317500</xdr:colOff>
                <xdr:row>33</xdr:row>
                <xdr:rowOff>31750</xdr:rowOff>
              </to>
            </anchor>
          </objectPr>
        </oleObject>
      </mc:Choice>
      <mc:Fallback>
        <oleObject progId="MSGraph.Chart.8" shapeId="9258" r:id="rId4"/>
      </mc:Fallback>
    </mc:AlternateContent>
    <mc:AlternateContent xmlns:mc="http://schemas.openxmlformats.org/markup-compatibility/2006">
      <mc:Choice Requires="x14">
        <oleObject progId="MSGraph.Chart.8" shapeId="9259" r:id="rId6">
          <objectPr defaultSize="0" r:id="rId7">
            <anchor moveWithCells="1" sizeWithCells="1">
              <from>
                <xdr:col>7</xdr:col>
                <xdr:colOff>222250</xdr:colOff>
                <xdr:row>22</xdr:row>
                <xdr:rowOff>114300</xdr:rowOff>
              </from>
              <to>
                <xdr:col>17</xdr:col>
                <xdr:colOff>317500</xdr:colOff>
                <xdr:row>33</xdr:row>
                <xdr:rowOff>38100</xdr:rowOff>
              </to>
            </anchor>
          </objectPr>
        </oleObject>
      </mc:Choice>
      <mc:Fallback>
        <oleObject progId="MSGraph.Chart.8" shapeId="9259"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FY2024 Target</vt:lpstr>
      <vt:lpstr>Tri-color</vt:lpstr>
      <vt:lpstr>Company-wide</vt:lpstr>
      <vt:lpstr>TS</vt:lpstr>
      <vt:lpstr>CN</vt:lpstr>
      <vt:lpstr>YF</vt:lpstr>
      <vt:lpstr>PPD</vt:lpstr>
      <vt:lpstr>Support</vt:lpstr>
      <vt:lpstr>CN!Print_Area</vt:lpstr>
      <vt:lpstr>'Company-wide'!Print_Area</vt:lpstr>
      <vt:lpstr>PPD!Print_Area</vt:lpstr>
      <vt:lpstr>Support!Print_Area</vt:lpstr>
      <vt:lpstr>TS!Print_Area</vt:lpstr>
      <vt:lpstr>YF!Print_Area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ritamor</dc:creator>
  <cp:lastModifiedBy>Rita D. Morallos</cp:lastModifiedBy>
  <cp:lastPrinted>2024-05-18T05:50:54Z</cp:lastPrinted>
  <dcterms:created xsi:type="dcterms:W3CDTF">2017-05-05T03:00:06Z</dcterms:created>
  <dcterms:modified xsi:type="dcterms:W3CDTF">2024-09-14T06:29:36Z</dcterms:modified>
</cp:coreProperties>
</file>