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tburato\Desktop\MONTHLY REPORT\SSS\2024\SEPTEMBER 2024\SSS Loans\"/>
    </mc:Choice>
  </mc:AlternateContent>
  <xr:revisionPtr revIDLastSave="0" documentId="13_ncr:1_{D6D8A7F8-0CB3-42FC-9B99-CB6A44FEA3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SS Loan" sheetId="1" r:id="rId1"/>
  </sheets>
  <externalReferences>
    <externalReference r:id="rId2"/>
  </externalReferences>
  <definedNames>
    <definedName name="_xlnm.Print_Area" localSheetId="0">'SSS Loan'!$A$2:$L$74</definedName>
  </definedNames>
  <calcPr calcId="181029"/>
</workbook>
</file>

<file path=xl/calcChain.xml><?xml version="1.0" encoding="utf-8"?>
<calcChain xmlns="http://schemas.openxmlformats.org/spreadsheetml/2006/main">
  <c r="J612" i="1" l="1"/>
  <c r="J613" i="1"/>
  <c r="J614" i="1"/>
  <c r="H615" i="1"/>
  <c r="I615" i="1"/>
  <c r="G615" i="1"/>
  <c r="F613" i="1"/>
  <c r="F614" i="1"/>
  <c r="F612" i="1"/>
  <c r="E613" i="1"/>
  <c r="E614" i="1"/>
  <c r="E612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7" i="1"/>
  <c r="J615" i="1" s="1"/>
</calcChain>
</file>

<file path=xl/sharedStrings.xml><?xml version="1.0" encoding="utf-8"?>
<sst xmlns="http://schemas.openxmlformats.org/spreadsheetml/2006/main" count="3656" uniqueCount="2916">
  <si>
    <t>PRICON MICROELECTRONICS, INC.</t>
  </si>
  <si>
    <t>EmpNo</t>
  </si>
  <si>
    <t>LastName</t>
  </si>
  <si>
    <t>FirstName</t>
  </si>
  <si>
    <t>MiddleName</t>
  </si>
  <si>
    <t>DateHired</t>
  </si>
  <si>
    <t>SSN</t>
  </si>
  <si>
    <t>Salary Loan</t>
  </si>
  <si>
    <t>Calamity Loan</t>
  </si>
  <si>
    <t>Total</t>
  </si>
  <si>
    <t>1274</t>
  </si>
  <si>
    <t>Piza</t>
  </si>
  <si>
    <t>Mary Ann</t>
  </si>
  <si>
    <t>Lugtu</t>
  </si>
  <si>
    <t>1988-02-22</t>
  </si>
  <si>
    <t>03-8673591-8</t>
  </si>
  <si>
    <t>1275</t>
  </si>
  <si>
    <t>Francia</t>
  </si>
  <si>
    <t>Nelia</t>
  </si>
  <si>
    <t>Matira</t>
  </si>
  <si>
    <t>03-9017219-8</t>
  </si>
  <si>
    <t>1277</t>
  </si>
  <si>
    <t>Barrameda</t>
  </si>
  <si>
    <t>Vilma</t>
  </si>
  <si>
    <t>Mirasol</t>
  </si>
  <si>
    <t>03-9030715-4</t>
  </si>
  <si>
    <t>1532</t>
  </si>
  <si>
    <t>De Leon</t>
  </si>
  <si>
    <t>Carmilyn</t>
  </si>
  <si>
    <t>Corpuz</t>
  </si>
  <si>
    <t>1988-05-18</t>
  </si>
  <si>
    <t>03-9453499-4</t>
  </si>
  <si>
    <t>1559</t>
  </si>
  <si>
    <t>Priela</t>
  </si>
  <si>
    <t>Josephine</t>
  </si>
  <si>
    <t>Talucod</t>
  </si>
  <si>
    <t>1988-06-07</t>
  </si>
  <si>
    <t>04-0657044-8</t>
  </si>
  <si>
    <t>1730</t>
  </si>
  <si>
    <t>Hernandez</t>
  </si>
  <si>
    <t>Juvy</t>
  </si>
  <si>
    <t>Cetron</t>
  </si>
  <si>
    <t>1988-08-31</t>
  </si>
  <si>
    <t>33-0085190-1</t>
  </si>
  <si>
    <t>1871</t>
  </si>
  <si>
    <t>Dela Cruz</t>
  </si>
  <si>
    <t>Adelfa</t>
  </si>
  <si>
    <t>Loquinario</t>
  </si>
  <si>
    <t>1990-09-06</t>
  </si>
  <si>
    <t>03-9299652-1</t>
  </si>
  <si>
    <t>1925</t>
  </si>
  <si>
    <t>Cacayuran</t>
  </si>
  <si>
    <t>Patricia</t>
  </si>
  <si>
    <t>Fajardo</t>
  </si>
  <si>
    <t>1989-04-14</t>
  </si>
  <si>
    <t>33-0479703-2</t>
  </si>
  <si>
    <t>2061</t>
  </si>
  <si>
    <t>Pacis</t>
  </si>
  <si>
    <t>Rosalyn</t>
  </si>
  <si>
    <t>Onsa</t>
  </si>
  <si>
    <t>1990-09-10</t>
  </si>
  <si>
    <t>33-0529050-9</t>
  </si>
  <si>
    <t>2096</t>
  </si>
  <si>
    <t>Coronado</t>
  </si>
  <si>
    <t>Teofila</t>
  </si>
  <si>
    <t>Arguidas</t>
  </si>
  <si>
    <t>1990-09-15</t>
  </si>
  <si>
    <t>04-0679941-0</t>
  </si>
  <si>
    <t>2168</t>
  </si>
  <si>
    <t>Rodrigo</t>
  </si>
  <si>
    <t>Senense</t>
  </si>
  <si>
    <t>1990-11-08</t>
  </si>
  <si>
    <t>33-1044495-5</t>
  </si>
  <si>
    <t>2187</t>
  </si>
  <si>
    <t>Austria</t>
  </si>
  <si>
    <t>Clarita</t>
  </si>
  <si>
    <t>Macahia</t>
  </si>
  <si>
    <t>1990-11-12</t>
  </si>
  <si>
    <t>03-9774109-8</t>
  </si>
  <si>
    <t>2389</t>
  </si>
  <si>
    <t>Duca</t>
  </si>
  <si>
    <t>Leonida</t>
  </si>
  <si>
    <t>Jorda</t>
  </si>
  <si>
    <t>1991-08-19</t>
  </si>
  <si>
    <t>02-1298370-8</t>
  </si>
  <si>
    <t>2899</t>
  </si>
  <si>
    <t>Elisan</t>
  </si>
  <si>
    <t>Leonilda</t>
  </si>
  <si>
    <t>Acueza</t>
  </si>
  <si>
    <t>1993-03-24</t>
  </si>
  <si>
    <t>03-8892793-1</t>
  </si>
  <si>
    <t>3226</t>
  </si>
  <si>
    <t>Undang</t>
  </si>
  <si>
    <t>Ruth</t>
  </si>
  <si>
    <t>Cardeño</t>
  </si>
  <si>
    <t>1993-01-18</t>
  </si>
  <si>
    <t>33-3318618-0</t>
  </si>
  <si>
    <t>3238</t>
  </si>
  <si>
    <t>Bustamante</t>
  </si>
  <si>
    <t>Estelita</t>
  </si>
  <si>
    <t>Ramilo</t>
  </si>
  <si>
    <t>1993-02-02</t>
  </si>
  <si>
    <t>33-3185359-6</t>
  </si>
  <si>
    <t>3273</t>
  </si>
  <si>
    <t>Panaligan</t>
  </si>
  <si>
    <t>Salve</t>
  </si>
  <si>
    <t>Clarianes</t>
  </si>
  <si>
    <t>33-0411968-1</t>
  </si>
  <si>
    <t>3400</t>
  </si>
  <si>
    <t>Marcelo</t>
  </si>
  <si>
    <t>Maricar</t>
  </si>
  <si>
    <t>Ramirez</t>
  </si>
  <si>
    <t>1994-01-17</t>
  </si>
  <si>
    <t>33-3223945-2</t>
  </si>
  <si>
    <t>3474</t>
  </si>
  <si>
    <t>Esteban</t>
  </si>
  <si>
    <t>Maritess</t>
  </si>
  <si>
    <t>Gutierrez</t>
  </si>
  <si>
    <t>1993-03-10</t>
  </si>
  <si>
    <t>33-3010679-4</t>
  </si>
  <si>
    <t>3509</t>
  </si>
  <si>
    <t>Lagos</t>
  </si>
  <si>
    <t>Loreli</t>
  </si>
  <si>
    <t>Cadizal</t>
  </si>
  <si>
    <t>33-1599195-3</t>
  </si>
  <si>
    <t>3520</t>
  </si>
  <si>
    <t>Dizon</t>
  </si>
  <si>
    <t>Evelyn</t>
  </si>
  <si>
    <t>Rubio</t>
  </si>
  <si>
    <t>33-3006464-5</t>
  </si>
  <si>
    <t>3524</t>
  </si>
  <si>
    <t>Pintucan</t>
  </si>
  <si>
    <t>Liza</t>
  </si>
  <si>
    <t>Lacap</t>
  </si>
  <si>
    <t>33-1559604-4</t>
  </si>
  <si>
    <t>3569</t>
  </si>
  <si>
    <t>Maullon</t>
  </si>
  <si>
    <t>Evangeline</t>
  </si>
  <si>
    <t>Amar</t>
  </si>
  <si>
    <t>33-3720646-4</t>
  </si>
  <si>
    <t>3594</t>
  </si>
  <si>
    <t>Reyes</t>
  </si>
  <si>
    <t>Lilibeth</t>
  </si>
  <si>
    <t>Arellano</t>
  </si>
  <si>
    <t>1993-04-02</t>
  </si>
  <si>
    <t>33-0791685-2</t>
  </si>
  <si>
    <t>3615</t>
  </si>
  <si>
    <t>Manguera</t>
  </si>
  <si>
    <t>Glenda</t>
  </si>
  <si>
    <t>Macasaet</t>
  </si>
  <si>
    <t>04-0747013-6</t>
  </si>
  <si>
    <t>3616</t>
  </si>
  <si>
    <t>Bautista</t>
  </si>
  <si>
    <t>Gemma</t>
  </si>
  <si>
    <t>Arenas</t>
  </si>
  <si>
    <t>03-9513454-2</t>
  </si>
  <si>
    <t>3618</t>
  </si>
  <si>
    <t>Pascua</t>
  </si>
  <si>
    <t>Genalyn</t>
  </si>
  <si>
    <t>Escorsido</t>
  </si>
  <si>
    <t>33-3410731-7</t>
  </si>
  <si>
    <t>3705</t>
  </si>
  <si>
    <t>Fernandez</t>
  </si>
  <si>
    <t>Teresita</t>
  </si>
  <si>
    <t>Villapando</t>
  </si>
  <si>
    <t>1993-04-15</t>
  </si>
  <si>
    <t>33-1606685-8</t>
  </si>
  <si>
    <t>3709</t>
  </si>
  <si>
    <t>Abelada</t>
  </si>
  <si>
    <t>Corazon</t>
  </si>
  <si>
    <t>De Guzman</t>
  </si>
  <si>
    <t>1994-03-04</t>
  </si>
  <si>
    <t>33-0397345-9</t>
  </si>
  <si>
    <t>3717</t>
  </si>
  <si>
    <t>Gregorio</t>
  </si>
  <si>
    <t>Florentina</t>
  </si>
  <si>
    <t>Azur</t>
  </si>
  <si>
    <t>1993-04-19</t>
  </si>
  <si>
    <t>33-0466940-3</t>
  </si>
  <si>
    <t>3786</t>
  </si>
  <si>
    <t>Abilong</t>
  </si>
  <si>
    <t>Mary Glenn</t>
  </si>
  <si>
    <t>Sulat</t>
  </si>
  <si>
    <t>1993-05-08</t>
  </si>
  <si>
    <t>33-3304075-0</t>
  </si>
  <si>
    <t>3795</t>
  </si>
  <si>
    <t>Reforma</t>
  </si>
  <si>
    <t>Luisa</t>
  </si>
  <si>
    <t>Flores</t>
  </si>
  <si>
    <t>1993-05-24</t>
  </si>
  <si>
    <t>33-3742997-9</t>
  </si>
  <si>
    <t>3809</t>
  </si>
  <si>
    <t>Mayet</t>
  </si>
  <si>
    <t>Villasor</t>
  </si>
  <si>
    <t>33-3741886-7</t>
  </si>
  <si>
    <t>3836</t>
  </si>
  <si>
    <t>Pauig</t>
  </si>
  <si>
    <t>Maritel</t>
  </si>
  <si>
    <t>Bassig</t>
  </si>
  <si>
    <t>33-3667990-8</t>
  </si>
  <si>
    <t>3844</t>
  </si>
  <si>
    <t>Umali</t>
  </si>
  <si>
    <t>Marites</t>
  </si>
  <si>
    <t>Robrigado</t>
  </si>
  <si>
    <t xml:space="preserve">33-3744430-7 </t>
  </si>
  <si>
    <t>3861</t>
  </si>
  <si>
    <t>Bongosia</t>
  </si>
  <si>
    <t>Esmeralda</t>
  </si>
  <si>
    <t>Manzanade</t>
  </si>
  <si>
    <t>1993-06-07</t>
  </si>
  <si>
    <t>33-1778215-7</t>
  </si>
  <si>
    <t>3921</t>
  </si>
  <si>
    <t>Besa</t>
  </si>
  <si>
    <t>Rebecca</t>
  </si>
  <si>
    <t>Yuzon</t>
  </si>
  <si>
    <t>33-3327916-5</t>
  </si>
  <si>
    <t>4197</t>
  </si>
  <si>
    <t>Mendina</t>
  </si>
  <si>
    <t>Ma. Diomedes</t>
  </si>
  <si>
    <t>Gubi</t>
  </si>
  <si>
    <t>1993-08-04</t>
  </si>
  <si>
    <t>03-8733434-7</t>
  </si>
  <si>
    <t>4290</t>
  </si>
  <si>
    <t>Rivera</t>
  </si>
  <si>
    <t>Mary Grace</t>
  </si>
  <si>
    <t>Capili</t>
  </si>
  <si>
    <t>1993-11-04</t>
  </si>
  <si>
    <t>33-3761652-0</t>
  </si>
  <si>
    <t>4292</t>
  </si>
  <si>
    <t>Cerila</t>
  </si>
  <si>
    <t>Gaa</t>
  </si>
  <si>
    <t>33-3746762-7</t>
  </si>
  <si>
    <t>4297</t>
  </si>
  <si>
    <t>Mariano</t>
  </si>
  <si>
    <t>Annaliza</t>
  </si>
  <si>
    <t>Urbina</t>
  </si>
  <si>
    <t>33-3365555-6</t>
  </si>
  <si>
    <t>4300</t>
  </si>
  <si>
    <t>Malagueño</t>
  </si>
  <si>
    <t>Nenita</t>
  </si>
  <si>
    <t>Flamiano</t>
  </si>
  <si>
    <t>33-3734324-6</t>
  </si>
  <si>
    <t>4301</t>
  </si>
  <si>
    <t>Manila</t>
  </si>
  <si>
    <t>Eloisa</t>
  </si>
  <si>
    <t>Tating</t>
  </si>
  <si>
    <t>33-3797041-5</t>
  </si>
  <si>
    <t>4311</t>
  </si>
  <si>
    <t>Meneses</t>
  </si>
  <si>
    <t>Ana Liza</t>
  </si>
  <si>
    <t>Rodriguez</t>
  </si>
  <si>
    <t>1993-11-11</t>
  </si>
  <si>
    <t>33-3745829-6</t>
  </si>
  <si>
    <t>4312</t>
  </si>
  <si>
    <t>Ebora</t>
  </si>
  <si>
    <t>Melba</t>
  </si>
  <si>
    <t>Rivero</t>
  </si>
  <si>
    <t>1993-11-08</t>
  </si>
  <si>
    <t>33-0061882-7</t>
  </si>
  <si>
    <t>4314</t>
  </si>
  <si>
    <t>Obing</t>
  </si>
  <si>
    <t>Fely Rose</t>
  </si>
  <si>
    <t>Alicarte</t>
  </si>
  <si>
    <t>33-3042184-8</t>
  </si>
  <si>
    <t>4326</t>
  </si>
  <si>
    <t>Valles</t>
  </si>
  <si>
    <t>Marife</t>
  </si>
  <si>
    <t>De  Vera</t>
  </si>
  <si>
    <t>1993-11-15</t>
  </si>
  <si>
    <t>33-3738371-4</t>
  </si>
  <si>
    <t>4355</t>
  </si>
  <si>
    <t>Burdeos</t>
  </si>
  <si>
    <t>Marivic</t>
  </si>
  <si>
    <t>Alesna</t>
  </si>
  <si>
    <t>1994-01-12</t>
  </si>
  <si>
    <t>33-1807150-8</t>
  </si>
  <si>
    <t>4359</t>
  </si>
  <si>
    <t>Sale</t>
  </si>
  <si>
    <t>Donalyn</t>
  </si>
  <si>
    <t>Ilustrisimo</t>
  </si>
  <si>
    <t>33-3795409-1</t>
  </si>
  <si>
    <t>4396</t>
  </si>
  <si>
    <t>Punzalan</t>
  </si>
  <si>
    <t>Leziel</t>
  </si>
  <si>
    <t>Lanzaderas</t>
  </si>
  <si>
    <t>1994-02-28</t>
  </si>
  <si>
    <t>33-1696058-5</t>
  </si>
  <si>
    <t>4505</t>
  </si>
  <si>
    <t>Dugos</t>
  </si>
  <si>
    <t>Lintan</t>
  </si>
  <si>
    <t>1994-04-06</t>
  </si>
  <si>
    <t>33-3842311-0</t>
  </si>
  <si>
    <t>4519</t>
  </si>
  <si>
    <t>Ignacio</t>
  </si>
  <si>
    <t>Ivan</t>
  </si>
  <si>
    <t>Fajilago</t>
  </si>
  <si>
    <t>33-1016598-8</t>
  </si>
  <si>
    <t>4572</t>
  </si>
  <si>
    <t>Garpida</t>
  </si>
  <si>
    <t>Aprilyn</t>
  </si>
  <si>
    <t>Bernabe</t>
  </si>
  <si>
    <t>1994-04-11</t>
  </si>
  <si>
    <t>33-3830855-2</t>
  </si>
  <si>
    <t>4654</t>
  </si>
  <si>
    <t>Mayola</t>
  </si>
  <si>
    <t>Lorena</t>
  </si>
  <si>
    <t>Pasco</t>
  </si>
  <si>
    <t>1994-04-16</t>
  </si>
  <si>
    <t>33-3904814-1</t>
  </si>
  <si>
    <t>4692</t>
  </si>
  <si>
    <t>Bitangcor</t>
  </si>
  <si>
    <t>Jocelyn</t>
  </si>
  <si>
    <t>Marpiga</t>
  </si>
  <si>
    <t>1994-04-25</t>
  </si>
  <si>
    <t>33-1803472-3</t>
  </si>
  <si>
    <t>4719</t>
  </si>
  <si>
    <t>Robles</t>
  </si>
  <si>
    <t>Daisy</t>
  </si>
  <si>
    <t>Sadueste</t>
  </si>
  <si>
    <t>1994-04-27</t>
  </si>
  <si>
    <t>33-3826539-4</t>
  </si>
  <si>
    <t>4825</t>
  </si>
  <si>
    <t>Felix</t>
  </si>
  <si>
    <t>Magie</t>
  </si>
  <si>
    <t>Vinluan</t>
  </si>
  <si>
    <t>1994-05-30</t>
  </si>
  <si>
    <t>33-3428708-8</t>
  </si>
  <si>
    <t>4864</t>
  </si>
  <si>
    <t>Roxas</t>
  </si>
  <si>
    <t>Miriam</t>
  </si>
  <si>
    <t>Toledano</t>
  </si>
  <si>
    <t>1994-06-01</t>
  </si>
  <si>
    <t>33-3917077-6</t>
  </si>
  <si>
    <t>5087</t>
  </si>
  <si>
    <t>Casas</t>
  </si>
  <si>
    <t>Mary Jane</t>
  </si>
  <si>
    <t>Molera</t>
  </si>
  <si>
    <t>1994-09-29</t>
  </si>
  <si>
    <t>33-3336408-3</t>
  </si>
  <si>
    <t>5091</t>
  </si>
  <si>
    <t>Rico</t>
  </si>
  <si>
    <t>Araceli</t>
  </si>
  <si>
    <t>Bobis</t>
  </si>
  <si>
    <t>33-2317542-8</t>
  </si>
  <si>
    <t>5098</t>
  </si>
  <si>
    <t>Sy</t>
  </si>
  <si>
    <t>Elfa</t>
  </si>
  <si>
    <t>Amba</t>
  </si>
  <si>
    <t>1994-10-01</t>
  </si>
  <si>
    <t>33-3812921-0</t>
  </si>
  <si>
    <t>5297</t>
  </si>
  <si>
    <t>Calleja</t>
  </si>
  <si>
    <t>Delita</t>
  </si>
  <si>
    <t>Osido</t>
  </si>
  <si>
    <t>1997-06-02</t>
  </si>
  <si>
    <t>33-4015275-4</t>
  </si>
  <si>
    <t>5302</t>
  </si>
  <si>
    <t>Dalisay</t>
  </si>
  <si>
    <t>Suzeth</t>
  </si>
  <si>
    <t>De Torres</t>
  </si>
  <si>
    <t>1997-06-04</t>
  </si>
  <si>
    <t>04-3177733-9</t>
  </si>
  <si>
    <t>5306</t>
  </si>
  <si>
    <t>Perez</t>
  </si>
  <si>
    <t>Maria Leonora</t>
  </si>
  <si>
    <t>Evangelista</t>
  </si>
  <si>
    <t>1997-06-13</t>
  </si>
  <si>
    <t>33-2669589-5</t>
  </si>
  <si>
    <t>5326</t>
  </si>
  <si>
    <t>Bogabil</t>
  </si>
  <si>
    <t>Fidela</t>
  </si>
  <si>
    <t>Onza</t>
  </si>
  <si>
    <t>1997-06-25</t>
  </si>
  <si>
    <t>02-1484328-6</t>
  </si>
  <si>
    <t>5331</t>
  </si>
  <si>
    <t>Carungay</t>
  </si>
  <si>
    <t>Nimfa</t>
  </si>
  <si>
    <t>Peñaflor</t>
  </si>
  <si>
    <t>1997-06-26</t>
  </si>
  <si>
    <t>33-5200602-1</t>
  </si>
  <si>
    <t>5352</t>
  </si>
  <si>
    <t>Donato</t>
  </si>
  <si>
    <t>Noeme</t>
  </si>
  <si>
    <t>Soriano</t>
  </si>
  <si>
    <t>1997-06-30</t>
  </si>
  <si>
    <t>02-1415505-5</t>
  </si>
  <si>
    <t>5365</t>
  </si>
  <si>
    <t>Relano</t>
  </si>
  <si>
    <t>Miguel</t>
  </si>
  <si>
    <t>Rance</t>
  </si>
  <si>
    <t>1997-07-07</t>
  </si>
  <si>
    <t>33-2612574-7</t>
  </si>
  <si>
    <t>5379</t>
  </si>
  <si>
    <t>Soco</t>
  </si>
  <si>
    <t>Shirine</t>
  </si>
  <si>
    <t>Esquilon</t>
  </si>
  <si>
    <t>1997-07-16</t>
  </si>
  <si>
    <t>33-5200626-7</t>
  </si>
  <si>
    <t>5390</t>
  </si>
  <si>
    <t>Palingcod</t>
  </si>
  <si>
    <t>Elma</t>
  </si>
  <si>
    <t>Ansit</t>
  </si>
  <si>
    <t>1997-07-28</t>
  </si>
  <si>
    <t>33-4470410-8</t>
  </si>
  <si>
    <t>5492</t>
  </si>
  <si>
    <t>Lopez</t>
  </si>
  <si>
    <t>Georgina</t>
  </si>
  <si>
    <t>Llanera</t>
  </si>
  <si>
    <t>1997-09-17</t>
  </si>
  <si>
    <t>33-5050874-1</t>
  </si>
  <si>
    <t>5493</t>
  </si>
  <si>
    <t>Talagtag</t>
  </si>
  <si>
    <t>Arlyn</t>
  </si>
  <si>
    <t>Canonce</t>
  </si>
  <si>
    <t>33-3833743-9</t>
  </si>
  <si>
    <t>5503</t>
  </si>
  <si>
    <t>Mendoza</t>
  </si>
  <si>
    <t>Ronquillo</t>
  </si>
  <si>
    <t>33-5196967-7</t>
  </si>
  <si>
    <t>5504</t>
  </si>
  <si>
    <t>De Mesa</t>
  </si>
  <si>
    <t>Pujeda</t>
  </si>
  <si>
    <t>1997-09-19</t>
  </si>
  <si>
    <t>33-2756503-4</t>
  </si>
  <si>
    <t>5524</t>
  </si>
  <si>
    <t>Santos</t>
  </si>
  <si>
    <t>Rene Ros</t>
  </si>
  <si>
    <t>Franco</t>
  </si>
  <si>
    <t>1997-11-10</t>
  </si>
  <si>
    <t>03-8862107-5</t>
  </si>
  <si>
    <t>5578</t>
  </si>
  <si>
    <t>Abay</t>
  </si>
  <si>
    <t>Gilyn</t>
  </si>
  <si>
    <t>Escatron</t>
  </si>
  <si>
    <t>1997-12-05</t>
  </si>
  <si>
    <t>33-4079209-1</t>
  </si>
  <si>
    <t>5614</t>
  </si>
  <si>
    <t>Balagot</t>
  </si>
  <si>
    <t>Cecelia</t>
  </si>
  <si>
    <t>Cagulada</t>
  </si>
  <si>
    <t>1998-01-05</t>
  </si>
  <si>
    <t>33-5195943-8</t>
  </si>
  <si>
    <t>5629</t>
  </si>
  <si>
    <t>Mapalad</t>
  </si>
  <si>
    <t>Elena</t>
  </si>
  <si>
    <t>Guban</t>
  </si>
  <si>
    <t>1998-01-14</t>
  </si>
  <si>
    <t>33-4745074-7</t>
  </si>
  <si>
    <t>5677</t>
  </si>
  <si>
    <t>Ballat</t>
  </si>
  <si>
    <t>Gina</t>
  </si>
  <si>
    <t>Vergara</t>
  </si>
  <si>
    <t>1998-01-23</t>
  </si>
  <si>
    <t>33-5184741-4</t>
  </si>
  <si>
    <t>5920</t>
  </si>
  <si>
    <t>Tolledo</t>
  </si>
  <si>
    <t>Marilor</t>
  </si>
  <si>
    <t>Pamplona</t>
  </si>
  <si>
    <t>1998-06-01</t>
  </si>
  <si>
    <t>33-4176402-8</t>
  </si>
  <si>
    <t>6130</t>
  </si>
  <si>
    <t>Pilapil</t>
  </si>
  <si>
    <t>Retchell</t>
  </si>
  <si>
    <t>Dimaunahan</t>
  </si>
  <si>
    <t>1999-05-08</t>
  </si>
  <si>
    <t>33-5653484-5</t>
  </si>
  <si>
    <t>6148</t>
  </si>
  <si>
    <t>Antaran</t>
  </si>
  <si>
    <t>Noriel</t>
  </si>
  <si>
    <t>1999-05-14</t>
  </si>
  <si>
    <t>33-4780374-7</t>
  </si>
  <si>
    <t>6149</t>
  </si>
  <si>
    <t>Rowena</t>
  </si>
  <si>
    <t>Umayam</t>
  </si>
  <si>
    <t>33-3347866-5</t>
  </si>
  <si>
    <t>6232</t>
  </si>
  <si>
    <t>Cawaling</t>
  </si>
  <si>
    <t>Fortunata</t>
  </si>
  <si>
    <t>Oliva</t>
  </si>
  <si>
    <t>1999-06-23</t>
  </si>
  <si>
    <t>33-4472827-8</t>
  </si>
  <si>
    <t>6263</t>
  </si>
  <si>
    <t>Bigol</t>
  </si>
  <si>
    <t>Joseph</t>
  </si>
  <si>
    <t>Eslofor</t>
  </si>
  <si>
    <t>1999-07-05</t>
  </si>
  <si>
    <t>33-5221073-6</t>
  </si>
  <si>
    <t>6360</t>
  </si>
  <si>
    <t>Aguilar</t>
  </si>
  <si>
    <t>1999-10-13</t>
  </si>
  <si>
    <t>33-3006485-2</t>
  </si>
  <si>
    <t>6526</t>
  </si>
  <si>
    <t>Julieta</t>
  </si>
  <si>
    <t>Catipon</t>
  </si>
  <si>
    <t>1999-12-17</t>
  </si>
  <si>
    <t>04-3304155-5</t>
  </si>
  <si>
    <t>6536</t>
  </si>
  <si>
    <t>Bagsik</t>
  </si>
  <si>
    <t>Cacho</t>
  </si>
  <si>
    <t>33-5288641-6</t>
  </si>
  <si>
    <t>6592</t>
  </si>
  <si>
    <t>Jennifer</t>
  </si>
  <si>
    <t>Dante</t>
  </si>
  <si>
    <t>2000-02-11</t>
  </si>
  <si>
    <t>33-5648065-6</t>
  </si>
  <si>
    <t>6638</t>
  </si>
  <si>
    <t>Valencia</t>
  </si>
  <si>
    <t>Gene</t>
  </si>
  <si>
    <t>Nunez</t>
  </si>
  <si>
    <t>2001-04-23</t>
  </si>
  <si>
    <t>33-2590530-8</t>
  </si>
  <si>
    <t>6677</t>
  </si>
  <si>
    <t>Morada</t>
  </si>
  <si>
    <t>Madeline</t>
  </si>
  <si>
    <t>Combalicer</t>
  </si>
  <si>
    <t>2000-03-03</t>
  </si>
  <si>
    <t>04-3450652-3</t>
  </si>
  <si>
    <t>6704</t>
  </si>
  <si>
    <t>Tagara</t>
  </si>
  <si>
    <t>Rosalie</t>
  </si>
  <si>
    <t>Garay</t>
  </si>
  <si>
    <t>2000-03-16</t>
  </si>
  <si>
    <t>33-5308087-1</t>
  </si>
  <si>
    <t>7146</t>
  </si>
  <si>
    <t>Cruz</t>
  </si>
  <si>
    <t>Ana Marie</t>
  </si>
  <si>
    <t>Coloma</t>
  </si>
  <si>
    <t>2000-11-06</t>
  </si>
  <si>
    <t>33-6149114-8</t>
  </si>
  <si>
    <t>7372</t>
  </si>
  <si>
    <t>Faner</t>
  </si>
  <si>
    <t>Noel</t>
  </si>
  <si>
    <t>2001-06-06</t>
  </si>
  <si>
    <t>33-4082614-5</t>
  </si>
  <si>
    <t>7623</t>
  </si>
  <si>
    <t>Peña</t>
  </si>
  <si>
    <t>Janilyn</t>
  </si>
  <si>
    <t>Mamayabay</t>
  </si>
  <si>
    <t>2002-06-27</t>
  </si>
  <si>
    <t>09-2061912-8</t>
  </si>
  <si>
    <t>7804</t>
  </si>
  <si>
    <t>Ordinario</t>
  </si>
  <si>
    <t>Michelle</t>
  </si>
  <si>
    <t>Gallardo</t>
  </si>
  <si>
    <t>2002-11-11</t>
  </si>
  <si>
    <t>33-7195228-2</t>
  </si>
  <si>
    <t>8043</t>
  </si>
  <si>
    <t>Sevilla</t>
  </si>
  <si>
    <t>Claire</t>
  </si>
  <si>
    <t>Cabrestante</t>
  </si>
  <si>
    <t>2003-05-12</t>
  </si>
  <si>
    <t>33-7597815-2</t>
  </si>
  <si>
    <t>8254</t>
  </si>
  <si>
    <t>Osias</t>
  </si>
  <si>
    <t>Jenilyn</t>
  </si>
  <si>
    <t>Canales</t>
  </si>
  <si>
    <t>2005-03-01</t>
  </si>
  <si>
    <t>33-8307716-8</t>
  </si>
  <si>
    <t>8283</t>
  </si>
  <si>
    <t>Veloria</t>
  </si>
  <si>
    <t>Marlyn</t>
  </si>
  <si>
    <t>Palma</t>
  </si>
  <si>
    <t>33-5073383-3</t>
  </si>
  <si>
    <t>8307</t>
  </si>
  <si>
    <t>Sayson</t>
  </si>
  <si>
    <t>Ledia</t>
  </si>
  <si>
    <t>Panopio</t>
  </si>
  <si>
    <t>2003-10-01</t>
  </si>
  <si>
    <t>33-7207175-1</t>
  </si>
  <si>
    <t>8325</t>
  </si>
  <si>
    <t>Lacerna</t>
  </si>
  <si>
    <t>Cheirly</t>
  </si>
  <si>
    <t>Rosales</t>
  </si>
  <si>
    <t>2003-10-03</t>
  </si>
  <si>
    <t>04-1272979-1</t>
  </si>
  <si>
    <t>8493</t>
  </si>
  <si>
    <t>Peñamante</t>
  </si>
  <si>
    <t>Emiliana</t>
  </si>
  <si>
    <t>Delgado</t>
  </si>
  <si>
    <t>2003-12-04</t>
  </si>
  <si>
    <t>04-3359863-9</t>
  </si>
  <si>
    <t>8494</t>
  </si>
  <si>
    <t>Labsan</t>
  </si>
  <si>
    <t>Airene</t>
  </si>
  <si>
    <t>Gomez</t>
  </si>
  <si>
    <t>04-1253662-5</t>
  </si>
  <si>
    <t>8562</t>
  </si>
  <si>
    <t>Cortez</t>
  </si>
  <si>
    <t>2004-02-02</t>
  </si>
  <si>
    <t>04-1289550-2</t>
  </si>
  <si>
    <t>8755</t>
  </si>
  <si>
    <t>Faller</t>
  </si>
  <si>
    <t>Jose Mari</t>
  </si>
  <si>
    <t>Laguador</t>
  </si>
  <si>
    <t>2004-05-12</t>
  </si>
  <si>
    <t>33-5653269-8</t>
  </si>
  <si>
    <t>8785</t>
  </si>
  <si>
    <t>Pagsisihan</t>
  </si>
  <si>
    <t>Vale</t>
  </si>
  <si>
    <t>2004-05-17</t>
  </si>
  <si>
    <t>04-1117112-0</t>
  </si>
  <si>
    <t>8822</t>
  </si>
  <si>
    <t>Licuanan</t>
  </si>
  <si>
    <t>Riena</t>
  </si>
  <si>
    <t>Sumague</t>
  </si>
  <si>
    <t>2004-05-28</t>
  </si>
  <si>
    <t>04-1121698-8</t>
  </si>
  <si>
    <t>9020</t>
  </si>
  <si>
    <t>Aguas</t>
  </si>
  <si>
    <t>Geraldine</t>
  </si>
  <si>
    <t>Carmona</t>
  </si>
  <si>
    <t>2004-11-09</t>
  </si>
  <si>
    <t>04-1200879-7</t>
  </si>
  <si>
    <t>A069</t>
  </si>
  <si>
    <t>Sanchez</t>
  </si>
  <si>
    <t>Jevrin</t>
  </si>
  <si>
    <t>Galuso</t>
  </si>
  <si>
    <t>2005-03-09</t>
  </si>
  <si>
    <t>33-5810379-5</t>
  </si>
  <si>
    <t>A095</t>
  </si>
  <si>
    <t>Aguila</t>
  </si>
  <si>
    <t>Maureen</t>
  </si>
  <si>
    <t>Atienza</t>
  </si>
  <si>
    <t>2005-04-11</t>
  </si>
  <si>
    <t>04-1210576-8</t>
  </si>
  <si>
    <t>A221</t>
  </si>
  <si>
    <t>Camacho</t>
  </si>
  <si>
    <t>Arlena</t>
  </si>
  <si>
    <t>Argalado</t>
  </si>
  <si>
    <t>2005-10-04</t>
  </si>
  <si>
    <t>33-8061127-1</t>
  </si>
  <si>
    <t>A235</t>
  </si>
  <si>
    <t>Sagun</t>
  </si>
  <si>
    <t>Marina</t>
  </si>
  <si>
    <t>Rugayan</t>
  </si>
  <si>
    <t>2005-10-08</t>
  </si>
  <si>
    <t>33-9558494-0</t>
  </si>
  <si>
    <t>B013</t>
  </si>
  <si>
    <t>Briones</t>
  </si>
  <si>
    <t>Rolando Jr.</t>
  </si>
  <si>
    <t>Litan</t>
  </si>
  <si>
    <t>2006-01-19</t>
  </si>
  <si>
    <t>04-1297787-3</t>
  </si>
  <si>
    <t>F025</t>
  </si>
  <si>
    <t>Grospe</t>
  </si>
  <si>
    <t>Belen</t>
  </si>
  <si>
    <t>Diplomo</t>
  </si>
  <si>
    <t>2010-09-01</t>
  </si>
  <si>
    <t>33-4700502-4</t>
  </si>
  <si>
    <t>F027</t>
  </si>
  <si>
    <t>Ventura</t>
  </si>
  <si>
    <t>Roselie</t>
  </si>
  <si>
    <t>04-1505104-2</t>
  </si>
  <si>
    <t>L014</t>
  </si>
  <si>
    <t>Maria Liza</t>
  </si>
  <si>
    <t>Bergonio</t>
  </si>
  <si>
    <t>2016-05-05</t>
  </si>
  <si>
    <t>04-1912195-2</t>
  </si>
  <si>
    <t>L016</t>
  </si>
  <si>
    <t>Cruzado</t>
  </si>
  <si>
    <t>Janice</t>
  </si>
  <si>
    <t>Lucero</t>
  </si>
  <si>
    <t>04-1353673-4</t>
  </si>
  <si>
    <t>L017</t>
  </si>
  <si>
    <t>Fabunan</t>
  </si>
  <si>
    <t>Layman</t>
  </si>
  <si>
    <t>04-1848790-1</t>
  </si>
  <si>
    <t>L020</t>
  </si>
  <si>
    <t>Perilla</t>
  </si>
  <si>
    <t>Laura</t>
  </si>
  <si>
    <t>Pico</t>
  </si>
  <si>
    <t>33-9224996-1</t>
  </si>
  <si>
    <t>L022</t>
  </si>
  <si>
    <t>Sison</t>
  </si>
  <si>
    <t>Marissa</t>
  </si>
  <si>
    <t>Valenzuela</t>
  </si>
  <si>
    <t>33-3391243-5</t>
  </si>
  <si>
    <t>L027</t>
  </si>
  <si>
    <t>Surquia</t>
  </si>
  <si>
    <t>Ginalyn</t>
  </si>
  <si>
    <t>Rubion</t>
  </si>
  <si>
    <t>04-2486158-2</t>
  </si>
  <si>
    <t>L032</t>
  </si>
  <si>
    <t>Alvin</t>
  </si>
  <si>
    <t>Cagalingan</t>
  </si>
  <si>
    <t>02-2546512-9</t>
  </si>
  <si>
    <t>M033</t>
  </si>
  <si>
    <t>Baby Grace</t>
  </si>
  <si>
    <t>Biay</t>
  </si>
  <si>
    <t>2017-07-01</t>
  </si>
  <si>
    <t>04-2128372-3</t>
  </si>
  <si>
    <t>M036</t>
  </si>
  <si>
    <t>Llanes</t>
  </si>
  <si>
    <t>Aiza</t>
  </si>
  <si>
    <t>Calma</t>
  </si>
  <si>
    <t>04-2555408-9</t>
  </si>
  <si>
    <t>M040</t>
  </si>
  <si>
    <t>Sumaoang</t>
  </si>
  <si>
    <t>Jerone</t>
  </si>
  <si>
    <t>Teofilo</t>
  </si>
  <si>
    <t>02-3373737-3</t>
  </si>
  <si>
    <t>M041</t>
  </si>
  <si>
    <t>Fabroa</t>
  </si>
  <si>
    <t>Maricel</t>
  </si>
  <si>
    <t>Iquin</t>
  </si>
  <si>
    <t>34-0054100-1</t>
  </si>
  <si>
    <t>M047</t>
  </si>
  <si>
    <t>Madra</t>
  </si>
  <si>
    <t>Sharon</t>
  </si>
  <si>
    <t>Indencio</t>
  </si>
  <si>
    <t>04-2599656-6</t>
  </si>
  <si>
    <t>M050</t>
  </si>
  <si>
    <t>Genova</t>
  </si>
  <si>
    <t>Florenda</t>
  </si>
  <si>
    <t>Celestial</t>
  </si>
  <si>
    <t>04-2139181-9</t>
  </si>
  <si>
    <t>M053</t>
  </si>
  <si>
    <t>Dela Peña</t>
  </si>
  <si>
    <t>Ruperto</t>
  </si>
  <si>
    <t>Camral</t>
  </si>
  <si>
    <t>04-2772817-2</t>
  </si>
  <si>
    <t>M055</t>
  </si>
  <si>
    <t>Magtoto</t>
  </si>
  <si>
    <t>Reymalyn</t>
  </si>
  <si>
    <t>Aldaca</t>
  </si>
  <si>
    <t>04-2092602-3</t>
  </si>
  <si>
    <t>M058</t>
  </si>
  <si>
    <t>Medrana</t>
  </si>
  <si>
    <t>Joan</t>
  </si>
  <si>
    <t>Canaria</t>
  </si>
  <si>
    <t>04-2710592-8</t>
  </si>
  <si>
    <t>M060</t>
  </si>
  <si>
    <t>Prado</t>
  </si>
  <si>
    <t>Carel Ann</t>
  </si>
  <si>
    <t>Biscocho</t>
  </si>
  <si>
    <t>04-2352456-1</t>
  </si>
  <si>
    <t>M061</t>
  </si>
  <si>
    <t>Dinglasan</t>
  </si>
  <si>
    <t>Jishon</t>
  </si>
  <si>
    <t>Lina</t>
  </si>
  <si>
    <t>04-1880189-1</t>
  </si>
  <si>
    <t>M064</t>
  </si>
  <si>
    <t>Sarmiento</t>
  </si>
  <si>
    <t>Jaymar</t>
  </si>
  <si>
    <t>De Villa</t>
  </si>
  <si>
    <t>04-2245043-2</t>
  </si>
  <si>
    <t>M071</t>
  </si>
  <si>
    <t>Enriquez</t>
  </si>
  <si>
    <t>Charie</t>
  </si>
  <si>
    <t>Buaya</t>
  </si>
  <si>
    <t>04-2672503-7</t>
  </si>
  <si>
    <t>M072</t>
  </si>
  <si>
    <t>Delas Alas</t>
  </si>
  <si>
    <t>04-1905678-4</t>
  </si>
  <si>
    <t>M073</t>
  </si>
  <si>
    <t>Sales</t>
  </si>
  <si>
    <t>Edmon</t>
  </si>
  <si>
    <t>Regencia</t>
  </si>
  <si>
    <t>04-2166139-0</t>
  </si>
  <si>
    <t>M075</t>
  </si>
  <si>
    <t>Balanag</t>
  </si>
  <si>
    <t>Allysavin</t>
  </si>
  <si>
    <t>Adelante</t>
  </si>
  <si>
    <t>04-3698079-4</t>
  </si>
  <si>
    <t>M077</t>
  </si>
  <si>
    <t>Abaja</t>
  </si>
  <si>
    <t>Mylene</t>
  </si>
  <si>
    <t>Balangatan</t>
  </si>
  <si>
    <t>04-3691282-7</t>
  </si>
  <si>
    <t>M080</t>
  </si>
  <si>
    <t>Barbin</t>
  </si>
  <si>
    <t>Hergelen</t>
  </si>
  <si>
    <t>Imperial</t>
  </si>
  <si>
    <t>04-2594944-5</t>
  </si>
  <si>
    <t>M082</t>
  </si>
  <si>
    <t>Mercado</t>
  </si>
  <si>
    <t>Marlon</t>
  </si>
  <si>
    <t>Alvarez</t>
  </si>
  <si>
    <t>04-2213650-7</t>
  </si>
  <si>
    <t>M084</t>
  </si>
  <si>
    <t>Sulit</t>
  </si>
  <si>
    <t>Dulce Corazon</t>
  </si>
  <si>
    <t>Reginio</t>
  </si>
  <si>
    <t>33-8317159-8</t>
  </si>
  <si>
    <t>M086</t>
  </si>
  <si>
    <t>Cruzat</t>
  </si>
  <si>
    <t>Ria</t>
  </si>
  <si>
    <t>Abanzado</t>
  </si>
  <si>
    <t>2017-07-04</t>
  </si>
  <si>
    <t>04-1872777-1</t>
  </si>
  <si>
    <t>M089</t>
  </si>
  <si>
    <t>Elomina</t>
  </si>
  <si>
    <t>Monica</t>
  </si>
  <si>
    <t>Raro</t>
  </si>
  <si>
    <t>04-1732749-9</t>
  </si>
  <si>
    <t>M090</t>
  </si>
  <si>
    <t>Maria Eva</t>
  </si>
  <si>
    <t>Manis</t>
  </si>
  <si>
    <t>06-3058776-0</t>
  </si>
  <si>
    <t>M091</t>
  </si>
  <si>
    <t>Bacamante</t>
  </si>
  <si>
    <t>Angelica Joy</t>
  </si>
  <si>
    <t>Melitante</t>
  </si>
  <si>
    <t>04-2950833-2</t>
  </si>
  <si>
    <t>M092</t>
  </si>
  <si>
    <t>Tutor</t>
  </si>
  <si>
    <t>Juditha</t>
  </si>
  <si>
    <t>Enot</t>
  </si>
  <si>
    <t>02-3509299-3</t>
  </si>
  <si>
    <t>M095</t>
  </si>
  <si>
    <t xml:space="preserve">Consulta </t>
  </si>
  <si>
    <t xml:space="preserve">Jerome </t>
  </si>
  <si>
    <t xml:space="preserve">Diaz </t>
  </si>
  <si>
    <t>2017-07-03</t>
  </si>
  <si>
    <t>04-2421870-8</t>
  </si>
  <si>
    <t>M099</t>
  </si>
  <si>
    <t>Magtibay</t>
  </si>
  <si>
    <t>Maybell</t>
  </si>
  <si>
    <t>Pañer</t>
  </si>
  <si>
    <t>04-2184978-5</t>
  </si>
  <si>
    <t>M101</t>
  </si>
  <si>
    <t>Layug</t>
  </si>
  <si>
    <t>Glenn</t>
  </si>
  <si>
    <t>Quilloy</t>
  </si>
  <si>
    <t>04-2024705-8</t>
  </si>
  <si>
    <t>M105</t>
  </si>
  <si>
    <t>Jeffrey</t>
  </si>
  <si>
    <t>04-2883581-5</t>
  </si>
  <si>
    <t>M106</t>
  </si>
  <si>
    <t>Neones</t>
  </si>
  <si>
    <t>Reymond</t>
  </si>
  <si>
    <t>Bon</t>
  </si>
  <si>
    <t>04-2852948-0</t>
  </si>
  <si>
    <t>M110</t>
  </si>
  <si>
    <t>Landicho</t>
  </si>
  <si>
    <t>Jemark</t>
  </si>
  <si>
    <t>Macasinag</t>
  </si>
  <si>
    <t>04-1977548-9</t>
  </si>
  <si>
    <t>M118</t>
  </si>
  <si>
    <t>Cabiles</t>
  </si>
  <si>
    <t>Jacinth</t>
  </si>
  <si>
    <t>Padua</t>
  </si>
  <si>
    <t>2017-07-06</t>
  </si>
  <si>
    <t>04-2003760-8</t>
  </si>
  <si>
    <t>M119</t>
  </si>
  <si>
    <t>Jenelyn</t>
  </si>
  <si>
    <t>Alolor</t>
  </si>
  <si>
    <t>04-2568689-2</t>
  </si>
  <si>
    <t>M120</t>
  </si>
  <si>
    <t>Rafer</t>
  </si>
  <si>
    <t>Jenneth</t>
  </si>
  <si>
    <t>04-2277220-4</t>
  </si>
  <si>
    <t>M122</t>
  </si>
  <si>
    <t xml:space="preserve">Payca </t>
  </si>
  <si>
    <t xml:space="preserve">Arnie </t>
  </si>
  <si>
    <t>Barrientos</t>
  </si>
  <si>
    <t>2017-07-08</t>
  </si>
  <si>
    <t>04-2857038-7</t>
  </si>
  <si>
    <t>M126</t>
  </si>
  <si>
    <t>Villaver</t>
  </si>
  <si>
    <t>Ryan</t>
  </si>
  <si>
    <t>Salvador</t>
  </si>
  <si>
    <t>2017-07-14</t>
  </si>
  <si>
    <t>10-0810037-0</t>
  </si>
  <si>
    <t>N011</t>
  </si>
  <si>
    <t>Abella</t>
  </si>
  <si>
    <t>Leah</t>
  </si>
  <si>
    <t>Brandiz</t>
  </si>
  <si>
    <t>2018-04-02</t>
  </si>
  <si>
    <t>04-1426241-8</t>
  </si>
  <si>
    <t>N017</t>
  </si>
  <si>
    <t>Antonio</t>
  </si>
  <si>
    <t>Angielyn</t>
  </si>
  <si>
    <t>Tagle</t>
  </si>
  <si>
    <t>04-1798681-4</t>
  </si>
  <si>
    <t>N018</t>
  </si>
  <si>
    <t>Arroyo</t>
  </si>
  <si>
    <t>Von Andrew</t>
  </si>
  <si>
    <t>Guia</t>
  </si>
  <si>
    <t>04-3514526-8</t>
  </si>
  <si>
    <t>N019</t>
  </si>
  <si>
    <t>Asia</t>
  </si>
  <si>
    <t>Gemar</t>
  </si>
  <si>
    <t>04-3376681-4</t>
  </si>
  <si>
    <t>N021</t>
  </si>
  <si>
    <t xml:space="preserve">Bailon </t>
  </si>
  <si>
    <t xml:space="preserve">Marlon </t>
  </si>
  <si>
    <t xml:space="preserve">Dellava </t>
  </si>
  <si>
    <t>04-1672793-5</t>
  </si>
  <si>
    <t>N022</t>
  </si>
  <si>
    <t>Balanay</t>
  </si>
  <si>
    <t>Jedena</t>
  </si>
  <si>
    <t>Magnaye</t>
  </si>
  <si>
    <t>04-2941900-7</t>
  </si>
  <si>
    <t>N023</t>
  </si>
  <si>
    <t>Colona</t>
  </si>
  <si>
    <t>Lissel</t>
  </si>
  <si>
    <t>Balderama</t>
  </si>
  <si>
    <t>04-2730708-5</t>
  </si>
  <si>
    <t>N027</t>
  </si>
  <si>
    <t>Basmayor</t>
  </si>
  <si>
    <t xml:space="preserve">Monreal </t>
  </si>
  <si>
    <t>04-1698096-3</t>
  </si>
  <si>
    <t>N028</t>
  </si>
  <si>
    <t>Batalla</t>
  </si>
  <si>
    <t>Ralyn</t>
  </si>
  <si>
    <t>04-3577571-9</t>
  </si>
  <si>
    <t>N032</t>
  </si>
  <si>
    <t>Branco</t>
  </si>
  <si>
    <t>Jhonalyn</t>
  </si>
  <si>
    <t>Panao</t>
  </si>
  <si>
    <t>04-2107593-1</t>
  </si>
  <si>
    <t>N034</t>
  </si>
  <si>
    <t>Calisin</t>
  </si>
  <si>
    <t>Randy</t>
  </si>
  <si>
    <t>Calimag</t>
  </si>
  <si>
    <t>04-2780029-4</t>
  </si>
  <si>
    <t>N035</t>
  </si>
  <si>
    <t>Mella</t>
  </si>
  <si>
    <t>Carina</t>
  </si>
  <si>
    <t>Caringal</t>
  </si>
  <si>
    <t>04-2889194-3</t>
  </si>
  <si>
    <t>N038</t>
  </si>
  <si>
    <t>Catalan</t>
  </si>
  <si>
    <t>Jhonatan</t>
  </si>
  <si>
    <t>Albao</t>
  </si>
  <si>
    <t>34-1534541-2</t>
  </si>
  <si>
    <t>N040</t>
  </si>
  <si>
    <t>Cielo</t>
  </si>
  <si>
    <t>Domingo</t>
  </si>
  <si>
    <t>Pante</t>
  </si>
  <si>
    <t>04-3505688-1</t>
  </si>
  <si>
    <t>N043</t>
  </si>
  <si>
    <t>Jennalyn</t>
  </si>
  <si>
    <t>Cabugoy</t>
  </si>
  <si>
    <t>34-3152998-2</t>
  </si>
  <si>
    <t>N045</t>
  </si>
  <si>
    <t>Federico</t>
  </si>
  <si>
    <t>Ropeta</t>
  </si>
  <si>
    <t>04-2173773-2</t>
  </si>
  <si>
    <t>N048</t>
  </si>
  <si>
    <t>Gamala</t>
  </si>
  <si>
    <t>Rina</t>
  </si>
  <si>
    <t>Garolacan</t>
  </si>
  <si>
    <t>07-2694169-2</t>
  </si>
  <si>
    <t>N049</t>
  </si>
  <si>
    <t>Garcia</t>
  </si>
  <si>
    <t>Madel</t>
  </si>
  <si>
    <t>Llorca</t>
  </si>
  <si>
    <t>04-2094230-8</t>
  </si>
  <si>
    <t>N050</t>
  </si>
  <si>
    <t>Leyno</t>
  </si>
  <si>
    <t>04-1640345-3</t>
  </si>
  <si>
    <t>N051</t>
  </si>
  <si>
    <t>Tubay</t>
  </si>
  <si>
    <t>Sharmen</t>
  </si>
  <si>
    <t>Gabiandan</t>
  </si>
  <si>
    <t>04-2660726-5</t>
  </si>
  <si>
    <t>N054</t>
  </si>
  <si>
    <t>Harina</t>
  </si>
  <si>
    <t>Myla</t>
  </si>
  <si>
    <t>Manalo</t>
  </si>
  <si>
    <t>04-2228080-6</t>
  </si>
  <si>
    <t>N055</t>
  </si>
  <si>
    <t>Meldred</t>
  </si>
  <si>
    <t>Mejedana</t>
  </si>
  <si>
    <t>33-9371091-0</t>
  </si>
  <si>
    <t>N056</t>
  </si>
  <si>
    <t xml:space="preserve">Ilagan </t>
  </si>
  <si>
    <t xml:space="preserve">Rose Ann </t>
  </si>
  <si>
    <t xml:space="preserve">Brutas </t>
  </si>
  <si>
    <t>34-1453851-8</t>
  </si>
  <si>
    <t>N057</t>
  </si>
  <si>
    <t>Ilao</t>
  </si>
  <si>
    <t>Josie</t>
  </si>
  <si>
    <t>04-2658988-8</t>
  </si>
  <si>
    <t>N058</t>
  </si>
  <si>
    <t>Ilustre</t>
  </si>
  <si>
    <t>Nerry Rose</t>
  </si>
  <si>
    <t>34-2527817-1</t>
  </si>
  <si>
    <t>N060</t>
  </si>
  <si>
    <t>Latayan</t>
  </si>
  <si>
    <t xml:space="preserve">Carlo </t>
  </si>
  <si>
    <t xml:space="preserve">Morcilla </t>
  </si>
  <si>
    <t xml:space="preserve">04-2310870-9 </t>
  </si>
  <si>
    <t>N061</t>
  </si>
  <si>
    <t xml:space="preserve">Lenihan </t>
  </si>
  <si>
    <t xml:space="preserve">Benjay </t>
  </si>
  <si>
    <t xml:space="preserve">Basubas </t>
  </si>
  <si>
    <t>04-2491660-2</t>
  </si>
  <si>
    <t>N062</t>
  </si>
  <si>
    <t>Lopenario</t>
  </si>
  <si>
    <t>Ladylyn</t>
  </si>
  <si>
    <t>-</t>
  </si>
  <si>
    <t>04-2557027-0</t>
  </si>
  <si>
    <t>N064</t>
  </si>
  <si>
    <t>Macanlalay</t>
  </si>
  <si>
    <t>Jocella Marie</t>
  </si>
  <si>
    <t>Celis</t>
  </si>
  <si>
    <t>04-2613038-9</t>
  </si>
  <si>
    <t>N065</t>
  </si>
  <si>
    <t>Magdael</t>
  </si>
  <si>
    <t>Jonnaleen</t>
  </si>
  <si>
    <t>Teope</t>
  </si>
  <si>
    <t>04-1725431-3</t>
  </si>
  <si>
    <t>N066</t>
  </si>
  <si>
    <t>Mahaguay</t>
  </si>
  <si>
    <t>Dollan</t>
  </si>
  <si>
    <t>Jabat</t>
  </si>
  <si>
    <t>34-0179156-2</t>
  </si>
  <si>
    <t>N070</t>
  </si>
  <si>
    <t>Myra</t>
  </si>
  <si>
    <t>Regalado</t>
  </si>
  <si>
    <t>04-2809669-6</t>
  </si>
  <si>
    <t>N071</t>
  </si>
  <si>
    <t xml:space="preserve">Mendoza </t>
  </si>
  <si>
    <t>Virnaliza Mae</t>
  </si>
  <si>
    <t>Palermo</t>
  </si>
  <si>
    <t>04-2282977-5</t>
  </si>
  <si>
    <t>N074</t>
  </si>
  <si>
    <t>Olete</t>
  </si>
  <si>
    <t>Mark</t>
  </si>
  <si>
    <t>Buque</t>
  </si>
  <si>
    <t>04-2409169-5</t>
  </si>
  <si>
    <t>N076</t>
  </si>
  <si>
    <t>Oxiano</t>
  </si>
  <si>
    <t>Mary Joy</t>
  </si>
  <si>
    <t>Amalia</t>
  </si>
  <si>
    <t>04-2492505-9</t>
  </si>
  <si>
    <t>N077</t>
  </si>
  <si>
    <t>Domino</t>
  </si>
  <si>
    <t>Arlene</t>
  </si>
  <si>
    <t>Paraiso</t>
  </si>
  <si>
    <t>04-2934187-4</t>
  </si>
  <si>
    <t>N079</t>
  </si>
  <si>
    <t>Gerald</t>
  </si>
  <si>
    <t>04-2486679-4</t>
  </si>
  <si>
    <t>N081</t>
  </si>
  <si>
    <t xml:space="preserve">Racasa </t>
  </si>
  <si>
    <t>Annalyn</t>
  </si>
  <si>
    <t xml:space="preserve">Parayan </t>
  </si>
  <si>
    <t>04-2002785-4</t>
  </si>
  <si>
    <t>N085</t>
  </si>
  <si>
    <t xml:space="preserve">Rivera </t>
  </si>
  <si>
    <t xml:space="preserve">Rubie Quinn </t>
  </si>
  <si>
    <t xml:space="preserve">Malapitan </t>
  </si>
  <si>
    <t>04-2510733-9</t>
  </si>
  <si>
    <t>N086</t>
  </si>
  <si>
    <t>Roman</t>
  </si>
  <si>
    <t>Oña</t>
  </si>
  <si>
    <t>04-2948390-7</t>
  </si>
  <si>
    <t>N090</t>
  </si>
  <si>
    <t>Tadlas</t>
  </si>
  <si>
    <t>Kristine Sheenee</t>
  </si>
  <si>
    <t>Bellon</t>
  </si>
  <si>
    <t>34-1865111-6</t>
  </si>
  <si>
    <t>N092</t>
  </si>
  <si>
    <t>Togado</t>
  </si>
  <si>
    <t>Maryflor Angel</t>
  </si>
  <si>
    <t>04-2378623-1</t>
  </si>
  <si>
    <t>N093</t>
  </si>
  <si>
    <t>Dasco</t>
  </si>
  <si>
    <t>Rubie</t>
  </si>
  <si>
    <t>04-3664475-5</t>
  </si>
  <si>
    <t>N094</t>
  </si>
  <si>
    <t>Vesagas Jr.</t>
  </si>
  <si>
    <t>Dy</t>
  </si>
  <si>
    <t>07-2800923-1</t>
  </si>
  <si>
    <t>N095</t>
  </si>
  <si>
    <t>Villa</t>
  </si>
  <si>
    <t>Merry Ann</t>
  </si>
  <si>
    <t>Layones</t>
  </si>
  <si>
    <t>02-3473909-5</t>
  </si>
  <si>
    <t>N126</t>
  </si>
  <si>
    <t>Bracero</t>
  </si>
  <si>
    <t>Catherine</t>
  </si>
  <si>
    <t>Baluca</t>
  </si>
  <si>
    <t>2018-11-05</t>
  </si>
  <si>
    <t>05-0592111-8</t>
  </si>
  <si>
    <t>N128</t>
  </si>
  <si>
    <t>Ugay</t>
  </si>
  <si>
    <t>Villanueva</t>
  </si>
  <si>
    <t>2018-11-03</t>
  </si>
  <si>
    <t>34-0364303-2</t>
  </si>
  <si>
    <t>N134</t>
  </si>
  <si>
    <t>Cabrido</t>
  </si>
  <si>
    <t>Jessalyn</t>
  </si>
  <si>
    <t>Bacurio</t>
  </si>
  <si>
    <t>04-1786373-3</t>
  </si>
  <si>
    <t>N135</t>
  </si>
  <si>
    <t>De Arabia</t>
  </si>
  <si>
    <t>Lea</t>
  </si>
  <si>
    <t>Casaysay</t>
  </si>
  <si>
    <t>33-4983873-6</t>
  </si>
  <si>
    <t>N137</t>
  </si>
  <si>
    <t>Macasaddu</t>
  </si>
  <si>
    <t>Dexter</t>
  </si>
  <si>
    <t>Salvatierra</t>
  </si>
  <si>
    <t>01-2660653-7</t>
  </si>
  <si>
    <t>N138</t>
  </si>
  <si>
    <t>Ubanan</t>
  </si>
  <si>
    <t>Rabe</t>
  </si>
  <si>
    <t>04-2177870-4</t>
  </si>
  <si>
    <t>N140</t>
  </si>
  <si>
    <t>Carmelotes</t>
  </si>
  <si>
    <t>Juvycris</t>
  </si>
  <si>
    <t>Marcellones</t>
  </si>
  <si>
    <t>04-2453615-0</t>
  </si>
  <si>
    <t>N142</t>
  </si>
  <si>
    <t>Mangga</t>
  </si>
  <si>
    <t>Jey Anne</t>
  </si>
  <si>
    <t>Macabenta</t>
  </si>
  <si>
    <t>34-3268782-3</t>
  </si>
  <si>
    <t>N143</t>
  </si>
  <si>
    <t>Bitara</t>
  </si>
  <si>
    <t>Gerwin</t>
  </si>
  <si>
    <t>Bogoc</t>
  </si>
  <si>
    <t>05-1260420-8</t>
  </si>
  <si>
    <t>N144</t>
  </si>
  <si>
    <t>Bragais</t>
  </si>
  <si>
    <t>Menchie</t>
  </si>
  <si>
    <t>Corre</t>
  </si>
  <si>
    <t>04-2798796-8</t>
  </si>
  <si>
    <t>N146</t>
  </si>
  <si>
    <t>Rochelle</t>
  </si>
  <si>
    <t>Cabuyoc</t>
  </si>
  <si>
    <t>04-3506000-0</t>
  </si>
  <si>
    <t>N147</t>
  </si>
  <si>
    <t>Mayuga</t>
  </si>
  <si>
    <t>Sheryleen</t>
  </si>
  <si>
    <t>04-2515682-7</t>
  </si>
  <si>
    <t>N148</t>
  </si>
  <si>
    <t>Khay Anne</t>
  </si>
  <si>
    <t>02-3234546-5</t>
  </si>
  <si>
    <t>N149</t>
  </si>
  <si>
    <t>Ostera</t>
  </si>
  <si>
    <t>Gilbert</t>
  </si>
  <si>
    <t>Jusay</t>
  </si>
  <si>
    <t>34-3001579-8</t>
  </si>
  <si>
    <t>N150</t>
  </si>
  <si>
    <t>Cargo</t>
  </si>
  <si>
    <t>Venus</t>
  </si>
  <si>
    <t>Griego</t>
  </si>
  <si>
    <t>04-1025286-2</t>
  </si>
  <si>
    <t>N152</t>
  </si>
  <si>
    <t>Rosario</t>
  </si>
  <si>
    <t>04-2036809-2</t>
  </si>
  <si>
    <t>N153</t>
  </si>
  <si>
    <t>Abarecia</t>
  </si>
  <si>
    <t>Emerenciana</t>
  </si>
  <si>
    <t>Huarde</t>
  </si>
  <si>
    <t>04-1766748-9</t>
  </si>
  <si>
    <t>N154</t>
  </si>
  <si>
    <t>Nagrama</t>
  </si>
  <si>
    <t>33-2592652-3</t>
  </si>
  <si>
    <t>N155</t>
  </si>
  <si>
    <t>Bulaclac</t>
  </si>
  <si>
    <t>Laurente</t>
  </si>
  <si>
    <t>07-2548002-8</t>
  </si>
  <si>
    <t>N157</t>
  </si>
  <si>
    <t>Nuarin</t>
  </si>
  <si>
    <t>Juliebe</t>
  </si>
  <si>
    <t>Ojano</t>
  </si>
  <si>
    <t>04-2241291-7</t>
  </si>
  <si>
    <t>N159</t>
  </si>
  <si>
    <t>Hapa</t>
  </si>
  <si>
    <t>Shanelle</t>
  </si>
  <si>
    <t>Lomerio</t>
  </si>
  <si>
    <t>04-2818364-8</t>
  </si>
  <si>
    <t>N160</t>
  </si>
  <si>
    <t>Magallon</t>
  </si>
  <si>
    <t>Chryzzle Ericka Camille</t>
  </si>
  <si>
    <t>Arro</t>
  </si>
  <si>
    <t>04-2977669-8</t>
  </si>
  <si>
    <t>N161</t>
  </si>
  <si>
    <t>Rustia</t>
  </si>
  <si>
    <t>Cristina</t>
  </si>
  <si>
    <t>Moreno</t>
  </si>
  <si>
    <t>04-1051086-3</t>
  </si>
  <si>
    <t>N162</t>
  </si>
  <si>
    <t>Navalta</t>
  </si>
  <si>
    <t>Joeylyn</t>
  </si>
  <si>
    <t>Balitian</t>
  </si>
  <si>
    <t>04-1874950-0</t>
  </si>
  <si>
    <t>N163</t>
  </si>
  <si>
    <t>Aquiban</t>
  </si>
  <si>
    <t>David Jr.</t>
  </si>
  <si>
    <t>Mañago</t>
  </si>
  <si>
    <t>05-1136559-3</t>
  </si>
  <si>
    <t>N164</t>
  </si>
  <si>
    <t>Aringo</t>
  </si>
  <si>
    <t>Ester</t>
  </si>
  <si>
    <t>Broqueza</t>
  </si>
  <si>
    <t>33-2765767-0</t>
  </si>
  <si>
    <t>N165</t>
  </si>
  <si>
    <t>Salilid</t>
  </si>
  <si>
    <t>Constancia</t>
  </si>
  <si>
    <t>Bruce</t>
  </si>
  <si>
    <t>04-3173090-7</t>
  </si>
  <si>
    <t>N172</t>
  </si>
  <si>
    <t>Vargas</t>
  </si>
  <si>
    <t>Melvin</t>
  </si>
  <si>
    <t>Bien</t>
  </si>
  <si>
    <t>04-3868374-3</t>
  </si>
  <si>
    <t>N173</t>
  </si>
  <si>
    <t>Medriano</t>
  </si>
  <si>
    <t>Gerwin Mike</t>
  </si>
  <si>
    <t>02-3332315-6</t>
  </si>
  <si>
    <t>N175</t>
  </si>
  <si>
    <t>Leonino</t>
  </si>
  <si>
    <t>Tercenio</t>
  </si>
  <si>
    <t>04-2287756-5</t>
  </si>
  <si>
    <t>N176</t>
  </si>
  <si>
    <t>Jaydemae</t>
  </si>
  <si>
    <t>Endozo</t>
  </si>
  <si>
    <t>04-2694267-4</t>
  </si>
  <si>
    <t>N177</t>
  </si>
  <si>
    <t>Calderon</t>
  </si>
  <si>
    <t>Crisna</t>
  </si>
  <si>
    <t>04-1679435-3</t>
  </si>
  <si>
    <t>N178</t>
  </si>
  <si>
    <t>Evasco</t>
  </si>
  <si>
    <t>Rikalin</t>
  </si>
  <si>
    <t>Acero</t>
  </si>
  <si>
    <t>34-5434953-4</t>
  </si>
  <si>
    <t>N180</t>
  </si>
  <si>
    <t>Sarah Jane</t>
  </si>
  <si>
    <t>Baron</t>
  </si>
  <si>
    <t>04-2466501-8</t>
  </si>
  <si>
    <t>N181</t>
  </si>
  <si>
    <t>Deomampo</t>
  </si>
  <si>
    <t>Ezza Marie</t>
  </si>
  <si>
    <t>Malaga</t>
  </si>
  <si>
    <t>04-2649317-8</t>
  </si>
  <si>
    <t>N182</t>
  </si>
  <si>
    <t>Balete</t>
  </si>
  <si>
    <t>Donna</t>
  </si>
  <si>
    <t>Balea</t>
  </si>
  <si>
    <t>04-2425414-4</t>
  </si>
  <si>
    <t>N183</t>
  </si>
  <si>
    <t>Pardilla</t>
  </si>
  <si>
    <t>Jemar</t>
  </si>
  <si>
    <t>04-3760659-8</t>
  </si>
  <si>
    <t>N185</t>
  </si>
  <si>
    <t>Miraña</t>
  </si>
  <si>
    <t>Allan</t>
  </si>
  <si>
    <t>Balading</t>
  </si>
  <si>
    <t>05-1179701-9</t>
  </si>
  <si>
    <t>N187</t>
  </si>
  <si>
    <t>Villarde</t>
  </si>
  <si>
    <t>Jason</t>
  </si>
  <si>
    <t>Doria</t>
  </si>
  <si>
    <t>34-3853129-0</t>
  </si>
  <si>
    <t>N188</t>
  </si>
  <si>
    <t>Marquez</t>
  </si>
  <si>
    <t>Rechie</t>
  </si>
  <si>
    <t>04-2690761-9</t>
  </si>
  <si>
    <t>N190</t>
  </si>
  <si>
    <t>Autor</t>
  </si>
  <si>
    <t>Rose Ann</t>
  </si>
  <si>
    <t>Managle</t>
  </si>
  <si>
    <t>04-2276855-1</t>
  </si>
  <si>
    <t>N191</t>
  </si>
  <si>
    <t>Custodio</t>
  </si>
  <si>
    <t>Gemmalyn</t>
  </si>
  <si>
    <t>Maladaga</t>
  </si>
  <si>
    <t>04-2305293-6</t>
  </si>
  <si>
    <t>N193</t>
  </si>
  <si>
    <t>Guera</t>
  </si>
  <si>
    <t>Cada</t>
  </si>
  <si>
    <t>04-3284710-3</t>
  </si>
  <si>
    <t>O019</t>
  </si>
  <si>
    <t>Tenorio</t>
  </si>
  <si>
    <t>Aries</t>
  </si>
  <si>
    <t>Magan</t>
  </si>
  <si>
    <t>2019-04-01</t>
  </si>
  <si>
    <t>04-2342333-2</t>
  </si>
  <si>
    <t>O020</t>
  </si>
  <si>
    <t>Sagpao</t>
  </si>
  <si>
    <t>Erwin</t>
  </si>
  <si>
    <t>Andal</t>
  </si>
  <si>
    <t>34-0055465-8</t>
  </si>
  <si>
    <t>O023</t>
  </si>
  <si>
    <t>Bahi-An</t>
  </si>
  <si>
    <t>Rose-Anne</t>
  </si>
  <si>
    <t>04-1637253-9</t>
  </si>
  <si>
    <t>O024</t>
  </si>
  <si>
    <t>Borbe</t>
  </si>
  <si>
    <t>Teresa</t>
  </si>
  <si>
    <t>Virata</t>
  </si>
  <si>
    <t>04-2706521-7</t>
  </si>
  <si>
    <t>O025</t>
  </si>
  <si>
    <t>Collado</t>
  </si>
  <si>
    <t>Eddieson</t>
  </si>
  <si>
    <t>Hondra</t>
  </si>
  <si>
    <t>01-2122666-6</t>
  </si>
  <si>
    <t>O026</t>
  </si>
  <si>
    <t>Datoon</t>
  </si>
  <si>
    <t>Marnelli</t>
  </si>
  <si>
    <t>Salgado</t>
  </si>
  <si>
    <t>04-2149166-7</t>
  </si>
  <si>
    <t>O028</t>
  </si>
  <si>
    <t>Principe</t>
  </si>
  <si>
    <t>Orlanda</t>
  </si>
  <si>
    <t>04-2913295-7</t>
  </si>
  <si>
    <t>O030</t>
  </si>
  <si>
    <t>Javier</t>
  </si>
  <si>
    <t>Jelliebeth</t>
  </si>
  <si>
    <t>Suezo</t>
  </si>
  <si>
    <t>04-2259791-3</t>
  </si>
  <si>
    <t>O031</t>
  </si>
  <si>
    <t>Pelingon</t>
  </si>
  <si>
    <t>Ariel</t>
  </si>
  <si>
    <t>Albuero</t>
  </si>
  <si>
    <t>04-2734224-4</t>
  </si>
  <si>
    <t>O036</t>
  </si>
  <si>
    <t>Putot</t>
  </si>
  <si>
    <t>Merlyn</t>
  </si>
  <si>
    <t>Araojo</t>
  </si>
  <si>
    <t>34-5827092-6</t>
  </si>
  <si>
    <t>O037</t>
  </si>
  <si>
    <t>Liezel Mae</t>
  </si>
  <si>
    <t>Tabin</t>
  </si>
  <si>
    <t>04-2641775-6</t>
  </si>
  <si>
    <t>O038</t>
  </si>
  <si>
    <t>Obligar</t>
  </si>
  <si>
    <t>Jebethliz</t>
  </si>
  <si>
    <t>04-2430944-2</t>
  </si>
  <si>
    <t>O040</t>
  </si>
  <si>
    <t>Aruta</t>
  </si>
  <si>
    <t>Karen</t>
  </si>
  <si>
    <t>Claus</t>
  </si>
  <si>
    <t>04-2103863-5</t>
  </si>
  <si>
    <t>O042</t>
  </si>
  <si>
    <t>Maria Eula</t>
  </si>
  <si>
    <t>Paguio</t>
  </si>
  <si>
    <t>04-1584766-7</t>
  </si>
  <si>
    <t>O043</t>
  </si>
  <si>
    <t>Demata</t>
  </si>
  <si>
    <t>Rosebie</t>
  </si>
  <si>
    <t>Resulta</t>
  </si>
  <si>
    <t>33-7548245-7</t>
  </si>
  <si>
    <t>O045</t>
  </si>
  <si>
    <t>Preclaro</t>
  </si>
  <si>
    <t>Rosanna</t>
  </si>
  <si>
    <t>34-1683922-8</t>
  </si>
  <si>
    <t>O047</t>
  </si>
  <si>
    <t>Plata</t>
  </si>
  <si>
    <t>Mhirapaz</t>
  </si>
  <si>
    <t>Ricafort</t>
  </si>
  <si>
    <t>04-1682335-0</t>
  </si>
  <si>
    <t>O048</t>
  </si>
  <si>
    <t>Bersabe</t>
  </si>
  <si>
    <t>05-1209445-2</t>
  </si>
  <si>
    <t>O049</t>
  </si>
  <si>
    <t>Hamoy</t>
  </si>
  <si>
    <t>Romel</t>
  </si>
  <si>
    <t>10-1035214-5</t>
  </si>
  <si>
    <t>O055</t>
  </si>
  <si>
    <t>De Luna</t>
  </si>
  <si>
    <t>Princess</t>
  </si>
  <si>
    <t>04-1804948-8</t>
  </si>
  <si>
    <t>O058</t>
  </si>
  <si>
    <t>Vitug</t>
  </si>
  <si>
    <t>Jay Ann</t>
  </si>
  <si>
    <t>Gabriel</t>
  </si>
  <si>
    <t>34-4566569-6</t>
  </si>
  <si>
    <t>O059</t>
  </si>
  <si>
    <t>Solito</t>
  </si>
  <si>
    <t>Balayan</t>
  </si>
  <si>
    <t>04-1877113-8</t>
  </si>
  <si>
    <t>O061</t>
  </si>
  <si>
    <t>Paleracio</t>
  </si>
  <si>
    <t>Clyde</t>
  </si>
  <si>
    <t>Villagomez</t>
  </si>
  <si>
    <t>04-3764126-5</t>
  </si>
  <si>
    <t>O064</t>
  </si>
  <si>
    <t>Jardin</t>
  </si>
  <si>
    <t>Kent Marlon</t>
  </si>
  <si>
    <t>Salvaleon</t>
  </si>
  <si>
    <t>04-2206830-3</t>
  </si>
  <si>
    <t>O066</t>
  </si>
  <si>
    <t>Samortin</t>
  </si>
  <si>
    <t>Pido</t>
  </si>
  <si>
    <t>34-6323897-9</t>
  </si>
  <si>
    <t>O068</t>
  </si>
  <si>
    <t>Bañadera</t>
  </si>
  <si>
    <t>Joena Mark</t>
  </si>
  <si>
    <t>Bugtong</t>
  </si>
  <si>
    <t>04-2391544-2</t>
  </si>
  <si>
    <t>O069</t>
  </si>
  <si>
    <t>Bobiles</t>
  </si>
  <si>
    <t>04-3426406-9</t>
  </si>
  <si>
    <t>O073</t>
  </si>
  <si>
    <t>Reynaldo</t>
  </si>
  <si>
    <t>Villota</t>
  </si>
  <si>
    <t>04-3692533-5</t>
  </si>
  <si>
    <t>O074</t>
  </si>
  <si>
    <t>Daludado</t>
  </si>
  <si>
    <t>Estricomen</t>
  </si>
  <si>
    <t>04-2891736-4</t>
  </si>
  <si>
    <t>O076</t>
  </si>
  <si>
    <t>Ray Niño</t>
  </si>
  <si>
    <t>Blazo</t>
  </si>
  <si>
    <t>04-3906144-5</t>
  </si>
  <si>
    <t>O078</t>
  </si>
  <si>
    <t>Torres</t>
  </si>
  <si>
    <t>Jonh Marco</t>
  </si>
  <si>
    <t>Javinal</t>
  </si>
  <si>
    <t>04-3503586-0</t>
  </si>
  <si>
    <t>O079</t>
  </si>
  <si>
    <t>Conese</t>
  </si>
  <si>
    <t>Jefferson</t>
  </si>
  <si>
    <t>Orillaza</t>
  </si>
  <si>
    <t>04-1980696-3</t>
  </si>
  <si>
    <t>O082</t>
  </si>
  <si>
    <t>Ocfemia</t>
  </si>
  <si>
    <t>Villaraza</t>
  </si>
  <si>
    <t>04-3619108-8</t>
  </si>
  <si>
    <t>O085</t>
  </si>
  <si>
    <t>Eisma</t>
  </si>
  <si>
    <t>Ronald</t>
  </si>
  <si>
    <t>Fabrigar</t>
  </si>
  <si>
    <t>04-2450283-8</t>
  </si>
  <si>
    <t>O086</t>
  </si>
  <si>
    <t>Richard</t>
  </si>
  <si>
    <t>Dayawon</t>
  </si>
  <si>
    <t>04-2424473-0</t>
  </si>
  <si>
    <t>P007</t>
  </si>
  <si>
    <t>Ferrer</t>
  </si>
  <si>
    <t>Mark Anthony</t>
  </si>
  <si>
    <t>Andaluz</t>
  </si>
  <si>
    <t>2020-01-21</t>
  </si>
  <si>
    <t>04-2174814-5</t>
  </si>
  <si>
    <t>P030</t>
  </si>
  <si>
    <t>Fantinalgo</t>
  </si>
  <si>
    <t>Gadian</t>
  </si>
  <si>
    <t>2020-07-01</t>
  </si>
  <si>
    <t>07-2265972-6</t>
  </si>
  <si>
    <t>P031</t>
  </si>
  <si>
    <t>Renier</t>
  </si>
  <si>
    <t>Antiporta</t>
  </si>
  <si>
    <t>04-1678318-6</t>
  </si>
  <si>
    <t>P032</t>
  </si>
  <si>
    <t>Macaraeg</t>
  </si>
  <si>
    <t>Doloque</t>
  </si>
  <si>
    <t>33-9095319-4</t>
  </si>
  <si>
    <t>P033</t>
  </si>
  <si>
    <t>Sheryl</t>
  </si>
  <si>
    <t>Sardan</t>
  </si>
  <si>
    <t>04-1933376-6</t>
  </si>
  <si>
    <t>P035</t>
  </si>
  <si>
    <t>Seraspi</t>
  </si>
  <si>
    <t>Marvel</t>
  </si>
  <si>
    <t>Sabay</t>
  </si>
  <si>
    <t>34-4839748-2</t>
  </si>
  <si>
    <t>P037</t>
  </si>
  <si>
    <t>Abellera</t>
  </si>
  <si>
    <t>Kimberly</t>
  </si>
  <si>
    <t>Lontoc</t>
  </si>
  <si>
    <t>04-3889358-8</t>
  </si>
  <si>
    <t>P039</t>
  </si>
  <si>
    <t>Alonzo</t>
  </si>
  <si>
    <t>Jade</t>
  </si>
  <si>
    <t>Ebido</t>
  </si>
  <si>
    <t>04-2029494-6</t>
  </si>
  <si>
    <t>P040</t>
  </si>
  <si>
    <t>Bariso</t>
  </si>
  <si>
    <t>Jecel</t>
  </si>
  <si>
    <t>Requillas</t>
  </si>
  <si>
    <t>34-5681073-1</t>
  </si>
  <si>
    <t>P041</t>
  </si>
  <si>
    <t>Maloles</t>
  </si>
  <si>
    <t>Jonalyn</t>
  </si>
  <si>
    <t>Biag</t>
  </si>
  <si>
    <t>2020-07-14</t>
  </si>
  <si>
    <t>04-2297168-1</t>
  </si>
  <si>
    <t>P042</t>
  </si>
  <si>
    <t>Cauan</t>
  </si>
  <si>
    <t>Neil Anthony</t>
  </si>
  <si>
    <t>Pabalan</t>
  </si>
  <si>
    <t>04-3526534-2</t>
  </si>
  <si>
    <t>P043</t>
  </si>
  <si>
    <t>Cervantes</t>
  </si>
  <si>
    <t>Judy Ann</t>
  </si>
  <si>
    <t>Dichoso</t>
  </si>
  <si>
    <t>04-3733364-1</t>
  </si>
  <si>
    <t>P044</t>
  </si>
  <si>
    <t>Dimayuga</t>
  </si>
  <si>
    <t>Ericson</t>
  </si>
  <si>
    <t>Surara</t>
  </si>
  <si>
    <t>04-3529712-9</t>
  </si>
  <si>
    <t>P045</t>
  </si>
  <si>
    <t>Azela</t>
  </si>
  <si>
    <t>Caparas</t>
  </si>
  <si>
    <t>04-2742991-8</t>
  </si>
  <si>
    <t>P046</t>
  </si>
  <si>
    <t>Macalalad</t>
  </si>
  <si>
    <t>34-0398780-8</t>
  </si>
  <si>
    <t>P049</t>
  </si>
  <si>
    <t>Zayra</t>
  </si>
  <si>
    <t>Libit</t>
  </si>
  <si>
    <t>04-2858545-3</t>
  </si>
  <si>
    <t>P053</t>
  </si>
  <si>
    <t>Pan</t>
  </si>
  <si>
    <t>Eugene</t>
  </si>
  <si>
    <t>Caraballe</t>
  </si>
  <si>
    <t>07-3213186-5</t>
  </si>
  <si>
    <t>P054</t>
  </si>
  <si>
    <t>Desiree</t>
  </si>
  <si>
    <t>34-5863969-3</t>
  </si>
  <si>
    <t>P055</t>
  </si>
  <si>
    <t>Pineda</t>
  </si>
  <si>
    <t>Maghanay</t>
  </si>
  <si>
    <t>04-3441028-2</t>
  </si>
  <si>
    <t>P058</t>
  </si>
  <si>
    <t>Roces</t>
  </si>
  <si>
    <t>Dianne</t>
  </si>
  <si>
    <t>Beltran</t>
  </si>
  <si>
    <t>04-1883717-9</t>
  </si>
  <si>
    <t>P059</t>
  </si>
  <si>
    <t>Signar</t>
  </si>
  <si>
    <t>Umapas</t>
  </si>
  <si>
    <t>34-3766394-9</t>
  </si>
  <si>
    <t>P063</t>
  </si>
  <si>
    <t>Vicente</t>
  </si>
  <si>
    <t>Ellaine</t>
  </si>
  <si>
    <t>Exconde</t>
  </si>
  <si>
    <t>04-4043717-8</t>
  </si>
  <si>
    <t>P067</t>
  </si>
  <si>
    <t>Espino</t>
  </si>
  <si>
    <t>John Philip</t>
  </si>
  <si>
    <t>Duhina</t>
  </si>
  <si>
    <t>04-2859197-1</t>
  </si>
  <si>
    <t>P068</t>
  </si>
  <si>
    <t>Lorico</t>
  </si>
  <si>
    <t>Zandrex</t>
  </si>
  <si>
    <t>04-3847376-2</t>
  </si>
  <si>
    <t>P069</t>
  </si>
  <si>
    <t>Seva</t>
  </si>
  <si>
    <t>Jojo</t>
  </si>
  <si>
    <t>Laynesa</t>
  </si>
  <si>
    <t>04-2843439-7</t>
  </si>
  <si>
    <t>P070</t>
  </si>
  <si>
    <t>Avendaño</t>
  </si>
  <si>
    <t>Realyn</t>
  </si>
  <si>
    <t>Jolo</t>
  </si>
  <si>
    <t>04-2134712-2</t>
  </si>
  <si>
    <t>P071</t>
  </si>
  <si>
    <t>Balauro</t>
  </si>
  <si>
    <t>Rose Ashley</t>
  </si>
  <si>
    <t>Revilla</t>
  </si>
  <si>
    <t>04-4161900-5</t>
  </si>
  <si>
    <t>P072</t>
  </si>
  <si>
    <t>Baja</t>
  </si>
  <si>
    <t>Cherryl</t>
  </si>
  <si>
    <t>Maturan</t>
  </si>
  <si>
    <t>04-2964103-7</t>
  </si>
  <si>
    <t>P073</t>
  </si>
  <si>
    <t>Bellen</t>
  </si>
  <si>
    <t>Eleonor</t>
  </si>
  <si>
    <t>Casabuena</t>
  </si>
  <si>
    <t>04-2183882-2</t>
  </si>
  <si>
    <t>P074</t>
  </si>
  <si>
    <t>Bolalin</t>
  </si>
  <si>
    <t>Loida</t>
  </si>
  <si>
    <t>Candelaria</t>
  </si>
  <si>
    <t>05-1056516-1</t>
  </si>
  <si>
    <t>P078</t>
  </si>
  <si>
    <t>Dueñas</t>
  </si>
  <si>
    <t>Mark Jay</t>
  </si>
  <si>
    <t>Lagrana</t>
  </si>
  <si>
    <t>04-2456199-2</t>
  </si>
  <si>
    <t>P080</t>
  </si>
  <si>
    <t>Fidel</t>
  </si>
  <si>
    <t>Lynzelle Joy</t>
  </si>
  <si>
    <t>Demetrial</t>
  </si>
  <si>
    <t>04-3885504-7</t>
  </si>
  <si>
    <t>P081</t>
  </si>
  <si>
    <t>Flor</t>
  </si>
  <si>
    <t>Tuazon</t>
  </si>
  <si>
    <t>05-1225967-9</t>
  </si>
  <si>
    <t>P082</t>
  </si>
  <si>
    <t>Alpha</t>
  </si>
  <si>
    <t>Rejano</t>
  </si>
  <si>
    <t>04-1389969-1</t>
  </si>
  <si>
    <t>P083</t>
  </si>
  <si>
    <t>Jallorina</t>
  </si>
  <si>
    <t>Angelyn</t>
  </si>
  <si>
    <t>04-1725584-6</t>
  </si>
  <si>
    <t>P085</t>
  </si>
  <si>
    <t>Lazaga</t>
  </si>
  <si>
    <t>Brokcil</t>
  </si>
  <si>
    <t>Luces</t>
  </si>
  <si>
    <t>04-1763926-8</t>
  </si>
  <si>
    <t>P086</t>
  </si>
  <si>
    <t>Leon</t>
  </si>
  <si>
    <t>Alea Vina</t>
  </si>
  <si>
    <t>Dominguez</t>
  </si>
  <si>
    <t>04-2292970-1</t>
  </si>
  <si>
    <t>P087</t>
  </si>
  <si>
    <t>Luno</t>
  </si>
  <si>
    <t>Jenny Lyn</t>
  </si>
  <si>
    <t>Palomo</t>
  </si>
  <si>
    <t>33-8362754-7</t>
  </si>
  <si>
    <t>P088</t>
  </si>
  <si>
    <t>Raymart</t>
  </si>
  <si>
    <t>Caballero</t>
  </si>
  <si>
    <t>34-3008316-0</t>
  </si>
  <si>
    <t>P089</t>
  </si>
  <si>
    <t>Macayan</t>
  </si>
  <si>
    <t>Jovy</t>
  </si>
  <si>
    <t>Mataverde</t>
  </si>
  <si>
    <t>04-3335376-4</t>
  </si>
  <si>
    <t>P092</t>
  </si>
  <si>
    <t>Manaig</t>
  </si>
  <si>
    <t>Kem Nicol</t>
  </si>
  <si>
    <t>Elis</t>
  </si>
  <si>
    <t>04-4065855-9</t>
  </si>
  <si>
    <t>P095</t>
  </si>
  <si>
    <t>Mayo</t>
  </si>
  <si>
    <t>Hazel</t>
  </si>
  <si>
    <t>Martinez</t>
  </si>
  <si>
    <t>06-1758136-5</t>
  </si>
  <si>
    <t>P096</t>
  </si>
  <si>
    <t>Nocus</t>
  </si>
  <si>
    <t>Delos Santos</t>
  </si>
  <si>
    <t>04-2433334-0</t>
  </si>
  <si>
    <t>P097</t>
  </si>
  <si>
    <t>Oracion</t>
  </si>
  <si>
    <t>Jenny</t>
  </si>
  <si>
    <t>Lambon</t>
  </si>
  <si>
    <t>04-2606022-6</t>
  </si>
  <si>
    <t>P101</t>
  </si>
  <si>
    <t>Ranao</t>
  </si>
  <si>
    <t>Cyril Alexandria</t>
  </si>
  <si>
    <t>Alegre</t>
  </si>
  <si>
    <t>05-1136976-4</t>
  </si>
  <si>
    <t>P103</t>
  </si>
  <si>
    <t>Jela</t>
  </si>
  <si>
    <t>Aquino</t>
  </si>
  <si>
    <t>04-2052589-3</t>
  </si>
  <si>
    <t>P104</t>
  </si>
  <si>
    <t>Sicoy</t>
  </si>
  <si>
    <t>Myline</t>
  </si>
  <si>
    <t>Yedra</t>
  </si>
  <si>
    <t>04-2483721-5</t>
  </si>
  <si>
    <t>P105</t>
  </si>
  <si>
    <t xml:space="preserve">Soriano </t>
  </si>
  <si>
    <t xml:space="preserve">James </t>
  </si>
  <si>
    <t>Tangca</t>
  </si>
  <si>
    <t>04-4054603-0</t>
  </si>
  <si>
    <t>P106</t>
  </si>
  <si>
    <t>Carl Michael</t>
  </si>
  <si>
    <t>Dorado</t>
  </si>
  <si>
    <t>04-2939326-2</t>
  </si>
  <si>
    <t>P107</t>
  </si>
  <si>
    <t>Talampas</t>
  </si>
  <si>
    <t>Lozada</t>
  </si>
  <si>
    <t>04-1910502-0</t>
  </si>
  <si>
    <t>P109</t>
  </si>
  <si>
    <t>Verdad</t>
  </si>
  <si>
    <t>Marjorie</t>
  </si>
  <si>
    <t>Ritual</t>
  </si>
  <si>
    <t>34-6157861-5</t>
  </si>
  <si>
    <t>P112</t>
  </si>
  <si>
    <t>Catamora</t>
  </si>
  <si>
    <t>Eyan Mae</t>
  </si>
  <si>
    <t>Sanoy</t>
  </si>
  <si>
    <t>06-3688758-7</t>
  </si>
  <si>
    <t>Q014</t>
  </si>
  <si>
    <t>Catapang</t>
  </si>
  <si>
    <t>Albert</t>
  </si>
  <si>
    <t>2021-04-01</t>
  </si>
  <si>
    <t>04-3451631-9</t>
  </si>
  <si>
    <t>Q015</t>
  </si>
  <si>
    <t>Recto</t>
  </si>
  <si>
    <t>Rose May</t>
  </si>
  <si>
    <t>Odoño</t>
  </si>
  <si>
    <t>34-7674009-8</t>
  </si>
  <si>
    <t>Q016</t>
  </si>
  <si>
    <t>Gean Patrick</t>
  </si>
  <si>
    <t>Gardon</t>
  </si>
  <si>
    <t>04-3930384-4</t>
  </si>
  <si>
    <t>Q017</t>
  </si>
  <si>
    <t>Aguiflor</t>
  </si>
  <si>
    <t>Zyra</t>
  </si>
  <si>
    <t>--</t>
  </si>
  <si>
    <t>04-2772341-0</t>
  </si>
  <si>
    <t>Q020</t>
  </si>
  <si>
    <t>Bataanon</t>
  </si>
  <si>
    <t>Charry</t>
  </si>
  <si>
    <t>Sangcap</t>
  </si>
  <si>
    <t>04-2825286-7</t>
  </si>
  <si>
    <t>Q021</t>
  </si>
  <si>
    <t>Bausa</t>
  </si>
  <si>
    <t>05-1294395-6</t>
  </si>
  <si>
    <t>Q022</t>
  </si>
  <si>
    <t>Neonilyn</t>
  </si>
  <si>
    <t>Villacuatro</t>
  </si>
  <si>
    <t>04-3909470-0</t>
  </si>
  <si>
    <t>Q023</t>
  </si>
  <si>
    <t>Burac</t>
  </si>
  <si>
    <t>Giselle</t>
  </si>
  <si>
    <t>Chavenia</t>
  </si>
  <si>
    <t>04-4104236-8</t>
  </si>
  <si>
    <t>Q024</t>
  </si>
  <si>
    <t>Cipres</t>
  </si>
  <si>
    <t>Bongon</t>
  </si>
  <si>
    <t>04-2660108-3</t>
  </si>
  <si>
    <t>Q028</t>
  </si>
  <si>
    <t>Batoon</t>
  </si>
  <si>
    <t>Arianne</t>
  </si>
  <si>
    <t>04-2411504-7</t>
  </si>
  <si>
    <t>Q029</t>
  </si>
  <si>
    <t>Dooc</t>
  </si>
  <si>
    <t>Karla</t>
  </si>
  <si>
    <t>Balais</t>
  </si>
  <si>
    <t>04-2922954-3</t>
  </si>
  <si>
    <t>Q031</t>
  </si>
  <si>
    <t>Ellares</t>
  </si>
  <si>
    <t>John Hazel</t>
  </si>
  <si>
    <t>Rosal</t>
  </si>
  <si>
    <t>04-2860006-6</t>
  </si>
  <si>
    <t>Q032</t>
  </si>
  <si>
    <t>Espiritu Jr</t>
  </si>
  <si>
    <t>Charlito</t>
  </si>
  <si>
    <t>Cari</t>
  </si>
  <si>
    <t>04-3917840-6</t>
  </si>
  <si>
    <t>Q033</t>
  </si>
  <si>
    <t>Facun</t>
  </si>
  <si>
    <t>Carmela</t>
  </si>
  <si>
    <t>02-3857575-0</t>
  </si>
  <si>
    <t>Q034</t>
  </si>
  <si>
    <t>Gorospe</t>
  </si>
  <si>
    <t xml:space="preserve">Mary Grace </t>
  </si>
  <si>
    <t>Bigata</t>
  </si>
  <si>
    <t>04-4066411-6</t>
  </si>
  <si>
    <t>Q035</t>
  </si>
  <si>
    <t>Jaen</t>
  </si>
  <si>
    <t xml:space="preserve">Avegail </t>
  </si>
  <si>
    <t>De Chavez</t>
  </si>
  <si>
    <t>2021-04-14</t>
  </si>
  <si>
    <t>04-3768233-4</t>
  </si>
  <si>
    <t>Q037</t>
  </si>
  <si>
    <t>Legion</t>
  </si>
  <si>
    <t>Jenny Rose</t>
  </si>
  <si>
    <t>Presas</t>
  </si>
  <si>
    <t>04-3839514-1</t>
  </si>
  <si>
    <t>Q038</t>
  </si>
  <si>
    <t>Loma</t>
  </si>
  <si>
    <t>Liezel</t>
  </si>
  <si>
    <t>Iliw-iliw</t>
  </si>
  <si>
    <t>04-1465518-0</t>
  </si>
  <si>
    <t>Q040</t>
  </si>
  <si>
    <t>Manangkil</t>
  </si>
  <si>
    <t>04-1894302-1</t>
  </si>
  <si>
    <t>Q041</t>
  </si>
  <si>
    <t>Manforte</t>
  </si>
  <si>
    <t>Jaquilmo</t>
  </si>
  <si>
    <t>04-1354398-9</t>
  </si>
  <si>
    <t>Q042</t>
  </si>
  <si>
    <t>Marturillas</t>
  </si>
  <si>
    <t>Sarah</t>
  </si>
  <si>
    <t>08-2504961-5</t>
  </si>
  <si>
    <t>Q045</t>
  </si>
  <si>
    <t xml:space="preserve">Rowena </t>
  </si>
  <si>
    <t>02-1586568-7</t>
  </si>
  <si>
    <t>Q049</t>
  </si>
  <si>
    <t>Panaglima</t>
  </si>
  <si>
    <t>Edrian</t>
  </si>
  <si>
    <t>Hostalero</t>
  </si>
  <si>
    <t>04-2506734-3</t>
  </si>
  <si>
    <t>Q050</t>
  </si>
  <si>
    <t>Ramos</t>
  </si>
  <si>
    <t>Jorlan</t>
  </si>
  <si>
    <t>04-4053209-9</t>
  </si>
  <si>
    <t>Q051</t>
  </si>
  <si>
    <t>Regaya</t>
  </si>
  <si>
    <t>Reynald</t>
  </si>
  <si>
    <t>34-6549198-9</t>
  </si>
  <si>
    <t>Q053</t>
  </si>
  <si>
    <t>Romero</t>
  </si>
  <si>
    <t>Cindy</t>
  </si>
  <si>
    <t>Paez</t>
  </si>
  <si>
    <t>04-4055951-9</t>
  </si>
  <si>
    <t>Q054</t>
  </si>
  <si>
    <t>Saludo</t>
  </si>
  <si>
    <t>Rosela</t>
  </si>
  <si>
    <t>Gulles</t>
  </si>
  <si>
    <t>34-0150223-0</t>
  </si>
  <si>
    <t>Q055</t>
  </si>
  <si>
    <t>Santiago</t>
  </si>
  <si>
    <t>2021-04-06</t>
  </si>
  <si>
    <t>04-1538600-5</t>
  </si>
  <si>
    <t>Q056</t>
  </si>
  <si>
    <t xml:space="preserve">Santurcas </t>
  </si>
  <si>
    <t xml:space="preserve">Jerson </t>
  </si>
  <si>
    <t>04-3673916-5</t>
  </si>
  <si>
    <t>Q058</t>
  </si>
  <si>
    <t>Enilyn</t>
  </si>
  <si>
    <t>Mestiola</t>
  </si>
  <si>
    <t>05-1196499-4</t>
  </si>
  <si>
    <t>Q059</t>
  </si>
  <si>
    <t>Udarbe</t>
  </si>
  <si>
    <t>Taguba</t>
  </si>
  <si>
    <t>04-3375014-7</t>
  </si>
  <si>
    <t>Q063</t>
  </si>
  <si>
    <t>Precilla</t>
  </si>
  <si>
    <t>Madonna</t>
  </si>
  <si>
    <t>Cahilig</t>
  </si>
  <si>
    <t>04-2190543-8</t>
  </si>
  <si>
    <t>Q064</t>
  </si>
  <si>
    <t>Remigio</t>
  </si>
  <si>
    <t>Avegael</t>
  </si>
  <si>
    <t>Mortega</t>
  </si>
  <si>
    <t>04-2936477-0</t>
  </si>
  <si>
    <t>Q065</t>
  </si>
  <si>
    <t>Abelador</t>
  </si>
  <si>
    <t>May Ann</t>
  </si>
  <si>
    <t>Castañeto</t>
  </si>
  <si>
    <t>04-2019343-2</t>
  </si>
  <si>
    <t>Q068</t>
  </si>
  <si>
    <t>Cuebellas</t>
  </si>
  <si>
    <t>Lilybeth</t>
  </si>
  <si>
    <t>Doclolero</t>
  </si>
  <si>
    <t>33-5858508-3</t>
  </si>
  <si>
    <t>Q071</t>
  </si>
  <si>
    <t>Leonisa</t>
  </si>
  <si>
    <t>2021-04-05</t>
  </si>
  <si>
    <t>04-1885639-6</t>
  </si>
  <si>
    <t>Q072</t>
  </si>
  <si>
    <t>Fidelino</t>
  </si>
  <si>
    <t>Irine</t>
  </si>
  <si>
    <t>Liwanagan</t>
  </si>
  <si>
    <t>04-4044306-5</t>
  </si>
  <si>
    <t>Q073</t>
  </si>
  <si>
    <t>Guieb</t>
  </si>
  <si>
    <t>04-3947153-0</t>
  </si>
  <si>
    <t>Q074</t>
  </si>
  <si>
    <t>Luna</t>
  </si>
  <si>
    <t>Melissa</t>
  </si>
  <si>
    <t>Delos Reyes</t>
  </si>
  <si>
    <t>04-3915787-0</t>
  </si>
  <si>
    <t>Q075</t>
  </si>
  <si>
    <t>Mandigma</t>
  </si>
  <si>
    <t>Jonathan</t>
  </si>
  <si>
    <t>Alcantara</t>
  </si>
  <si>
    <t>04-2233481-7</t>
  </si>
  <si>
    <t>Q076</t>
  </si>
  <si>
    <t>Rolando</t>
  </si>
  <si>
    <t>Monces</t>
  </si>
  <si>
    <t>02-3320100-3</t>
  </si>
  <si>
    <t>Q077</t>
  </si>
  <si>
    <t>Morales</t>
  </si>
  <si>
    <t>Annielyn</t>
  </si>
  <si>
    <t>Montalban</t>
  </si>
  <si>
    <t>04-2600682-4</t>
  </si>
  <si>
    <t>Q078</t>
  </si>
  <si>
    <t>Pitallano</t>
  </si>
  <si>
    <t>Lanie</t>
  </si>
  <si>
    <t>Canapit</t>
  </si>
  <si>
    <t>05-1320602-9</t>
  </si>
  <si>
    <t>Q079</t>
  </si>
  <si>
    <t>Rodelas</t>
  </si>
  <si>
    <t>34-6457204-5</t>
  </si>
  <si>
    <t>Q080</t>
  </si>
  <si>
    <t>Judie Ann</t>
  </si>
  <si>
    <t>Casem</t>
  </si>
  <si>
    <t>01-2407533-5</t>
  </si>
  <si>
    <t>Q081</t>
  </si>
  <si>
    <t>Jammiel</t>
  </si>
  <si>
    <t>Alcabasa</t>
  </si>
  <si>
    <t>04-2769408-6</t>
  </si>
  <si>
    <t>Q082</t>
  </si>
  <si>
    <t>Somera</t>
  </si>
  <si>
    <t>Diansy</t>
  </si>
  <si>
    <t>Derder</t>
  </si>
  <si>
    <t>34-3559501-9</t>
  </si>
  <si>
    <t>Q084</t>
  </si>
  <si>
    <t>Mendez</t>
  </si>
  <si>
    <t>Benjou Angelo</t>
  </si>
  <si>
    <t>04-2798282-4</t>
  </si>
  <si>
    <t>Q085</t>
  </si>
  <si>
    <t>R-Jay</t>
  </si>
  <si>
    <t>04-4242099-2</t>
  </si>
  <si>
    <t>Q086</t>
  </si>
  <si>
    <t>Clavo</t>
  </si>
  <si>
    <t>Ronel</t>
  </si>
  <si>
    <t>Albay</t>
  </si>
  <si>
    <t>04-4001717-4</t>
  </si>
  <si>
    <t>Q088</t>
  </si>
  <si>
    <t>Jerald</t>
  </si>
  <si>
    <t>Elises</t>
  </si>
  <si>
    <t>04-2720392-7</t>
  </si>
  <si>
    <t>Q090</t>
  </si>
  <si>
    <t>Hilla</t>
  </si>
  <si>
    <t>Russel Dave</t>
  </si>
  <si>
    <t>Berioso</t>
  </si>
  <si>
    <t>33-9993595-1</t>
  </si>
  <si>
    <t>Q093</t>
  </si>
  <si>
    <t>Lacar</t>
  </si>
  <si>
    <t>Michael</t>
  </si>
  <si>
    <t>Cabangal</t>
  </si>
  <si>
    <t>04-1690310-2</t>
  </si>
  <si>
    <t>R012</t>
  </si>
  <si>
    <t>Desamero</t>
  </si>
  <si>
    <t>Redentor Jr.</t>
  </si>
  <si>
    <t>2022-02-12</t>
  </si>
  <si>
    <t>04-2551669-0</t>
  </si>
  <si>
    <t>R017</t>
  </si>
  <si>
    <t>Quidor</t>
  </si>
  <si>
    <t>Cherry Joy</t>
  </si>
  <si>
    <t>Calvario</t>
  </si>
  <si>
    <t>2022-03-01</t>
  </si>
  <si>
    <t>04-4250941-5</t>
  </si>
  <si>
    <t>R018</t>
  </si>
  <si>
    <t>Edmark</t>
  </si>
  <si>
    <t>Bandong</t>
  </si>
  <si>
    <t>34-6673078-8</t>
  </si>
  <si>
    <t>R037</t>
  </si>
  <si>
    <t>Bragais Jr</t>
  </si>
  <si>
    <t>Bilaos</t>
  </si>
  <si>
    <t>2022-04-01</t>
  </si>
  <si>
    <t>05-0987401-2</t>
  </si>
  <si>
    <t>R038</t>
  </si>
  <si>
    <t>Padilla</t>
  </si>
  <si>
    <t>Jayson</t>
  </si>
  <si>
    <t>34-8518616-4</t>
  </si>
  <si>
    <t>R040</t>
  </si>
  <si>
    <t>Asis</t>
  </si>
  <si>
    <t>Irene</t>
  </si>
  <si>
    <t>Vela</t>
  </si>
  <si>
    <t>34-0466608-9</t>
  </si>
  <si>
    <t>R041</t>
  </si>
  <si>
    <t>Dayandante</t>
  </si>
  <si>
    <t>Carlo</t>
  </si>
  <si>
    <t>34-4347979-0</t>
  </si>
  <si>
    <t>R042</t>
  </si>
  <si>
    <t>Malto</t>
  </si>
  <si>
    <t>Cañete</t>
  </si>
  <si>
    <t>34-6541135-4</t>
  </si>
  <si>
    <t>R043</t>
  </si>
  <si>
    <t>Paramio</t>
  </si>
  <si>
    <t>Ivan James</t>
  </si>
  <si>
    <t>Cepeda</t>
  </si>
  <si>
    <t>07-2672281-1</t>
  </si>
  <si>
    <t>R044</t>
  </si>
  <si>
    <t>Locion</t>
  </si>
  <si>
    <t>Regine</t>
  </si>
  <si>
    <t>Labaja</t>
  </si>
  <si>
    <t>04-2218625-6</t>
  </si>
  <si>
    <t>R045</t>
  </si>
  <si>
    <t>Acejo</t>
  </si>
  <si>
    <t>Palentinos</t>
  </si>
  <si>
    <t>04-2702175-6</t>
  </si>
  <si>
    <t>R046</t>
  </si>
  <si>
    <t>Bolaño</t>
  </si>
  <si>
    <t>Raymond</t>
  </si>
  <si>
    <t>Alarcon</t>
  </si>
  <si>
    <t>34-9079266-6</t>
  </si>
  <si>
    <t>R047</t>
  </si>
  <si>
    <t>Cajayon</t>
  </si>
  <si>
    <t>Anna-Mae</t>
  </si>
  <si>
    <t>Baylon</t>
  </si>
  <si>
    <t>04-3584671-6</t>
  </si>
  <si>
    <t>R048</t>
  </si>
  <si>
    <t>Capecinio</t>
  </si>
  <si>
    <t>Gildo</t>
  </si>
  <si>
    <t>34-3591857-3</t>
  </si>
  <si>
    <t>R049</t>
  </si>
  <si>
    <t>Cariño</t>
  </si>
  <si>
    <t>Refrea</t>
  </si>
  <si>
    <t>04-3896536-4</t>
  </si>
  <si>
    <t>R050</t>
  </si>
  <si>
    <t>Darilay</t>
  </si>
  <si>
    <t>Katrina Mae</t>
  </si>
  <si>
    <t>Luares</t>
  </si>
  <si>
    <t>04-3617911-0</t>
  </si>
  <si>
    <t>R052</t>
  </si>
  <si>
    <t>Milanie</t>
  </si>
  <si>
    <t>Pagdonsolan</t>
  </si>
  <si>
    <t>04-2899799-9</t>
  </si>
  <si>
    <t>R053</t>
  </si>
  <si>
    <t>Rito</t>
  </si>
  <si>
    <t>Jane May</t>
  </si>
  <si>
    <t>04-2674286-1</t>
  </si>
  <si>
    <t>R054</t>
  </si>
  <si>
    <t>Agrade</t>
  </si>
  <si>
    <t>Emie</t>
  </si>
  <si>
    <t>Llanita</t>
  </si>
  <si>
    <t>04-1773703-4</t>
  </si>
  <si>
    <t>R056</t>
  </si>
  <si>
    <t>Allied</t>
  </si>
  <si>
    <t>Marvin</t>
  </si>
  <si>
    <t>Masdo</t>
  </si>
  <si>
    <t>34-3253710-6</t>
  </si>
  <si>
    <t>R058</t>
  </si>
  <si>
    <t>Ampeloquio</t>
  </si>
  <si>
    <t>Dioscoro Jr</t>
  </si>
  <si>
    <t>Tan</t>
  </si>
  <si>
    <t>04-2760254-4</t>
  </si>
  <si>
    <t>R059</t>
  </si>
  <si>
    <t>Anore</t>
  </si>
  <si>
    <t>Rosalinda</t>
  </si>
  <si>
    <t>Gaviola</t>
  </si>
  <si>
    <t>34-8299378-7</t>
  </si>
  <si>
    <t>R061</t>
  </si>
  <si>
    <t>Argamosa</t>
  </si>
  <si>
    <t>Delica</t>
  </si>
  <si>
    <t>04-4044666-4</t>
  </si>
  <si>
    <t>R062</t>
  </si>
  <si>
    <t>Astoveza</t>
  </si>
  <si>
    <t>Mariel</t>
  </si>
  <si>
    <t>04-4240889-1</t>
  </si>
  <si>
    <t>R063</t>
  </si>
  <si>
    <t>Bagu</t>
  </si>
  <si>
    <t>Rodalyn</t>
  </si>
  <si>
    <t>Velina</t>
  </si>
  <si>
    <t>04-2895491-6</t>
  </si>
  <si>
    <t>R064</t>
  </si>
  <si>
    <t>Belda</t>
  </si>
  <si>
    <t>Judy Pearl</t>
  </si>
  <si>
    <t>05-1486093-0</t>
  </si>
  <si>
    <t>R066</t>
  </si>
  <si>
    <t>Bondoy</t>
  </si>
  <si>
    <t>Christian</t>
  </si>
  <si>
    <t>Belardo</t>
  </si>
  <si>
    <t>04-4160467-0</t>
  </si>
  <si>
    <t>R067</t>
  </si>
  <si>
    <t>Boyboy</t>
  </si>
  <si>
    <t>Sheena</t>
  </si>
  <si>
    <t>Cabaron</t>
  </si>
  <si>
    <t>34-9176101-0</t>
  </si>
  <si>
    <t>R068</t>
  </si>
  <si>
    <t>Caalim</t>
  </si>
  <si>
    <t>Rennelyn</t>
  </si>
  <si>
    <t>Villamor</t>
  </si>
  <si>
    <t>04-4266308-9</t>
  </si>
  <si>
    <t>R069</t>
  </si>
  <si>
    <t>Campo</t>
  </si>
  <si>
    <t>Jeremy Niño</t>
  </si>
  <si>
    <t>34-9384118-7</t>
  </si>
  <si>
    <t>R070</t>
  </si>
  <si>
    <t>Canduli</t>
  </si>
  <si>
    <t>Boting</t>
  </si>
  <si>
    <t>Lodrigo</t>
  </si>
  <si>
    <t>34-9209958-7</t>
  </si>
  <si>
    <t>R071</t>
  </si>
  <si>
    <t>Capalungan</t>
  </si>
  <si>
    <t>Leomar</t>
  </si>
  <si>
    <t>Cañutal</t>
  </si>
  <si>
    <t>05-1262334-4</t>
  </si>
  <si>
    <t>R072</t>
  </si>
  <si>
    <t>Castro</t>
  </si>
  <si>
    <t>Emmanuel</t>
  </si>
  <si>
    <t>Cardines</t>
  </si>
  <si>
    <t>04-4189913-9</t>
  </si>
  <si>
    <t>R073</t>
  </si>
  <si>
    <t>Catindig</t>
  </si>
  <si>
    <t>Joneleen</t>
  </si>
  <si>
    <t>Ranchez</t>
  </si>
  <si>
    <t>34-8915819-8</t>
  </si>
  <si>
    <t>R074</t>
  </si>
  <si>
    <t>Cunan</t>
  </si>
  <si>
    <t>Donna May</t>
  </si>
  <si>
    <t>Baliwag</t>
  </si>
  <si>
    <t>04-1573706-5</t>
  </si>
  <si>
    <t>R075</t>
  </si>
  <si>
    <t>Jingle</t>
  </si>
  <si>
    <t>Caranto</t>
  </si>
  <si>
    <t>34-0782050-5</t>
  </si>
  <si>
    <t>R079</t>
  </si>
  <si>
    <t>Escorido</t>
  </si>
  <si>
    <t>Mary Rose</t>
  </si>
  <si>
    <t>Vichozo</t>
  </si>
  <si>
    <t>04-3848564-0</t>
  </si>
  <si>
    <t>R080</t>
  </si>
  <si>
    <t>Estrael</t>
  </si>
  <si>
    <t>Salvacion</t>
  </si>
  <si>
    <t>Lizardo</t>
  </si>
  <si>
    <t>34-8918833-3</t>
  </si>
  <si>
    <t>R081</t>
  </si>
  <si>
    <t>Factor</t>
  </si>
  <si>
    <t>Demandaco</t>
  </si>
  <si>
    <t>05-1444372-6</t>
  </si>
  <si>
    <t>R082</t>
  </si>
  <si>
    <t>Margerry</t>
  </si>
  <si>
    <t>Veluz</t>
  </si>
  <si>
    <t>04-2918703-8</t>
  </si>
  <si>
    <t>R083</t>
  </si>
  <si>
    <t>Jeantel</t>
  </si>
  <si>
    <t>Saludes</t>
  </si>
  <si>
    <t>04-4169097-2</t>
  </si>
  <si>
    <t>R084</t>
  </si>
  <si>
    <t>Giron</t>
  </si>
  <si>
    <t>Jennilyn</t>
  </si>
  <si>
    <t>Jovellano</t>
  </si>
  <si>
    <t>04-1700956-8</t>
  </si>
  <si>
    <t>R085</t>
  </si>
  <si>
    <t>Golita</t>
  </si>
  <si>
    <t>Ferdinand</t>
  </si>
  <si>
    <t>Gripon</t>
  </si>
  <si>
    <t>34-4564835-4</t>
  </si>
  <si>
    <t>R086</t>
  </si>
  <si>
    <t>Guillermo Jr</t>
  </si>
  <si>
    <t>Efren</t>
  </si>
  <si>
    <t>04-2976358-8</t>
  </si>
  <si>
    <t>R087</t>
  </si>
  <si>
    <t>Hibano</t>
  </si>
  <si>
    <t>Paulo</t>
  </si>
  <si>
    <t>Hina</t>
  </si>
  <si>
    <t>04-4064861-1</t>
  </si>
  <si>
    <t>R088</t>
  </si>
  <si>
    <t>Isipin</t>
  </si>
  <si>
    <t>Amantoy</t>
  </si>
  <si>
    <t>04-3979498-7</t>
  </si>
  <si>
    <t>R089</t>
  </si>
  <si>
    <t>Jamito</t>
  </si>
  <si>
    <t>Jamewel</t>
  </si>
  <si>
    <t>04-4122960-2</t>
  </si>
  <si>
    <t>R090</t>
  </si>
  <si>
    <t>Janquin</t>
  </si>
  <si>
    <t>Ana Jean</t>
  </si>
  <si>
    <t>Bandillo</t>
  </si>
  <si>
    <t>04-1789065-4</t>
  </si>
  <si>
    <t>R092</t>
  </si>
  <si>
    <t>Jimenez</t>
  </si>
  <si>
    <t>Emar Jake</t>
  </si>
  <si>
    <t>Juan</t>
  </si>
  <si>
    <t>04-2159948-8</t>
  </si>
  <si>
    <t>R093</t>
  </si>
  <si>
    <t>Limpiado</t>
  </si>
  <si>
    <t>Charity</t>
  </si>
  <si>
    <t>Carel</t>
  </si>
  <si>
    <t>34-8658022-2</t>
  </si>
  <si>
    <t>R095</t>
  </si>
  <si>
    <t>Oca</t>
  </si>
  <si>
    <t>Longasa</t>
  </si>
  <si>
    <t>05-1325728-5</t>
  </si>
  <si>
    <t>R097</t>
  </si>
  <si>
    <t>Kimberly Ann</t>
  </si>
  <si>
    <t>Consulta</t>
  </si>
  <si>
    <t>05-1268163-2</t>
  </si>
  <si>
    <t>R098</t>
  </si>
  <si>
    <t>Magboo</t>
  </si>
  <si>
    <t>Christine</t>
  </si>
  <si>
    <t>Dipasupil</t>
  </si>
  <si>
    <t>04-1120266-2</t>
  </si>
  <si>
    <t>R099</t>
  </si>
  <si>
    <t>Medalla</t>
  </si>
  <si>
    <t>Rosemarie</t>
  </si>
  <si>
    <t>04-4047846-7</t>
  </si>
  <si>
    <t>R103</t>
  </si>
  <si>
    <t>Nierva</t>
  </si>
  <si>
    <t>Ronalyn</t>
  </si>
  <si>
    <t>Verges</t>
  </si>
  <si>
    <t>04-1944105-6</t>
  </si>
  <si>
    <t>R105</t>
  </si>
  <si>
    <t>Orolfo</t>
  </si>
  <si>
    <t>Amie</t>
  </si>
  <si>
    <t>35-0173149-3</t>
  </si>
  <si>
    <t>R108</t>
  </si>
  <si>
    <t>Persincula</t>
  </si>
  <si>
    <t>Micaela</t>
  </si>
  <si>
    <t>Peradilla</t>
  </si>
  <si>
    <t>34-9947951-1</t>
  </si>
  <si>
    <t>R111</t>
  </si>
  <si>
    <t>Quinawod</t>
  </si>
  <si>
    <t>Jeian</t>
  </si>
  <si>
    <t>35-0139443-2</t>
  </si>
  <si>
    <t>R116</t>
  </si>
  <si>
    <t>Rolluque</t>
  </si>
  <si>
    <t>Ella Mae</t>
  </si>
  <si>
    <t>34-9762218-2</t>
  </si>
  <si>
    <t>R117</t>
  </si>
  <si>
    <t>Romero Jr.</t>
  </si>
  <si>
    <t>Marciano</t>
  </si>
  <si>
    <t>Apagar</t>
  </si>
  <si>
    <t>04-2067943-5</t>
  </si>
  <si>
    <t>R118</t>
  </si>
  <si>
    <t>Samson</t>
  </si>
  <si>
    <t>Roxanne</t>
  </si>
  <si>
    <t>33-9090806-8</t>
  </si>
  <si>
    <t>R119</t>
  </si>
  <si>
    <t>Sarion</t>
  </si>
  <si>
    <t>Marie Joy</t>
  </si>
  <si>
    <t>Lanzuela</t>
  </si>
  <si>
    <t>04-3877731-6</t>
  </si>
  <si>
    <t>R120</t>
  </si>
  <si>
    <t>Satsatin</t>
  </si>
  <si>
    <t>Ronna Mae</t>
  </si>
  <si>
    <t>Platilla</t>
  </si>
  <si>
    <t>34-9986002-3</t>
  </si>
  <si>
    <t>R121</t>
  </si>
  <si>
    <t>Teves</t>
  </si>
  <si>
    <t>Riel</t>
  </si>
  <si>
    <t>04-3647617-2</t>
  </si>
  <si>
    <t>R122</t>
  </si>
  <si>
    <t>Trilles</t>
  </si>
  <si>
    <t>Christine Kyle</t>
  </si>
  <si>
    <t>01-2872971-3</t>
  </si>
  <si>
    <t>R123</t>
  </si>
  <si>
    <t>Valeros</t>
  </si>
  <si>
    <t>Rijee</t>
  </si>
  <si>
    <t>Sigaton</t>
  </si>
  <si>
    <t>34-9290585-9</t>
  </si>
  <si>
    <t>R124</t>
  </si>
  <si>
    <t>Vilan</t>
  </si>
  <si>
    <t>Jrysha Claire</t>
  </si>
  <si>
    <t>Bascruz</t>
  </si>
  <si>
    <t>34-8834743-4</t>
  </si>
  <si>
    <t>R125</t>
  </si>
  <si>
    <t>Vista</t>
  </si>
  <si>
    <t>Baloloy</t>
  </si>
  <si>
    <t>05-1492892-4</t>
  </si>
  <si>
    <t>R126</t>
  </si>
  <si>
    <t>Bodo</t>
  </si>
  <si>
    <t>John Steven</t>
  </si>
  <si>
    <t>Abetsuela</t>
  </si>
  <si>
    <t>2022-04-02</t>
  </si>
  <si>
    <t>34-8978653-1</t>
  </si>
  <si>
    <t>R136</t>
  </si>
  <si>
    <t>Lazaro</t>
  </si>
  <si>
    <t>Rizalen</t>
  </si>
  <si>
    <t>Tioxon</t>
  </si>
  <si>
    <t>2022-05-16</t>
  </si>
  <si>
    <t>04-4210825-6</t>
  </si>
  <si>
    <t>R146</t>
  </si>
  <si>
    <t>Casim</t>
  </si>
  <si>
    <t>Laurius</t>
  </si>
  <si>
    <t>Sino</t>
  </si>
  <si>
    <t>2022-06-06</t>
  </si>
  <si>
    <t>34-9863845-0</t>
  </si>
  <si>
    <t>R147</t>
  </si>
  <si>
    <t>Camille</t>
  </si>
  <si>
    <t>Vicerro</t>
  </si>
  <si>
    <t>2022-06-10</t>
  </si>
  <si>
    <t>04-2704637-5</t>
  </si>
  <si>
    <t>R177</t>
  </si>
  <si>
    <t>Rabanzo</t>
  </si>
  <si>
    <t>Gerick</t>
  </si>
  <si>
    <t>2022-10-07</t>
  </si>
  <si>
    <t>04-3992886-3</t>
  </si>
  <si>
    <t>S002</t>
  </si>
  <si>
    <t>Ezekiel</t>
  </si>
  <si>
    <t>2023-01-23</t>
  </si>
  <si>
    <t>34-6169973-0</t>
  </si>
  <si>
    <t>S005</t>
  </si>
  <si>
    <t>Ken</t>
  </si>
  <si>
    <t>Novenario</t>
  </si>
  <si>
    <t>2023-01-27</t>
  </si>
  <si>
    <t>34-7920872-8</t>
  </si>
  <si>
    <t>S007</t>
  </si>
  <si>
    <t>Lorica</t>
  </si>
  <si>
    <t>Trisha Mae</t>
  </si>
  <si>
    <t>Nimo</t>
  </si>
  <si>
    <t>2023-01-30</t>
  </si>
  <si>
    <t>35-0245679-3</t>
  </si>
  <si>
    <t>S024</t>
  </si>
  <si>
    <t>Abrera</t>
  </si>
  <si>
    <t>Villegas</t>
  </si>
  <si>
    <t>2023-04-01</t>
  </si>
  <si>
    <t>34-8822375-2</t>
  </si>
  <si>
    <t>S026</t>
  </si>
  <si>
    <t>Aguinillo</t>
  </si>
  <si>
    <t>Roan</t>
  </si>
  <si>
    <t>Ebardo</t>
  </si>
  <si>
    <t>34-9957765-9</t>
  </si>
  <si>
    <t>S027</t>
  </si>
  <si>
    <t>Arban</t>
  </si>
  <si>
    <t>Consignado</t>
  </si>
  <si>
    <t>04-4240367-6</t>
  </si>
  <si>
    <t>S028</t>
  </si>
  <si>
    <t>Auguis</t>
  </si>
  <si>
    <t>Ismael</t>
  </si>
  <si>
    <t>Alovero</t>
  </si>
  <si>
    <t>34-5036027-4</t>
  </si>
  <si>
    <t>S029</t>
  </si>
  <si>
    <t>Ayuma</t>
  </si>
  <si>
    <t>Alfon</t>
  </si>
  <si>
    <t>04-4121571-3</t>
  </si>
  <si>
    <t>S030</t>
  </si>
  <si>
    <t>Balictar</t>
  </si>
  <si>
    <t>Barsaga</t>
  </si>
  <si>
    <t>34-9970453-2</t>
  </si>
  <si>
    <t>S031</t>
  </si>
  <si>
    <t>Crystal</t>
  </si>
  <si>
    <t>Clemente</t>
  </si>
  <si>
    <t>35-0608746-9</t>
  </si>
  <si>
    <t>S032</t>
  </si>
  <si>
    <t>Batario</t>
  </si>
  <si>
    <t>John Emman</t>
  </si>
  <si>
    <t>Reymondodia</t>
  </si>
  <si>
    <t>34-9559936-9</t>
  </si>
  <si>
    <t>S033</t>
  </si>
  <si>
    <t>Jeanine Pauline</t>
  </si>
  <si>
    <t>Estrada</t>
  </si>
  <si>
    <t>34-4779038-1</t>
  </si>
  <si>
    <t>S034</t>
  </si>
  <si>
    <t>Bello</t>
  </si>
  <si>
    <t>Poco</t>
  </si>
  <si>
    <t>04-4184378-7</t>
  </si>
  <si>
    <t>S036</t>
  </si>
  <si>
    <t>Brondia</t>
  </si>
  <si>
    <t>Beruela</t>
  </si>
  <si>
    <t>04-3725032-6</t>
  </si>
  <si>
    <t>S039</t>
  </si>
  <si>
    <t>Cabradilla</t>
  </si>
  <si>
    <t>Dazal</t>
  </si>
  <si>
    <t>05-1541962-3</t>
  </si>
  <si>
    <t>S040</t>
  </si>
  <si>
    <t xml:space="preserve">Cabrera </t>
  </si>
  <si>
    <t>Eugine</t>
  </si>
  <si>
    <t>Abon</t>
  </si>
  <si>
    <t>35-1173555-7</t>
  </si>
  <si>
    <t>S041</t>
  </si>
  <si>
    <t>Cabrera</t>
  </si>
  <si>
    <t>Princess Lea</t>
  </si>
  <si>
    <t>35-1214417-6</t>
  </si>
  <si>
    <t>S042</t>
  </si>
  <si>
    <t>Lily</t>
  </si>
  <si>
    <t>De los Santos</t>
  </si>
  <si>
    <t>34-2970305-3</t>
  </si>
  <si>
    <t>S043</t>
  </si>
  <si>
    <t>Caday</t>
  </si>
  <si>
    <t>Mark Jude</t>
  </si>
  <si>
    <t>09-3914664-0</t>
  </si>
  <si>
    <t>S044</t>
  </si>
  <si>
    <t>Capellan</t>
  </si>
  <si>
    <t>Ereca</t>
  </si>
  <si>
    <t>Marcaida</t>
  </si>
  <si>
    <t>35-0338976-2</t>
  </si>
  <si>
    <t>S045</t>
  </si>
  <si>
    <t>Capiroso</t>
  </si>
  <si>
    <t>Charlene</t>
  </si>
  <si>
    <t>Oliveros</t>
  </si>
  <si>
    <t>04-1540614-7</t>
  </si>
  <si>
    <t>S046</t>
  </si>
  <si>
    <t>Carbolledo</t>
  </si>
  <si>
    <t>Romar</t>
  </si>
  <si>
    <t>Adona</t>
  </si>
  <si>
    <t>34-6807925-6</t>
  </si>
  <si>
    <t>S047</t>
  </si>
  <si>
    <t>Catuera</t>
  </si>
  <si>
    <t>Jaspeo</t>
  </si>
  <si>
    <t>04-3700820-6</t>
  </si>
  <si>
    <t>S048</t>
  </si>
  <si>
    <t>Cuñada</t>
  </si>
  <si>
    <t>Lorenz</t>
  </si>
  <si>
    <t>Bargo</t>
  </si>
  <si>
    <t>04-3598778-5</t>
  </si>
  <si>
    <t>S049</t>
  </si>
  <si>
    <t>Dalida</t>
  </si>
  <si>
    <t>Dina Mae</t>
  </si>
  <si>
    <t>Aguihap</t>
  </si>
  <si>
    <t>04-2392831-6</t>
  </si>
  <si>
    <t>S050</t>
  </si>
  <si>
    <t>Dayag</t>
  </si>
  <si>
    <t>Edrin</t>
  </si>
  <si>
    <t>Capuno</t>
  </si>
  <si>
    <t>34-8474360-5</t>
  </si>
  <si>
    <t>S051</t>
  </si>
  <si>
    <t>Desupida</t>
  </si>
  <si>
    <t>Aljun Leo</t>
  </si>
  <si>
    <t>Tumbaga</t>
  </si>
  <si>
    <t>04-2843401-2</t>
  </si>
  <si>
    <t>S053</t>
  </si>
  <si>
    <t>Dupitas</t>
  </si>
  <si>
    <t>Ruar</t>
  </si>
  <si>
    <t>04-3539023-3</t>
  </si>
  <si>
    <t>S054</t>
  </si>
  <si>
    <t>Encontro</t>
  </si>
  <si>
    <t>Junna</t>
  </si>
  <si>
    <t>Sarillo</t>
  </si>
  <si>
    <t>04-3583564-6</t>
  </si>
  <si>
    <t>S055</t>
  </si>
  <si>
    <t>Ocampo</t>
  </si>
  <si>
    <t>34-9078031-9</t>
  </si>
  <si>
    <t>S056</t>
  </si>
  <si>
    <t>Frias</t>
  </si>
  <si>
    <t>Rommel</t>
  </si>
  <si>
    <t>Diego</t>
  </si>
  <si>
    <t>04-4039648-4</t>
  </si>
  <si>
    <t>S057</t>
  </si>
  <si>
    <t>Galisim</t>
  </si>
  <si>
    <t>Christine Joy</t>
  </si>
  <si>
    <t>Espiritu</t>
  </si>
  <si>
    <t>04-2710697-2</t>
  </si>
  <si>
    <t>S058</t>
  </si>
  <si>
    <t>Garcillano</t>
  </si>
  <si>
    <t>Lanuza</t>
  </si>
  <si>
    <t>04-4137858-2</t>
  </si>
  <si>
    <t>S060</t>
  </si>
  <si>
    <t>Gonzales</t>
  </si>
  <si>
    <t>Bernal</t>
  </si>
  <si>
    <t>04-4042330-2</t>
  </si>
  <si>
    <t>S061</t>
  </si>
  <si>
    <t>Hare</t>
  </si>
  <si>
    <t>05-1024545-2</t>
  </si>
  <si>
    <t>S063</t>
  </si>
  <si>
    <t>Hizon</t>
  </si>
  <si>
    <t>34-9382405-2</t>
  </si>
  <si>
    <t>S064</t>
  </si>
  <si>
    <t>Holar</t>
  </si>
  <si>
    <t>Angelica</t>
  </si>
  <si>
    <t>Boringgot</t>
  </si>
  <si>
    <t>34-9429013-5</t>
  </si>
  <si>
    <t>S066</t>
  </si>
  <si>
    <t>Ilagan</t>
  </si>
  <si>
    <t>Grace</t>
  </si>
  <si>
    <t>Carrido</t>
  </si>
  <si>
    <t>35-0746047-0</t>
  </si>
  <si>
    <t>S068</t>
  </si>
  <si>
    <t>Julaton</t>
  </si>
  <si>
    <t>Celeste</t>
  </si>
  <si>
    <t>02-4297262-4</t>
  </si>
  <si>
    <t>S070</t>
  </si>
  <si>
    <t>Lumibao</t>
  </si>
  <si>
    <t>Kenneth</t>
  </si>
  <si>
    <t>Trambulo</t>
  </si>
  <si>
    <t>34-9479414-9</t>
  </si>
  <si>
    <t>S071</t>
  </si>
  <si>
    <t>Ericka</t>
  </si>
  <si>
    <t>Cello</t>
  </si>
  <si>
    <t>35-0111680-1</t>
  </si>
  <si>
    <t>S072</t>
  </si>
  <si>
    <t>Madulid</t>
  </si>
  <si>
    <t>Arcent</t>
  </si>
  <si>
    <t>Solano</t>
  </si>
  <si>
    <t>04-4195756-3</t>
  </si>
  <si>
    <t>S073</t>
  </si>
  <si>
    <t>Magsino</t>
  </si>
  <si>
    <t>Darius</t>
  </si>
  <si>
    <t>04-2509203-3</t>
  </si>
  <si>
    <t>S078</t>
  </si>
  <si>
    <t>Mateo</t>
  </si>
  <si>
    <t>Abigail</t>
  </si>
  <si>
    <t>Torlao</t>
  </si>
  <si>
    <t>34-9547676-7</t>
  </si>
  <si>
    <t>S081</t>
  </si>
  <si>
    <t>Adrian</t>
  </si>
  <si>
    <t>Fontanilla</t>
  </si>
  <si>
    <t>34-1873652-3</t>
  </si>
  <si>
    <t>S082</t>
  </si>
  <si>
    <t>Maregen</t>
  </si>
  <si>
    <t>35-0474089-2</t>
  </si>
  <si>
    <t>S083</t>
  </si>
  <si>
    <t>Morillo</t>
  </si>
  <si>
    <t>Baluyot</t>
  </si>
  <si>
    <t>34-9280912-0</t>
  </si>
  <si>
    <t>S085</t>
  </si>
  <si>
    <t>Oladive</t>
  </si>
  <si>
    <t>Novio</t>
  </si>
  <si>
    <t>34-8459754-7</t>
  </si>
  <si>
    <t>S086</t>
  </si>
  <si>
    <t>Opeña</t>
  </si>
  <si>
    <t>Doctor</t>
  </si>
  <si>
    <t>35-0019376-0</t>
  </si>
  <si>
    <t>S087</t>
  </si>
  <si>
    <t>Padel</t>
  </si>
  <si>
    <t>Lorraine</t>
  </si>
  <si>
    <t>04-3866954-7</t>
  </si>
  <si>
    <t>S088</t>
  </si>
  <si>
    <t>Pagaduan</t>
  </si>
  <si>
    <t>Maria Theresa</t>
  </si>
  <si>
    <t>Garo</t>
  </si>
  <si>
    <t>34-4560891-2</t>
  </si>
  <si>
    <t>S089</t>
  </si>
  <si>
    <t>Pajares</t>
  </si>
  <si>
    <t>Losanta</t>
  </si>
  <si>
    <t>Balasta</t>
  </si>
  <si>
    <t>04-3333709-4</t>
  </si>
  <si>
    <t>S090</t>
  </si>
  <si>
    <t>Palcuto</t>
  </si>
  <si>
    <t>Isidra</t>
  </si>
  <si>
    <t>Matibag</t>
  </si>
  <si>
    <t>04-1636952-6</t>
  </si>
  <si>
    <t>S091</t>
  </si>
  <si>
    <t>Papa</t>
  </si>
  <si>
    <t>Jonicka</t>
  </si>
  <si>
    <t>Cabusay</t>
  </si>
  <si>
    <t>35-0787512-0</t>
  </si>
  <si>
    <t>S092</t>
  </si>
  <si>
    <t>Pelaez</t>
  </si>
  <si>
    <t>Marilou</t>
  </si>
  <si>
    <t>Caragay</t>
  </si>
  <si>
    <t>35-0428585-2</t>
  </si>
  <si>
    <t>S093</t>
  </si>
  <si>
    <t>Peyra</t>
  </si>
  <si>
    <t>Heiren</t>
  </si>
  <si>
    <t>Enrique</t>
  </si>
  <si>
    <t>05-1065987-3</t>
  </si>
  <si>
    <t>S094</t>
  </si>
  <si>
    <t>Reblando</t>
  </si>
  <si>
    <t>Marfil</t>
  </si>
  <si>
    <t>34-7597077-5</t>
  </si>
  <si>
    <t>S095</t>
  </si>
  <si>
    <t>Rellorosa</t>
  </si>
  <si>
    <t>Mary Kaselyn</t>
  </si>
  <si>
    <t>Gipit</t>
  </si>
  <si>
    <t>04-1683627-9</t>
  </si>
  <si>
    <t>S096</t>
  </si>
  <si>
    <t>Repana</t>
  </si>
  <si>
    <t>El Brian</t>
  </si>
  <si>
    <t>Noquera</t>
  </si>
  <si>
    <t>34-9864052-9</t>
  </si>
  <si>
    <t>S097</t>
  </si>
  <si>
    <t>Repudas</t>
  </si>
  <si>
    <t>Jenifer</t>
  </si>
  <si>
    <t>Dumaquit</t>
  </si>
  <si>
    <t>04-4013258-3</t>
  </si>
  <si>
    <t>S099</t>
  </si>
  <si>
    <t>Maribeth</t>
  </si>
  <si>
    <t>Pardito</t>
  </si>
  <si>
    <t>04-4323412-9</t>
  </si>
  <si>
    <t>S100</t>
  </si>
  <si>
    <t xml:space="preserve">Salazar </t>
  </si>
  <si>
    <t>Christmas</t>
  </si>
  <si>
    <t>Rondolo</t>
  </si>
  <si>
    <t>04-1863556-2</t>
  </si>
  <si>
    <t>S101</t>
  </si>
  <si>
    <t xml:space="preserve">Salvidal </t>
  </si>
  <si>
    <t xml:space="preserve">Joan </t>
  </si>
  <si>
    <t xml:space="preserve">Alarva </t>
  </si>
  <si>
    <t>04-3947765-7</t>
  </si>
  <si>
    <t>S103</t>
  </si>
  <si>
    <t>Solis</t>
  </si>
  <si>
    <t>Malicdem</t>
  </si>
  <si>
    <t>34-6997502-9</t>
  </si>
  <si>
    <t>S104</t>
  </si>
  <si>
    <t>Suganob</t>
  </si>
  <si>
    <t>Beverly</t>
  </si>
  <si>
    <t>Reroma</t>
  </si>
  <si>
    <t>08-2815069-5</t>
  </si>
  <si>
    <t>S105</t>
  </si>
  <si>
    <t>Tonga</t>
  </si>
  <si>
    <t>04-4258465-0</t>
  </si>
  <si>
    <t>S106</t>
  </si>
  <si>
    <t>Tribunsay</t>
  </si>
  <si>
    <t>Shaira</t>
  </si>
  <si>
    <t>Rosas</t>
  </si>
  <si>
    <t>04-2018929-7</t>
  </si>
  <si>
    <t>S107</t>
  </si>
  <si>
    <t>Carmina</t>
  </si>
  <si>
    <t>Dayo</t>
  </si>
  <si>
    <t>34-8324397-3</t>
  </si>
  <si>
    <t>S108</t>
  </si>
  <si>
    <t>Vera Cruz</t>
  </si>
  <si>
    <t>Marynor</t>
  </si>
  <si>
    <t>2023-04-03</t>
  </si>
  <si>
    <t>35-0004120-7</t>
  </si>
  <si>
    <t>S109</t>
  </si>
  <si>
    <t>Francis</t>
  </si>
  <si>
    <t>Aguirre</t>
  </si>
  <si>
    <t>34-8721809-8</t>
  </si>
  <si>
    <t>S110</t>
  </si>
  <si>
    <t>Viernes</t>
  </si>
  <si>
    <t>Yaldo</t>
  </si>
  <si>
    <t>04-4110382-5</t>
  </si>
  <si>
    <t>S111</t>
  </si>
  <si>
    <t>Vistan</t>
  </si>
  <si>
    <t>Aloro</t>
  </si>
  <si>
    <t>34-4808965-1</t>
  </si>
  <si>
    <t>S112</t>
  </si>
  <si>
    <t>John Michael</t>
  </si>
  <si>
    <t>Ortil</t>
  </si>
  <si>
    <t>04-3893188-0</t>
  </si>
  <si>
    <t>S116</t>
  </si>
  <si>
    <t>Jomari</t>
  </si>
  <si>
    <t>Navarro</t>
  </si>
  <si>
    <t>34-9083044-7</t>
  </si>
  <si>
    <t>S117</t>
  </si>
  <si>
    <t>Sapo</t>
  </si>
  <si>
    <t>Jenina Ann</t>
  </si>
  <si>
    <t>Lectura</t>
  </si>
  <si>
    <t>04-2346321-1</t>
  </si>
  <si>
    <t>S120</t>
  </si>
  <si>
    <t>Moñasque</t>
  </si>
  <si>
    <t>John Paul</t>
  </si>
  <si>
    <t>35-0011727-0</t>
  </si>
  <si>
    <t>S121</t>
  </si>
  <si>
    <t>Justin</t>
  </si>
  <si>
    <t>Saan</t>
  </si>
  <si>
    <t>04-2991946-8</t>
  </si>
  <si>
    <t>S122</t>
  </si>
  <si>
    <t>Salazar</t>
  </si>
  <si>
    <t>Camille Elaine</t>
  </si>
  <si>
    <t>Causaren</t>
  </si>
  <si>
    <t>34-4540772-8</t>
  </si>
  <si>
    <t>S123</t>
  </si>
  <si>
    <t>Jefrey</t>
  </si>
  <si>
    <t>Marasigan</t>
  </si>
  <si>
    <t>35-1325439-5</t>
  </si>
  <si>
    <t>S125</t>
  </si>
  <si>
    <t>Crisostomo</t>
  </si>
  <si>
    <t>Eddie</t>
  </si>
  <si>
    <t>04-2899404-4</t>
  </si>
  <si>
    <t>S127</t>
  </si>
  <si>
    <t>Calaminos</t>
  </si>
  <si>
    <t>Reobaldes</t>
  </si>
  <si>
    <t>04-3974706-0</t>
  </si>
  <si>
    <t>S128</t>
  </si>
  <si>
    <t>Andrey</t>
  </si>
  <si>
    <t>Quepid</t>
  </si>
  <si>
    <t>05-1435858-1</t>
  </si>
  <si>
    <t>S129</t>
  </si>
  <si>
    <t>Dalag</t>
  </si>
  <si>
    <t>Johbile</t>
  </si>
  <si>
    <t>Bueno</t>
  </si>
  <si>
    <t>04-4223588-6</t>
  </si>
  <si>
    <t>S130</t>
  </si>
  <si>
    <t>Aljon</t>
  </si>
  <si>
    <t>35-1995136-2</t>
  </si>
  <si>
    <t>S133</t>
  </si>
  <si>
    <t>Stephanie Joyce</t>
  </si>
  <si>
    <t>04-4098098-4</t>
  </si>
  <si>
    <t>S134</t>
  </si>
  <si>
    <t>Zarina</t>
  </si>
  <si>
    <t>Velasquez</t>
  </si>
  <si>
    <t>04-2384283-2</t>
  </si>
  <si>
    <t>S136</t>
  </si>
  <si>
    <t>Macaraig</t>
  </si>
  <si>
    <t>Rey Mark</t>
  </si>
  <si>
    <t>Arcayos</t>
  </si>
  <si>
    <t>04-4239012-9</t>
  </si>
  <si>
    <t>S137</t>
  </si>
  <si>
    <t>Mancilla</t>
  </si>
  <si>
    <t>Hena</t>
  </si>
  <si>
    <t>04-4053744-7</t>
  </si>
  <si>
    <t>S138</t>
  </si>
  <si>
    <t>Manongsong</t>
  </si>
  <si>
    <t>Angeluz</t>
  </si>
  <si>
    <t>04-2857132-8</t>
  </si>
  <si>
    <t>S139</t>
  </si>
  <si>
    <t>Arvin</t>
  </si>
  <si>
    <t>Terzol</t>
  </si>
  <si>
    <t>04-2782931-4</t>
  </si>
  <si>
    <t>S140</t>
  </si>
  <si>
    <t xml:space="preserve">Pielago </t>
  </si>
  <si>
    <t>Grosy Mae</t>
  </si>
  <si>
    <t>Norombaba</t>
  </si>
  <si>
    <t>2023-04-04</t>
  </si>
  <si>
    <t>04-4213513-5</t>
  </si>
  <si>
    <t>S141</t>
  </si>
  <si>
    <t>Barimbao</t>
  </si>
  <si>
    <t>Edward Kenn</t>
  </si>
  <si>
    <t>2023-04-12</t>
  </si>
  <si>
    <t>34-7982414-4</t>
  </si>
  <si>
    <t>T003</t>
  </si>
  <si>
    <t>Batusin</t>
  </si>
  <si>
    <t>Bermar</t>
  </si>
  <si>
    <t>Quizol</t>
  </si>
  <si>
    <t>2024-01-20</t>
  </si>
  <si>
    <t>34-3620399-9</t>
  </si>
  <si>
    <t>T008</t>
  </si>
  <si>
    <t>Cac</t>
  </si>
  <si>
    <t>Leonard</t>
  </si>
  <si>
    <t>Valiente</t>
  </si>
  <si>
    <t>2024-02-26</t>
  </si>
  <si>
    <t>04-3641057-8</t>
  </si>
  <si>
    <t>T009</t>
  </si>
  <si>
    <t>Cernero</t>
  </si>
  <si>
    <t>Aldwin</t>
  </si>
  <si>
    <t>Antazo</t>
  </si>
  <si>
    <t>2024-03-01</t>
  </si>
  <si>
    <t>34-8519791-7</t>
  </si>
  <si>
    <t>T011</t>
  </si>
  <si>
    <t>Sanorjo</t>
  </si>
  <si>
    <t>Harvey</t>
  </si>
  <si>
    <t>Diaz</t>
  </si>
  <si>
    <t>35-0968671-5</t>
  </si>
  <si>
    <t>T018</t>
  </si>
  <si>
    <t>Oraña</t>
  </si>
  <si>
    <t>Dave Mark</t>
  </si>
  <si>
    <t>2024-03-20</t>
  </si>
  <si>
    <t>04-2310216-1</t>
  </si>
  <si>
    <t>T019</t>
  </si>
  <si>
    <t>Cristine Aira</t>
  </si>
  <si>
    <t>Bonganay</t>
  </si>
  <si>
    <t>05-1465792-3</t>
  </si>
  <si>
    <t>T020</t>
  </si>
  <si>
    <t>Sajor</t>
  </si>
  <si>
    <t>Jumar</t>
  </si>
  <si>
    <t>Magalso</t>
  </si>
  <si>
    <t>04-3219751-0</t>
  </si>
  <si>
    <t>T021</t>
  </si>
  <si>
    <t>Restar</t>
  </si>
  <si>
    <t>Fernando</t>
  </si>
  <si>
    <t>Gelilio</t>
  </si>
  <si>
    <t>2024-04-01</t>
  </si>
  <si>
    <t>34-9498160-6</t>
  </si>
  <si>
    <t>T022</t>
  </si>
  <si>
    <t>Morata</t>
  </si>
  <si>
    <t>Cecille</t>
  </si>
  <si>
    <t>Manungay</t>
  </si>
  <si>
    <t>04-2408624-4</t>
  </si>
  <si>
    <t>T023</t>
  </si>
  <si>
    <t>Andrew Milo</t>
  </si>
  <si>
    <t>Abante</t>
  </si>
  <si>
    <t>04-3872942-9</t>
  </si>
  <si>
    <t>T024</t>
  </si>
  <si>
    <t>Barawel Jr.</t>
  </si>
  <si>
    <t xml:space="preserve">Arnel </t>
  </si>
  <si>
    <t>Bueza</t>
  </si>
  <si>
    <t>05-1274674-2</t>
  </si>
  <si>
    <t>T025</t>
  </si>
  <si>
    <t>Buenafe</t>
  </si>
  <si>
    <t>35-1233697-1</t>
  </si>
  <si>
    <t>T026</t>
  </si>
  <si>
    <t>Canata</t>
  </si>
  <si>
    <t>Joven</t>
  </si>
  <si>
    <t>04-4218379-2</t>
  </si>
  <si>
    <t>T027</t>
  </si>
  <si>
    <t>Concepcion</t>
  </si>
  <si>
    <t>Jeric</t>
  </si>
  <si>
    <t>04-2653433-8</t>
  </si>
  <si>
    <t>T029</t>
  </si>
  <si>
    <t>Danseco</t>
  </si>
  <si>
    <t>Kevin</t>
  </si>
  <si>
    <t>Dadule</t>
  </si>
  <si>
    <t>34-7813890-9</t>
  </si>
  <si>
    <t>T030</t>
  </si>
  <si>
    <t>Ebarita</t>
  </si>
  <si>
    <t>Cristela</t>
  </si>
  <si>
    <t>Sapa</t>
  </si>
  <si>
    <t>04-2478243-8</t>
  </si>
  <si>
    <t>T031</t>
  </si>
  <si>
    <t>Eclavea</t>
  </si>
  <si>
    <t>Jerome</t>
  </si>
  <si>
    <t>34-9631411-6</t>
  </si>
  <si>
    <t>T032</t>
  </si>
  <si>
    <t>Edsil</t>
  </si>
  <si>
    <t>Norma</t>
  </si>
  <si>
    <t>Macalingay</t>
  </si>
  <si>
    <t>04-4132919-1</t>
  </si>
  <si>
    <t>T033</t>
  </si>
  <si>
    <t>Gaan</t>
  </si>
  <si>
    <t>Cherryfel</t>
  </si>
  <si>
    <t>Embrado</t>
  </si>
  <si>
    <t>08-2450400-9</t>
  </si>
  <si>
    <t>T034</t>
  </si>
  <si>
    <t>Groyon</t>
  </si>
  <si>
    <t>Gail</t>
  </si>
  <si>
    <t>Prodisimo</t>
  </si>
  <si>
    <t>04-4351657-5</t>
  </si>
  <si>
    <t>T035</t>
  </si>
  <si>
    <t>Santillan</t>
  </si>
  <si>
    <t>04-4507490-5</t>
  </si>
  <si>
    <t>T037</t>
  </si>
  <si>
    <t>Masanguid</t>
  </si>
  <si>
    <t>Mae-Ann</t>
  </si>
  <si>
    <t>Gapasin</t>
  </si>
  <si>
    <t>04-2745921-8</t>
  </si>
  <si>
    <t>T038</t>
  </si>
  <si>
    <t>Navarrosa</t>
  </si>
  <si>
    <t>Celia</t>
  </si>
  <si>
    <t>Talaman</t>
  </si>
  <si>
    <t>33-7243621-5</t>
  </si>
  <si>
    <t>T039</t>
  </si>
  <si>
    <t>Patenio</t>
  </si>
  <si>
    <t>Airah Mae</t>
  </si>
  <si>
    <t>Sibulo</t>
  </si>
  <si>
    <t>04-4237112-2</t>
  </si>
  <si>
    <t>T040</t>
  </si>
  <si>
    <t>Samuya</t>
  </si>
  <si>
    <t>Jaystar</t>
  </si>
  <si>
    <t>10-1371225-8</t>
  </si>
  <si>
    <t>T041</t>
  </si>
  <si>
    <t>San Lorenzo</t>
  </si>
  <si>
    <t>Gillian</t>
  </si>
  <si>
    <t>Oas</t>
  </si>
  <si>
    <t>05-1518969-4</t>
  </si>
  <si>
    <t>T042</t>
  </si>
  <si>
    <t>Urriza</t>
  </si>
  <si>
    <t>04-3574203-0</t>
  </si>
  <si>
    <t>T043</t>
  </si>
  <si>
    <t>Monreal</t>
  </si>
  <si>
    <t>Diane</t>
  </si>
  <si>
    <t>Montenegro</t>
  </si>
  <si>
    <t>04-4399383-9</t>
  </si>
  <si>
    <t>T044</t>
  </si>
  <si>
    <t>Biolanguez</t>
  </si>
  <si>
    <t>Jovany</t>
  </si>
  <si>
    <t>Serencio</t>
  </si>
  <si>
    <t>34-9745688-2</t>
  </si>
  <si>
    <t>T045</t>
  </si>
  <si>
    <t>Blancia</t>
  </si>
  <si>
    <t>Edison</t>
  </si>
  <si>
    <t>Puyong</t>
  </si>
  <si>
    <t>07-3431026-0</t>
  </si>
  <si>
    <t>T046</t>
  </si>
  <si>
    <t>Angelito</t>
  </si>
  <si>
    <t>04-1722951-3</t>
  </si>
  <si>
    <t>T047</t>
  </si>
  <si>
    <t>Catarining</t>
  </si>
  <si>
    <t>Cherry</t>
  </si>
  <si>
    <t>Aganan</t>
  </si>
  <si>
    <t>34-9679204-2</t>
  </si>
  <si>
    <t>T048</t>
  </si>
  <si>
    <t>Esquilona</t>
  </si>
  <si>
    <t>Rea</t>
  </si>
  <si>
    <t>Balbuena</t>
  </si>
  <si>
    <t>34-6480524-6</t>
  </si>
  <si>
    <t>T049</t>
  </si>
  <si>
    <t>Chad</t>
  </si>
  <si>
    <t>Mejica</t>
  </si>
  <si>
    <t>07-2833302-0</t>
  </si>
  <si>
    <t>T050</t>
  </si>
  <si>
    <t>Josie Mae</t>
  </si>
  <si>
    <t>Tambor</t>
  </si>
  <si>
    <t>35-0481068-3</t>
  </si>
  <si>
    <t>T051</t>
  </si>
  <si>
    <t>Rogelyn</t>
  </si>
  <si>
    <t>Bermil</t>
  </si>
  <si>
    <t>34-7365817-0</t>
  </si>
  <si>
    <t>T052</t>
  </si>
  <si>
    <t>Mensurado</t>
  </si>
  <si>
    <t>Terrenal</t>
  </si>
  <si>
    <t>04-2971545-5</t>
  </si>
  <si>
    <t>T053</t>
  </si>
  <si>
    <t>Mosqueda</t>
  </si>
  <si>
    <t>Renz</t>
  </si>
  <si>
    <t>Benedicto</t>
  </si>
  <si>
    <t>35-0843967-5</t>
  </si>
  <si>
    <t>T054</t>
  </si>
  <si>
    <t>Abitana</t>
  </si>
  <si>
    <t>04-2316994-2</t>
  </si>
  <si>
    <t>T056</t>
  </si>
  <si>
    <t>Pizarra</t>
  </si>
  <si>
    <t>Norirose</t>
  </si>
  <si>
    <t>Alipin</t>
  </si>
  <si>
    <t>34-9807992-5</t>
  </si>
  <si>
    <t>T057</t>
  </si>
  <si>
    <t>Rodrigo III</t>
  </si>
  <si>
    <t>Bernard</t>
  </si>
  <si>
    <t>Villar</t>
  </si>
  <si>
    <t>04-3659004-5</t>
  </si>
  <si>
    <t>T058</t>
  </si>
  <si>
    <t>Sumabang</t>
  </si>
  <si>
    <t>Eric</t>
  </si>
  <si>
    <t>Echevarria</t>
  </si>
  <si>
    <t>04-4222017-6</t>
  </si>
  <si>
    <t>T059</t>
  </si>
  <si>
    <t>Olesco</t>
  </si>
  <si>
    <t>Lany</t>
  </si>
  <si>
    <t>Taopo</t>
  </si>
  <si>
    <t>05-1319790-5</t>
  </si>
  <si>
    <t>T060</t>
  </si>
  <si>
    <t>Torrepalma</t>
  </si>
  <si>
    <t>Avegail</t>
  </si>
  <si>
    <t>Sainz</t>
  </si>
  <si>
    <t>05-1264713-9</t>
  </si>
  <si>
    <t>T061</t>
  </si>
  <si>
    <t>Viaña</t>
  </si>
  <si>
    <t>Rodmar Jr.</t>
  </si>
  <si>
    <t>Acosta</t>
  </si>
  <si>
    <t>04-3711990-4</t>
  </si>
  <si>
    <t>T063</t>
  </si>
  <si>
    <t>Ariola</t>
  </si>
  <si>
    <t>Thricia</t>
  </si>
  <si>
    <t>35-0859115-7</t>
  </si>
  <si>
    <t>T064</t>
  </si>
  <si>
    <t>Cameros</t>
  </si>
  <si>
    <t>Jolledel</t>
  </si>
  <si>
    <t>Coderes</t>
  </si>
  <si>
    <t>34-8498249-5</t>
  </si>
  <si>
    <t>T065</t>
  </si>
  <si>
    <t>Rosalado</t>
  </si>
  <si>
    <t>Ariba</t>
  </si>
  <si>
    <t>35-0613601-9</t>
  </si>
  <si>
    <t>T067</t>
  </si>
  <si>
    <t>Gabaldon</t>
  </si>
  <si>
    <t>2024-04-02</t>
  </si>
  <si>
    <t>04-4047188-8</t>
  </si>
  <si>
    <t>T068</t>
  </si>
  <si>
    <t>Mirabel</t>
  </si>
  <si>
    <t>Richelle</t>
  </si>
  <si>
    <t>Mirandilla</t>
  </si>
  <si>
    <t>35-0274229-0</t>
  </si>
  <si>
    <t>T069</t>
  </si>
  <si>
    <t>Lapasaran</t>
  </si>
  <si>
    <t>John Patrick</t>
  </si>
  <si>
    <t>2024-04-05</t>
  </si>
  <si>
    <t>04-4131568-4</t>
  </si>
  <si>
    <t>T072</t>
  </si>
  <si>
    <t>De Ocampo</t>
  </si>
  <si>
    <t>Renalyn</t>
  </si>
  <si>
    <t>2024-04-15</t>
  </si>
  <si>
    <t>04-3662107-9</t>
  </si>
  <si>
    <t>T074</t>
  </si>
  <si>
    <t>Silvestre</t>
  </si>
  <si>
    <t>Bryan</t>
  </si>
  <si>
    <t>Lucido</t>
  </si>
  <si>
    <t>04-2899592-0</t>
  </si>
  <si>
    <t>T080</t>
  </si>
  <si>
    <t>Tangalan</t>
  </si>
  <si>
    <t>Aldrin</t>
  </si>
  <si>
    <t>Mesa</t>
  </si>
  <si>
    <t>2024-05-10</t>
  </si>
  <si>
    <t>04-4187405-7</t>
  </si>
  <si>
    <t>SSS Salary, Condonation, &amp; Calamity Loan Report</t>
  </si>
  <si>
    <t>As of September-19-2024</t>
  </si>
  <si>
    <t>Condonation Loan</t>
  </si>
  <si>
    <t>DAILY Employees ( September 1-15, 2024 )</t>
  </si>
  <si>
    <t>N166</t>
  </si>
  <si>
    <t>R034</t>
  </si>
  <si>
    <t>S098</t>
  </si>
  <si>
    <t>Villaflor</t>
  </si>
  <si>
    <t>Janzel Ann</t>
  </si>
  <si>
    <t>Manapol</t>
  </si>
  <si>
    <t>Aguenza</t>
  </si>
  <si>
    <t>Roland</t>
  </si>
  <si>
    <t>Borras</t>
  </si>
  <si>
    <t>Aljhun</t>
  </si>
  <si>
    <t>Salundaga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</si>
</sst>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Arial"/>
    </font>
    <font>
      <b/>
      <sz val="16"/>
      <color rgb="FF000000"/>
      <name val="Abadi MT Condensed Light"/>
    </font>
    <font>
      <b/>
      <sz val="22"/>
      <color rgb="FF000000"/>
      <name val="Abadi MT Condensed Light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4" fontId="0" fillId="0" borderId="0" xfId="0" applyNumberFormat="1"/>
    <xf numFmtId="4" fontId="5" fillId="0" borderId="2" xfId="0" applyNumberFormat="1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tburato\Desktop\PAYROLL%20RELATED\tbl_EmployeeInfo.xlsx" TargetMode="External"/><Relationship Id="rId1" Type="http://schemas.openxmlformats.org/officeDocument/2006/relationships/externalLinkPath" Target="/Users/mtburato/Desktop/PAYROLL%20RELATED/tbl_EmployeeIn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bl_EmployeeInfo"/>
    </sheetNames>
    <sheetDataSet>
      <sheetData sheetId="0">
        <row r="2">
          <cell r="C2">
            <v>8505</v>
          </cell>
          <cell r="D2" t="str">
            <v>Depidep</v>
          </cell>
          <cell r="E2" t="str">
            <v>Melody</v>
          </cell>
          <cell r="F2" t="str">
            <v>Robles</v>
          </cell>
          <cell r="G2" t="str">
            <v>Mutya</v>
          </cell>
          <cell r="H2" t="str">
            <v>0920-805-8592</v>
          </cell>
          <cell r="I2" t="str">
            <v>1981-10-02</v>
          </cell>
          <cell r="J2">
            <v>2</v>
          </cell>
          <cell r="K2">
            <v>2</v>
          </cell>
          <cell r="L2" t="str">
            <v>Arnold T. Depidep</v>
          </cell>
          <cell r="M2" t="str">
            <v>04-1204957-8</v>
          </cell>
          <cell r="N2" t="str">
            <v>219-542-654</v>
          </cell>
          <cell r="O2">
            <v>80</v>
          </cell>
          <cell r="P2">
            <v>401</v>
          </cell>
          <cell r="Q2">
            <v>51</v>
          </cell>
          <cell r="R2">
            <v>1</v>
          </cell>
          <cell r="S2">
            <v>0</v>
          </cell>
          <cell r="T2" t="str">
            <v>Marceliana G. Robles
same address</v>
          </cell>
          <cell r="U2" t="str">
            <v>2003-12-22</v>
          </cell>
        </row>
        <row r="3">
          <cell r="C3">
            <v>1195</v>
          </cell>
          <cell r="D3" t="str">
            <v>Malabanan</v>
          </cell>
          <cell r="E3" t="str">
            <v>Marilou</v>
          </cell>
          <cell r="F3" t="str">
            <v>Malijan</v>
          </cell>
          <cell r="G3" t="str">
            <v>Malou</v>
          </cell>
          <cell r="I3" t="str">
            <v>1970-02-11</v>
          </cell>
          <cell r="J3">
            <v>2</v>
          </cell>
          <cell r="K3">
            <v>2</v>
          </cell>
          <cell r="L3" t="str">
            <v>Vivencio J. Malabanan</v>
          </cell>
          <cell r="M3" t="str">
            <v>04-0633522-7</v>
          </cell>
          <cell r="N3" t="str">
            <v>112-205-609</v>
          </cell>
          <cell r="O3">
            <v>7</v>
          </cell>
          <cell r="P3">
            <v>493</v>
          </cell>
          <cell r="Q3">
            <v>55</v>
          </cell>
          <cell r="R3">
            <v>11</v>
          </cell>
          <cell r="S3">
            <v>0</v>
          </cell>
          <cell r="T3" t="str">
            <v>Vivencio J. Malabanan
San Pedro, Sto. Tomas, Bata</v>
          </cell>
          <cell r="U3" t="str">
            <v>1988-02-18</v>
          </cell>
        </row>
        <row r="4">
          <cell r="C4">
            <v>1197</v>
          </cell>
          <cell r="D4" t="str">
            <v>Manalang</v>
          </cell>
          <cell r="E4" t="str">
            <v>Estela</v>
          </cell>
          <cell r="F4" t="str">
            <v>Maniaga</v>
          </cell>
          <cell r="G4" t="str">
            <v>Ella</v>
          </cell>
          <cell r="H4" t="str">
            <v>0995-220-8455</v>
          </cell>
          <cell r="I4" t="str">
            <v>1970-10-03</v>
          </cell>
          <cell r="J4">
            <v>2</v>
          </cell>
          <cell r="K4">
            <v>2</v>
          </cell>
          <cell r="L4" t="str">
            <v>Rafaelito Lacap Manalang</v>
          </cell>
          <cell r="M4" t="str">
            <v>03-9069065-4</v>
          </cell>
          <cell r="N4" t="str">
            <v>112-205-705</v>
          </cell>
          <cell r="O4">
            <v>53</v>
          </cell>
          <cell r="P4">
            <v>493</v>
          </cell>
          <cell r="Q4">
            <v>55</v>
          </cell>
          <cell r="R4">
            <v>11</v>
          </cell>
          <cell r="S4">
            <v>0</v>
          </cell>
          <cell r="T4" t="str">
            <v>Rafaelito Manalang
San Miguel, Sto. Tomas, Batangas
0917-823-1837</v>
          </cell>
          <cell r="U4" t="str">
            <v>1988-02-18</v>
          </cell>
        </row>
        <row r="5">
          <cell r="C5">
            <v>1274</v>
          </cell>
          <cell r="D5" t="str">
            <v>Piza</v>
          </cell>
          <cell r="E5" t="str">
            <v>Mary Ann</v>
          </cell>
          <cell r="F5" t="str">
            <v>Lugtu</v>
          </cell>
          <cell r="G5" t="str">
            <v>Ann</v>
          </cell>
          <cell r="H5" t="str">
            <v>0926-847-5926</v>
          </cell>
          <cell r="I5" t="str">
            <v>1969-10-28</v>
          </cell>
          <cell r="J5">
            <v>2</v>
          </cell>
          <cell r="K5">
            <v>3</v>
          </cell>
          <cell r="L5" t="str">
            <v>Benjamin T. Piza</v>
          </cell>
          <cell r="M5" t="str">
            <v>03-8673591-8</v>
          </cell>
          <cell r="N5" t="str">
            <v>112-205-473</v>
          </cell>
          <cell r="O5">
            <v>41</v>
          </cell>
          <cell r="P5">
            <v>495</v>
          </cell>
          <cell r="Q5">
            <v>57</v>
          </cell>
          <cell r="R5">
            <v>11</v>
          </cell>
          <cell r="S5">
            <v>0</v>
          </cell>
          <cell r="T5" t="str">
            <v>Ceferino S. Petil Jr.
281 ML Quezon St. Lower Bicutan Taguig
0918-391-4827</v>
          </cell>
          <cell r="U5" t="str">
            <v>1988-02-22</v>
          </cell>
        </row>
        <row r="6">
          <cell r="C6">
            <v>1275</v>
          </cell>
          <cell r="D6" t="str">
            <v>Francia</v>
          </cell>
          <cell r="E6" t="str">
            <v>Nelia</v>
          </cell>
          <cell r="F6" t="str">
            <v>Matira</v>
          </cell>
          <cell r="G6" t="str">
            <v>Nely</v>
          </cell>
          <cell r="I6" t="str">
            <v>1969-09-14</v>
          </cell>
          <cell r="J6">
            <v>2</v>
          </cell>
          <cell r="K6">
            <v>2</v>
          </cell>
          <cell r="L6" t="str">
            <v>Edwin D. Francia</v>
          </cell>
          <cell r="M6" t="str">
            <v>03-9017219-8</v>
          </cell>
          <cell r="N6" t="str">
            <v>112-205-934</v>
          </cell>
          <cell r="O6">
            <v>40</v>
          </cell>
          <cell r="P6">
            <v>488</v>
          </cell>
          <cell r="Q6">
            <v>58</v>
          </cell>
          <cell r="R6">
            <v>11</v>
          </cell>
          <cell r="S6">
            <v>0</v>
          </cell>
          <cell r="T6" t="str">
            <v>Gregoria Malapitan
B2 L50 Galaxy Blvd., Armstrong</v>
          </cell>
          <cell r="U6" t="str">
            <v>1988-02-22</v>
          </cell>
        </row>
        <row r="7">
          <cell r="C7">
            <v>1277</v>
          </cell>
          <cell r="D7" t="str">
            <v>Barrameda</v>
          </cell>
          <cell r="E7" t="str">
            <v>Vilma</v>
          </cell>
          <cell r="F7" t="str">
            <v>Mirasol</v>
          </cell>
          <cell r="G7" t="str">
            <v>Vie</v>
          </cell>
          <cell r="H7" t="str">
            <v>0907-788-6258</v>
          </cell>
          <cell r="I7" t="str">
            <v>1969-04-26</v>
          </cell>
          <cell r="J7">
            <v>2</v>
          </cell>
          <cell r="K7">
            <v>2</v>
          </cell>
          <cell r="L7" t="str">
            <v>Elmer B. Barrameda</v>
          </cell>
          <cell r="M7" t="str">
            <v>03-9030715-4</v>
          </cell>
          <cell r="N7" t="str">
            <v>112-202-454</v>
          </cell>
          <cell r="O7">
            <v>41</v>
          </cell>
          <cell r="P7">
            <v>494</v>
          </cell>
          <cell r="Q7">
            <v>57</v>
          </cell>
          <cell r="R7">
            <v>11</v>
          </cell>
          <cell r="S7">
            <v>0</v>
          </cell>
          <cell r="T7" t="str">
            <v>Desiree M. Barrameda
B5 L18 Major Homes, Sirang Lupa, calamba City
0966-821-8723</v>
          </cell>
          <cell r="U7" t="str">
            <v>1988-02-22</v>
          </cell>
        </row>
        <row r="8">
          <cell r="C8">
            <v>1398</v>
          </cell>
          <cell r="D8" t="str">
            <v>Rada</v>
          </cell>
          <cell r="E8" t="str">
            <v>Teresita</v>
          </cell>
          <cell r="F8" t="str">
            <v>Naelga</v>
          </cell>
          <cell r="G8" t="str">
            <v>Terry</v>
          </cell>
          <cell r="H8">
            <v>9155577722</v>
          </cell>
          <cell r="I8" t="str">
            <v>1969-07-26</v>
          </cell>
          <cell r="J8">
            <v>2</v>
          </cell>
          <cell r="K8">
            <v>1</v>
          </cell>
          <cell r="M8" t="str">
            <v>03-8967328-4</v>
          </cell>
          <cell r="N8" t="str">
            <v>112-206-871</v>
          </cell>
          <cell r="O8">
            <v>53</v>
          </cell>
          <cell r="P8">
            <v>502</v>
          </cell>
          <cell r="Q8">
            <v>62</v>
          </cell>
          <cell r="R8">
            <v>12</v>
          </cell>
          <cell r="S8">
            <v>0</v>
          </cell>
          <cell r="T8" t="str">
            <v>Glen Q. Manuel
B137 L32 Ph 1 Upper Bicutan, Taguig City
09272417177</v>
          </cell>
          <cell r="U8" t="str">
            <v>1988-03-21</v>
          </cell>
        </row>
        <row r="9">
          <cell r="C9">
            <v>1436</v>
          </cell>
          <cell r="D9" t="str">
            <v>Sunga</v>
          </cell>
          <cell r="E9" t="str">
            <v>Rosalinda</v>
          </cell>
          <cell r="F9" t="str">
            <v>Nuque</v>
          </cell>
          <cell r="G9" t="str">
            <v>Lyn</v>
          </cell>
          <cell r="H9" t="str">
            <v>0920-963-2279</v>
          </cell>
          <cell r="I9" t="str">
            <v>1970-04-21</v>
          </cell>
          <cell r="J9">
            <v>2</v>
          </cell>
          <cell r="K9">
            <v>2</v>
          </cell>
          <cell r="L9" t="str">
            <v>Rico C. Sunga</v>
          </cell>
          <cell r="M9" t="str">
            <v>03-8949546-2</v>
          </cell>
          <cell r="N9" t="str">
            <v>112-206-345</v>
          </cell>
          <cell r="O9">
            <v>4</v>
          </cell>
          <cell r="P9">
            <v>497</v>
          </cell>
          <cell r="Q9">
            <v>68</v>
          </cell>
          <cell r="R9">
            <v>11</v>
          </cell>
          <cell r="S9">
            <v>0</v>
          </cell>
          <cell r="T9" t="str">
            <v>Rico C. Sunga
B1 L19 Molave St., MCDC, Canlubang, Calamba Laguna</v>
          </cell>
          <cell r="U9" t="str">
            <v>1988-03-28</v>
          </cell>
        </row>
        <row r="10">
          <cell r="C10">
            <v>1477</v>
          </cell>
          <cell r="D10" t="str">
            <v>Roldan</v>
          </cell>
          <cell r="E10" t="str">
            <v>Maricel Luvimin</v>
          </cell>
          <cell r="F10" t="str">
            <v>Caguicla</v>
          </cell>
          <cell r="G10" t="str">
            <v>Acel</v>
          </cell>
          <cell r="I10" t="str">
            <v>1966-03-24</v>
          </cell>
          <cell r="J10">
            <v>2</v>
          </cell>
          <cell r="K10">
            <v>2</v>
          </cell>
          <cell r="L10" t="str">
            <v>Geronimo V. Roldan</v>
          </cell>
          <cell r="M10" t="str">
            <v>03-9076496-2</v>
          </cell>
          <cell r="N10" t="str">
            <v>112-202-931</v>
          </cell>
          <cell r="O10">
            <v>80</v>
          </cell>
          <cell r="P10">
            <v>495</v>
          </cell>
          <cell r="Q10">
            <v>57</v>
          </cell>
          <cell r="R10">
            <v>11</v>
          </cell>
          <cell r="S10">
            <v>0</v>
          </cell>
          <cell r="T10" t="str">
            <v>Geronimo V. Roldan
280B Brgy. Balintawak, Lipa Ci</v>
          </cell>
          <cell r="U10" t="str">
            <v>1988-06-01</v>
          </cell>
        </row>
        <row r="11">
          <cell r="C11">
            <v>1532</v>
          </cell>
          <cell r="D11" t="str">
            <v>De Leon</v>
          </cell>
          <cell r="E11" t="str">
            <v>Carmilyn</v>
          </cell>
          <cell r="F11" t="str">
            <v>Corpuz</v>
          </cell>
          <cell r="G11" t="str">
            <v>Carmie</v>
          </cell>
          <cell r="H11" t="str">
            <v>0995-091-1213</v>
          </cell>
          <cell r="I11" t="str">
            <v>1970-01-02</v>
          </cell>
          <cell r="J11">
            <v>2</v>
          </cell>
          <cell r="K11">
            <v>2</v>
          </cell>
          <cell r="L11" t="str">
            <v>Jayson H. De Leon</v>
          </cell>
          <cell r="M11" t="str">
            <v>03-9453499-4</v>
          </cell>
          <cell r="N11" t="str">
            <v>112-203-455</v>
          </cell>
          <cell r="O11">
            <v>43</v>
          </cell>
          <cell r="P11">
            <v>492</v>
          </cell>
          <cell r="Q11">
            <v>55</v>
          </cell>
          <cell r="R11">
            <v>11</v>
          </cell>
          <cell r="S11">
            <v>0</v>
          </cell>
          <cell r="T11" t="str">
            <v>Marilou C. Rosas
#1219 Suarezville Brgy. Maybunga, Pasig City</v>
          </cell>
          <cell r="U11" t="str">
            <v>1988-05-18</v>
          </cell>
        </row>
        <row r="12">
          <cell r="C12">
            <v>1559</v>
          </cell>
          <cell r="D12" t="str">
            <v>Priela</v>
          </cell>
          <cell r="E12" t="str">
            <v>Josephine</v>
          </cell>
          <cell r="F12" t="str">
            <v>Talucod</v>
          </cell>
          <cell r="G12" t="str">
            <v>Josie</v>
          </cell>
          <cell r="I12" t="str">
            <v>1972-04-20</v>
          </cell>
          <cell r="J12">
            <v>2</v>
          </cell>
          <cell r="K12">
            <v>2</v>
          </cell>
          <cell r="L12" t="str">
            <v>Ariel C. Priela</v>
          </cell>
          <cell r="M12" t="str">
            <v>04-0657044-8</v>
          </cell>
          <cell r="N12" t="str">
            <v>112-207-771</v>
          </cell>
          <cell r="O12">
            <v>43</v>
          </cell>
          <cell r="P12">
            <v>492</v>
          </cell>
          <cell r="Q12">
            <v>55</v>
          </cell>
          <cell r="R12">
            <v>11</v>
          </cell>
          <cell r="S12">
            <v>0</v>
          </cell>
          <cell r="T12" t="str">
            <v xml:space="preserve">Ariel C. Priela
A. Fernandez St. Victoria Laguna
</v>
          </cell>
          <cell r="U12" t="str">
            <v>1988-06-07</v>
          </cell>
        </row>
        <row r="13">
          <cell r="C13">
            <v>1627</v>
          </cell>
          <cell r="D13" t="str">
            <v>Perpetua</v>
          </cell>
          <cell r="E13" t="str">
            <v>Nelson</v>
          </cell>
          <cell r="F13" t="str">
            <v>Corpus</v>
          </cell>
          <cell r="G13" t="str">
            <v>Nelson</v>
          </cell>
          <cell r="H13" t="str">
            <v>0918-903-98-95</v>
          </cell>
          <cell r="I13" t="str">
            <v>1953-11-24</v>
          </cell>
          <cell r="J13">
            <v>1</v>
          </cell>
          <cell r="K13">
            <v>2</v>
          </cell>
          <cell r="L13" t="str">
            <v>Armenia A. Perpetua</v>
          </cell>
          <cell r="M13" t="str">
            <v>03-4754064-7</v>
          </cell>
          <cell r="N13" t="str">
            <v>112-206-731</v>
          </cell>
          <cell r="O13">
            <v>1</v>
          </cell>
          <cell r="P13">
            <v>2</v>
          </cell>
          <cell r="Q13">
            <v>2</v>
          </cell>
          <cell r="R13">
            <v>1</v>
          </cell>
          <cell r="S13">
            <v>0</v>
          </cell>
          <cell r="T13" t="str">
            <v>Armenia A. Perpetua
9 Redlands St., Laguna Bel Ai</v>
          </cell>
          <cell r="U13" t="str">
            <v>1988-07-30</v>
          </cell>
        </row>
        <row r="14">
          <cell r="C14">
            <v>1730</v>
          </cell>
          <cell r="D14" t="str">
            <v>Hernandez</v>
          </cell>
          <cell r="E14" t="str">
            <v>Juvy</v>
          </cell>
          <cell r="F14" t="str">
            <v>Cetron</v>
          </cell>
          <cell r="G14" t="str">
            <v>Juvy</v>
          </cell>
          <cell r="I14" t="str">
            <v>1969-07-19</v>
          </cell>
          <cell r="J14">
            <v>2</v>
          </cell>
          <cell r="K14">
            <v>1</v>
          </cell>
          <cell r="M14" t="str">
            <v>33-0085190-1</v>
          </cell>
          <cell r="N14" t="str">
            <v>112-204-909</v>
          </cell>
          <cell r="O14">
            <v>43</v>
          </cell>
          <cell r="P14">
            <v>493</v>
          </cell>
          <cell r="Q14">
            <v>55</v>
          </cell>
          <cell r="R14">
            <v>11</v>
          </cell>
          <cell r="S14">
            <v>0</v>
          </cell>
          <cell r="T14" t="str">
            <v>Sherylen C. Hernandez
Bo. Adya, Lipa City, Batang</v>
          </cell>
          <cell r="U14" t="str">
            <v>1988-08-31</v>
          </cell>
        </row>
        <row r="15">
          <cell r="C15">
            <v>1775</v>
          </cell>
          <cell r="D15" t="str">
            <v>Perez</v>
          </cell>
          <cell r="E15" t="str">
            <v>Belen</v>
          </cell>
          <cell r="F15" t="str">
            <v>Bobis</v>
          </cell>
          <cell r="G15" t="str">
            <v>Belen</v>
          </cell>
          <cell r="H15" t="str">
            <v>0906-256-1006</v>
          </cell>
          <cell r="I15" t="str">
            <v>1969-01-10</v>
          </cell>
          <cell r="J15">
            <v>2</v>
          </cell>
          <cell r="K15">
            <v>2</v>
          </cell>
          <cell r="L15" t="str">
            <v>Eduardo Perez</v>
          </cell>
          <cell r="M15" t="str">
            <v>33-0162887-4</v>
          </cell>
          <cell r="N15" t="str">
            <v>175-807-982</v>
          </cell>
          <cell r="O15">
            <v>80</v>
          </cell>
          <cell r="P15">
            <v>439</v>
          </cell>
          <cell r="Q15">
            <v>21</v>
          </cell>
          <cell r="R15">
            <v>4</v>
          </cell>
          <cell r="S15">
            <v>0</v>
          </cell>
          <cell r="T15" t="str">
            <v xml:space="preserve">Eduardo Perez
263-C MLQ Bagumbayan Taguig City
</v>
          </cell>
          <cell r="U15" t="str">
            <v>1988-09-30</v>
          </cell>
        </row>
        <row r="16">
          <cell r="C16">
            <v>1810</v>
          </cell>
          <cell r="D16" t="str">
            <v>Molina</v>
          </cell>
          <cell r="E16" t="str">
            <v>Evangeline</v>
          </cell>
          <cell r="F16" t="str">
            <v>Sebastian</v>
          </cell>
          <cell r="G16" t="str">
            <v>Vangie</v>
          </cell>
          <cell r="H16" t="str">
            <v>873-50-80</v>
          </cell>
          <cell r="I16" t="str">
            <v>1965-09-21</v>
          </cell>
          <cell r="J16">
            <v>2</v>
          </cell>
          <cell r="K16">
            <v>2</v>
          </cell>
          <cell r="L16" t="str">
            <v>Benjamin L. Molina Jr.</v>
          </cell>
          <cell r="M16" t="str">
            <v>03-9193310-3</v>
          </cell>
          <cell r="N16" t="str">
            <v>112-207-538</v>
          </cell>
          <cell r="O16">
            <v>66</v>
          </cell>
          <cell r="P16">
            <v>401</v>
          </cell>
          <cell r="Q16">
            <v>51</v>
          </cell>
          <cell r="R16">
            <v>1</v>
          </cell>
          <cell r="S16">
            <v>0</v>
          </cell>
          <cell r="T16" t="str">
            <v>Benjamin L. Molina Jr.
147 B1 L4 Gloria Diaz St.B</v>
          </cell>
          <cell r="U16" t="str">
            <v>1988-10-28</v>
          </cell>
        </row>
        <row r="17">
          <cell r="C17">
            <v>1871</v>
          </cell>
          <cell r="D17" t="str">
            <v>Dela Cruz</v>
          </cell>
          <cell r="E17" t="str">
            <v>Adelfa</v>
          </cell>
          <cell r="F17" t="str">
            <v>Loquinario</v>
          </cell>
          <cell r="G17" t="str">
            <v>Adel</v>
          </cell>
          <cell r="H17">
            <v>9204031679</v>
          </cell>
          <cell r="I17" t="str">
            <v>1968-08-29</v>
          </cell>
          <cell r="J17">
            <v>2</v>
          </cell>
          <cell r="K17">
            <v>2</v>
          </cell>
          <cell r="L17" t="str">
            <v>Roberto S. Dela Cruz</v>
          </cell>
          <cell r="M17" t="str">
            <v>03-9299652-1</v>
          </cell>
          <cell r="N17" t="str">
            <v>112-205-408</v>
          </cell>
          <cell r="O17">
            <v>43</v>
          </cell>
          <cell r="P17">
            <v>493</v>
          </cell>
          <cell r="Q17">
            <v>55</v>
          </cell>
          <cell r="R17">
            <v>11</v>
          </cell>
          <cell r="S17">
            <v>0</v>
          </cell>
          <cell r="T17" t="str">
            <v>Roberto S. dela Cruz
B1 L050 Bagong Silang, Sucat
09082891143</v>
          </cell>
          <cell r="U17" t="str">
            <v>1990-09-06</v>
          </cell>
        </row>
        <row r="18">
          <cell r="C18">
            <v>1925</v>
          </cell>
          <cell r="D18" t="str">
            <v>Cacayuran</v>
          </cell>
          <cell r="E18" t="str">
            <v>Patricia</v>
          </cell>
          <cell r="F18" t="str">
            <v>Fajardo</v>
          </cell>
          <cell r="G18" t="str">
            <v>Patty</v>
          </cell>
          <cell r="I18" t="str">
            <v>1972-03-13</v>
          </cell>
          <cell r="J18">
            <v>2</v>
          </cell>
          <cell r="K18">
            <v>2</v>
          </cell>
          <cell r="L18" t="str">
            <v>Ronaldo G. Cacayuran</v>
          </cell>
          <cell r="M18" t="str">
            <v>33-0479703-2</v>
          </cell>
          <cell r="N18" t="str">
            <v>112-204-384</v>
          </cell>
          <cell r="O18">
            <v>43</v>
          </cell>
          <cell r="P18">
            <v>492</v>
          </cell>
          <cell r="Q18">
            <v>55</v>
          </cell>
          <cell r="R18">
            <v>11</v>
          </cell>
          <cell r="S18">
            <v>0</v>
          </cell>
          <cell r="T18" t="str">
            <v>Ronaldo G. Cacayuran
8N Carnation St. Wawa Taguig</v>
          </cell>
          <cell r="U18" t="str">
            <v>1989-04-14</v>
          </cell>
        </row>
        <row r="19">
          <cell r="C19">
            <v>1974</v>
          </cell>
          <cell r="D19" t="str">
            <v>Nejal</v>
          </cell>
          <cell r="E19" t="str">
            <v>Evangelina</v>
          </cell>
          <cell r="F19" t="str">
            <v>Acorda</v>
          </cell>
          <cell r="G19" t="str">
            <v>Eva</v>
          </cell>
          <cell r="I19" t="str">
            <v>1962-10-18</v>
          </cell>
          <cell r="J19">
            <v>2</v>
          </cell>
          <cell r="K19">
            <v>2</v>
          </cell>
          <cell r="L19" t="str">
            <v>Tomas T. Nejal</v>
          </cell>
          <cell r="M19" t="str">
            <v>03-7999904-6</v>
          </cell>
          <cell r="N19" t="str">
            <v>133-409-298</v>
          </cell>
          <cell r="O19">
            <v>4</v>
          </cell>
          <cell r="P19">
            <v>7</v>
          </cell>
          <cell r="Q19">
            <v>4</v>
          </cell>
          <cell r="R19">
            <v>1</v>
          </cell>
          <cell r="S19">
            <v>0</v>
          </cell>
          <cell r="T19" t="str">
            <v>Tom Nejal
15 St. Martin Ave. Mahogany Homes,
Bagumbayan, Taguig City</v>
          </cell>
          <cell r="U19" t="str">
            <v>1989-08-01</v>
          </cell>
        </row>
        <row r="20">
          <cell r="C20">
            <v>2003</v>
          </cell>
          <cell r="D20" t="str">
            <v>Quibilan</v>
          </cell>
          <cell r="E20" t="str">
            <v>Cherry</v>
          </cell>
          <cell r="F20" t="str">
            <v>Perez</v>
          </cell>
          <cell r="G20" t="str">
            <v>Che</v>
          </cell>
          <cell r="H20" t="str">
            <v>0947-892-4003</v>
          </cell>
          <cell r="I20" t="str">
            <v>1972-07-06</v>
          </cell>
          <cell r="J20">
            <v>2</v>
          </cell>
          <cell r="K20">
            <v>2</v>
          </cell>
          <cell r="L20" t="str">
            <v>Roderick V. Quibilan</v>
          </cell>
          <cell r="M20" t="str">
            <v>33-0600355-9</v>
          </cell>
          <cell r="N20" t="str">
            <v>112-206-715</v>
          </cell>
          <cell r="O20">
            <v>80</v>
          </cell>
          <cell r="P20">
            <v>370</v>
          </cell>
          <cell r="Q20">
            <v>49</v>
          </cell>
          <cell r="R20">
            <v>8</v>
          </cell>
          <cell r="S20">
            <v>0</v>
          </cell>
          <cell r="T20" t="str">
            <v>Roderick V. Quibilan
B24 L32 San Isidro Hts., San Isidro, Cabuyao, Laguna</v>
          </cell>
          <cell r="U20" t="str">
            <v>1990-09-03</v>
          </cell>
        </row>
        <row r="21">
          <cell r="C21">
            <v>2055</v>
          </cell>
          <cell r="D21" t="str">
            <v>Morallos</v>
          </cell>
          <cell r="E21" t="str">
            <v>Rita</v>
          </cell>
          <cell r="F21" t="str">
            <v>Dista</v>
          </cell>
          <cell r="G21" t="str">
            <v>Rita</v>
          </cell>
          <cell r="H21">
            <v>9989613435</v>
          </cell>
          <cell r="I21" t="str">
            <v>1971-10-01</v>
          </cell>
          <cell r="J21">
            <v>2</v>
          </cell>
          <cell r="K21">
            <v>1</v>
          </cell>
          <cell r="M21" t="str">
            <v>33-0033003-7</v>
          </cell>
          <cell r="N21" t="str">
            <v>112-206-217</v>
          </cell>
          <cell r="O21">
            <v>7</v>
          </cell>
          <cell r="P21">
            <v>489</v>
          </cell>
          <cell r="Q21">
            <v>58</v>
          </cell>
          <cell r="R21">
            <v>11</v>
          </cell>
          <cell r="S21">
            <v>0</v>
          </cell>
          <cell r="T21" t="str">
            <v>Valentina M. Perez
Sitio Kasoy 1, Barangay Mambugan, Antipolo City</v>
          </cell>
          <cell r="U21" t="str">
            <v>1990-09-08</v>
          </cell>
        </row>
        <row r="22">
          <cell r="C22">
            <v>2061</v>
          </cell>
          <cell r="D22" t="str">
            <v>Pacis</v>
          </cell>
          <cell r="E22" t="str">
            <v>Rosalyn</v>
          </cell>
          <cell r="F22" t="str">
            <v>Onsa</v>
          </cell>
          <cell r="G22" t="str">
            <v>Lyn</v>
          </cell>
          <cell r="I22" t="str">
            <v>1972-01-04</v>
          </cell>
          <cell r="J22">
            <v>2</v>
          </cell>
          <cell r="K22">
            <v>2</v>
          </cell>
          <cell r="L22" t="str">
            <v>Zaldy Pacis</v>
          </cell>
          <cell r="M22" t="str">
            <v>33-0529050-9</v>
          </cell>
          <cell r="N22" t="str">
            <v>112-206-459</v>
          </cell>
          <cell r="O22">
            <v>40</v>
          </cell>
          <cell r="P22">
            <v>385</v>
          </cell>
          <cell r="Q22">
            <v>21</v>
          </cell>
          <cell r="R22">
            <v>4</v>
          </cell>
          <cell r="S22">
            <v>0</v>
          </cell>
          <cell r="T22" t="str">
            <v>Zaldy V. Pacis
B64 L19 Mabuhay Homes Ph.2E 
Sta.</v>
          </cell>
          <cell r="U22" t="str">
            <v>1990-09-10</v>
          </cell>
        </row>
        <row r="23">
          <cell r="C23">
            <v>2063</v>
          </cell>
          <cell r="D23" t="str">
            <v>Vasquez</v>
          </cell>
          <cell r="E23" t="str">
            <v>Helen</v>
          </cell>
          <cell r="F23" t="str">
            <v>Arabe</v>
          </cell>
          <cell r="G23" t="str">
            <v>Helen</v>
          </cell>
          <cell r="I23" t="str">
            <v>1971-01-17</v>
          </cell>
          <cell r="J23">
            <v>2</v>
          </cell>
          <cell r="K23">
            <v>1</v>
          </cell>
          <cell r="M23" t="str">
            <v>33-1000346-4</v>
          </cell>
          <cell r="N23" t="str">
            <v>112-208-033</v>
          </cell>
          <cell r="O23">
            <v>10</v>
          </cell>
          <cell r="P23">
            <v>349</v>
          </cell>
          <cell r="Q23">
            <v>35</v>
          </cell>
          <cell r="R23">
            <v>8</v>
          </cell>
          <cell r="S23">
            <v>0</v>
          </cell>
          <cell r="T23" t="str">
            <v>Emiliana A. Vasquez
15 Kanlaon St. Mandaluyong Ci</v>
          </cell>
          <cell r="U23" t="str">
            <v>1990-09-10</v>
          </cell>
        </row>
        <row r="24">
          <cell r="C24">
            <v>2096</v>
          </cell>
          <cell r="D24" t="str">
            <v>Coronado</v>
          </cell>
          <cell r="E24" t="str">
            <v>Teofila</v>
          </cell>
          <cell r="F24" t="str">
            <v>Arguidas</v>
          </cell>
          <cell r="G24" t="str">
            <v>Felly</v>
          </cell>
          <cell r="H24">
            <v>9179851347</v>
          </cell>
          <cell r="I24" t="str">
            <v>1971-12-28</v>
          </cell>
          <cell r="J24">
            <v>2</v>
          </cell>
          <cell r="K24">
            <v>1</v>
          </cell>
          <cell r="M24" t="str">
            <v>04-0679941-0</v>
          </cell>
          <cell r="N24" t="str">
            <v>112-203-430</v>
          </cell>
          <cell r="O24">
            <v>43</v>
          </cell>
          <cell r="P24">
            <v>493</v>
          </cell>
          <cell r="Q24">
            <v>55</v>
          </cell>
          <cell r="R24">
            <v>11</v>
          </cell>
          <cell r="S24">
            <v>0</v>
          </cell>
          <cell r="T24" t="str">
            <v>Nelia Coronado
Brgy. Concepcion San Pablo City 
09202993583</v>
          </cell>
          <cell r="U24" t="str">
            <v>1990-09-15</v>
          </cell>
        </row>
        <row r="25">
          <cell r="C25">
            <v>2137</v>
          </cell>
          <cell r="D25" t="str">
            <v>Relativo</v>
          </cell>
          <cell r="E25" t="str">
            <v>Silvestre</v>
          </cell>
          <cell r="F25" t="str">
            <v>Cadiz</v>
          </cell>
          <cell r="G25" t="str">
            <v>Vitz</v>
          </cell>
          <cell r="H25" t="str">
            <v>502-1224</v>
          </cell>
          <cell r="I25" t="str">
            <v>1968-11-26</v>
          </cell>
          <cell r="J25">
            <v>1</v>
          </cell>
          <cell r="K25">
            <v>2</v>
          </cell>
          <cell r="L25" t="str">
            <v>Marybel A. Relativo</v>
          </cell>
          <cell r="M25" t="str">
            <v>03-9791240-3</v>
          </cell>
          <cell r="N25" t="str">
            <v>112-207-031</v>
          </cell>
          <cell r="O25">
            <v>8</v>
          </cell>
          <cell r="P25">
            <v>404</v>
          </cell>
          <cell r="Q25">
            <v>51</v>
          </cell>
          <cell r="R25">
            <v>1</v>
          </cell>
          <cell r="S25">
            <v>0</v>
          </cell>
          <cell r="T25" t="str">
            <v xml:space="preserve">Marybel A Relativo
B23 L39 Villa La Prinza Subd, </v>
          </cell>
          <cell r="U25" t="str">
            <v>1990-10-04</v>
          </cell>
        </row>
        <row r="26">
          <cell r="C26">
            <v>2168</v>
          </cell>
          <cell r="D26" t="str">
            <v>Rodrigo</v>
          </cell>
          <cell r="E26" t="str">
            <v>Rosalyn</v>
          </cell>
          <cell r="F26" t="str">
            <v>Senense</v>
          </cell>
          <cell r="G26" t="str">
            <v>Lyn</v>
          </cell>
          <cell r="H26" t="str">
            <v>541-6179</v>
          </cell>
          <cell r="I26" t="str">
            <v>1972-08-30</v>
          </cell>
          <cell r="J26">
            <v>2</v>
          </cell>
          <cell r="K26">
            <v>1</v>
          </cell>
          <cell r="M26" t="str">
            <v>33-1044495-5</v>
          </cell>
          <cell r="N26" t="str">
            <v>112-207-194</v>
          </cell>
          <cell r="O26">
            <v>43</v>
          </cell>
          <cell r="P26">
            <v>493</v>
          </cell>
          <cell r="Q26">
            <v>55</v>
          </cell>
          <cell r="R26">
            <v>11</v>
          </cell>
          <cell r="S26">
            <v>0</v>
          </cell>
          <cell r="T26" t="str">
            <v>Rodolfo B. Rodrigo
40-A Sampaloc St. Lower Bicuta</v>
          </cell>
          <cell r="U26" t="str">
            <v>1990-11-08</v>
          </cell>
        </row>
        <row r="27">
          <cell r="C27">
            <v>2172</v>
          </cell>
          <cell r="D27" t="str">
            <v>Dig</v>
          </cell>
          <cell r="E27" t="str">
            <v>Melba</v>
          </cell>
          <cell r="F27" t="str">
            <v>Flores</v>
          </cell>
          <cell r="G27" t="str">
            <v>Melba</v>
          </cell>
          <cell r="H27" t="str">
            <v>0917-870-6163</v>
          </cell>
          <cell r="I27" t="str">
            <v>1973-02-10</v>
          </cell>
          <cell r="J27">
            <v>2</v>
          </cell>
          <cell r="K27">
            <v>2</v>
          </cell>
          <cell r="L27" t="str">
            <v>Fernando E. Dig</v>
          </cell>
          <cell r="M27" t="str">
            <v>03-9791990-1</v>
          </cell>
          <cell r="N27" t="str">
            <v>112-204-499</v>
          </cell>
          <cell r="O27">
            <v>53</v>
          </cell>
          <cell r="P27">
            <v>502</v>
          </cell>
          <cell r="Q27">
            <v>62</v>
          </cell>
          <cell r="R27">
            <v>12</v>
          </cell>
          <cell r="S27">
            <v>0</v>
          </cell>
          <cell r="T27" t="str">
            <v>Fernando E. Dig
B9 L4 Ph3 Celestine Homes Brgy. Marinig, Cabuyao, Laguna</v>
          </cell>
          <cell r="U27" t="str">
            <v>1990-11-09</v>
          </cell>
        </row>
        <row r="28">
          <cell r="C28">
            <v>2187</v>
          </cell>
          <cell r="D28" t="str">
            <v>Austria</v>
          </cell>
          <cell r="E28" t="str">
            <v>Clarita</v>
          </cell>
          <cell r="F28" t="str">
            <v>Macahia</v>
          </cell>
          <cell r="G28" t="str">
            <v>Claire</v>
          </cell>
          <cell r="H28" t="str">
            <v>0935-910-2910</v>
          </cell>
          <cell r="I28" t="str">
            <v>1969-02-21</v>
          </cell>
          <cell r="J28">
            <v>2</v>
          </cell>
          <cell r="K28">
            <v>2</v>
          </cell>
          <cell r="L28" t="str">
            <v>Apolonio Austria</v>
          </cell>
          <cell r="M28" t="str">
            <v>03-9774109-8</v>
          </cell>
          <cell r="N28" t="str">
            <v>112-205-503</v>
          </cell>
          <cell r="O28">
            <v>41</v>
          </cell>
          <cell r="P28">
            <v>492</v>
          </cell>
          <cell r="Q28">
            <v>55</v>
          </cell>
          <cell r="R28">
            <v>11</v>
          </cell>
          <cell r="S28">
            <v>0</v>
          </cell>
          <cell r="T28" t="str">
            <v xml:space="preserve">Apolonio Austria
950 Darasa Tanuan City Batangas
0916-923-5187
</v>
          </cell>
          <cell r="U28" t="str">
            <v>1990-11-12</v>
          </cell>
        </row>
        <row r="29">
          <cell r="C29">
            <v>2211</v>
          </cell>
          <cell r="D29" t="str">
            <v>Tacazon</v>
          </cell>
          <cell r="E29" t="str">
            <v>Antonio</v>
          </cell>
          <cell r="F29" t="str">
            <v>Romutap</v>
          </cell>
          <cell r="G29" t="str">
            <v>Tony</v>
          </cell>
          <cell r="I29" t="str">
            <v>1967-05-03</v>
          </cell>
          <cell r="J29">
            <v>1</v>
          </cell>
          <cell r="K29">
            <v>1</v>
          </cell>
          <cell r="M29" t="str">
            <v>01-0695604-5</v>
          </cell>
          <cell r="N29" t="str">
            <v>112-207-722</v>
          </cell>
          <cell r="O29">
            <v>86</v>
          </cell>
          <cell r="P29">
            <v>433</v>
          </cell>
          <cell r="Q29">
            <v>19</v>
          </cell>
          <cell r="R29">
            <v>4</v>
          </cell>
          <cell r="S29">
            <v>0</v>
          </cell>
          <cell r="T29" t="str">
            <v>Remegia Tacazon
B8 L6 Buena Rosario Homes, Mamati</v>
          </cell>
          <cell r="U29" t="str">
            <v>1991-01-09</v>
          </cell>
        </row>
        <row r="30">
          <cell r="C30">
            <v>2364</v>
          </cell>
          <cell r="D30" t="str">
            <v>Miranda</v>
          </cell>
          <cell r="E30" t="str">
            <v>Jeannie</v>
          </cell>
          <cell r="F30" t="str">
            <v>Moldez</v>
          </cell>
          <cell r="G30" t="str">
            <v>Jen</v>
          </cell>
          <cell r="H30">
            <v>88090738</v>
          </cell>
          <cell r="I30" t="str">
            <v>1969-06-02</v>
          </cell>
          <cell r="J30">
            <v>2</v>
          </cell>
          <cell r="K30">
            <v>1</v>
          </cell>
          <cell r="M30" t="str">
            <v>33-0887739-8</v>
          </cell>
          <cell r="N30" t="str">
            <v>112-206-103</v>
          </cell>
          <cell r="O30">
            <v>7</v>
          </cell>
          <cell r="P30">
            <v>10</v>
          </cell>
          <cell r="Q30">
            <v>5</v>
          </cell>
          <cell r="R30">
            <v>1</v>
          </cell>
          <cell r="S30">
            <v>0</v>
          </cell>
          <cell r="T30" t="str">
            <v>Nenita M. Ignacio
Block 8, Lot 17 Posadas Ave. Don Juan Bayview Sucat, Muntinlupa City
09668770393</v>
          </cell>
          <cell r="U30" t="str">
            <v>1991-07-17</v>
          </cell>
        </row>
        <row r="31">
          <cell r="C31">
            <v>2389</v>
          </cell>
          <cell r="D31" t="str">
            <v>Duca</v>
          </cell>
          <cell r="E31" t="str">
            <v>Leonida</v>
          </cell>
          <cell r="F31" t="str">
            <v>Jorda</v>
          </cell>
          <cell r="G31" t="str">
            <v>Nida</v>
          </cell>
          <cell r="H31">
            <v>9106037463</v>
          </cell>
          <cell r="I31" t="str">
            <v>1973-08-08</v>
          </cell>
          <cell r="J31">
            <v>2</v>
          </cell>
          <cell r="K31">
            <v>2</v>
          </cell>
          <cell r="L31" t="str">
            <v>Roger Duca</v>
          </cell>
          <cell r="M31" t="str">
            <v>02-1298370-8</v>
          </cell>
          <cell r="N31" t="str">
            <v>112-205-119</v>
          </cell>
          <cell r="O31">
            <v>43</v>
          </cell>
          <cell r="P31">
            <v>493</v>
          </cell>
          <cell r="Q31">
            <v>55</v>
          </cell>
          <cell r="R31">
            <v>11</v>
          </cell>
          <cell r="S31">
            <v>0</v>
          </cell>
          <cell r="T31" t="str">
            <v>Roger R. Duca
3533 BRGY St. Purok 6A Lower Bicutan Taguig City 
09682263588</v>
          </cell>
          <cell r="U31" t="str">
            <v>1991-08-19</v>
          </cell>
        </row>
        <row r="32">
          <cell r="C32">
            <v>2899</v>
          </cell>
          <cell r="D32" t="str">
            <v>Elisan</v>
          </cell>
          <cell r="E32" t="str">
            <v>Leonilda</v>
          </cell>
          <cell r="F32" t="str">
            <v>Acueza</v>
          </cell>
          <cell r="G32" t="str">
            <v>Nida</v>
          </cell>
          <cell r="I32" t="str">
            <v>1970-04-11</v>
          </cell>
          <cell r="J32">
            <v>2</v>
          </cell>
          <cell r="K32">
            <v>2</v>
          </cell>
          <cell r="L32" t="str">
            <v>Noel Elisan</v>
          </cell>
          <cell r="M32" t="str">
            <v>03-8892793-1</v>
          </cell>
          <cell r="N32" t="str">
            <v>175-808-056</v>
          </cell>
          <cell r="O32">
            <v>40</v>
          </cell>
          <cell r="P32">
            <v>500</v>
          </cell>
          <cell r="Q32">
            <v>65</v>
          </cell>
          <cell r="R32">
            <v>12</v>
          </cell>
          <cell r="S32">
            <v>0</v>
          </cell>
          <cell r="T32" t="str">
            <v>Noel Elisan
B16 L34 Pine St. P2 Cabuyao Laguna
0</v>
          </cell>
          <cell r="U32" t="str">
            <v>1993-03-24</v>
          </cell>
        </row>
        <row r="33">
          <cell r="C33">
            <v>3200</v>
          </cell>
          <cell r="D33" t="str">
            <v>Cahilig</v>
          </cell>
          <cell r="E33" t="str">
            <v>Josephine</v>
          </cell>
          <cell r="F33" t="str">
            <v>Bartolo</v>
          </cell>
          <cell r="G33" t="str">
            <v>Jo</v>
          </cell>
          <cell r="I33" t="str">
            <v>1971-10-17</v>
          </cell>
          <cell r="J33">
            <v>2</v>
          </cell>
          <cell r="K33">
            <v>1</v>
          </cell>
          <cell r="M33" t="str">
            <v>33-1017047-8</v>
          </cell>
          <cell r="N33" t="str">
            <v>105-747-742</v>
          </cell>
          <cell r="O33">
            <v>83</v>
          </cell>
          <cell r="P33">
            <v>445</v>
          </cell>
          <cell r="Q33">
            <v>22</v>
          </cell>
          <cell r="R33">
            <v>4</v>
          </cell>
          <cell r="S33">
            <v>0</v>
          </cell>
          <cell r="T33" t="str">
            <v xml:space="preserve">Rolando Cahilig
26 B. LT. R.R Cruz St. Bambang,
</v>
          </cell>
          <cell r="U33" t="str">
            <v>1993-01-19</v>
          </cell>
        </row>
        <row r="34">
          <cell r="C34">
            <v>3208</v>
          </cell>
          <cell r="D34" t="str">
            <v>Granton</v>
          </cell>
          <cell r="E34" t="str">
            <v>Raquel</v>
          </cell>
          <cell r="F34" t="str">
            <v>Encarnacion</v>
          </cell>
          <cell r="G34" t="str">
            <v>Dhang</v>
          </cell>
          <cell r="I34" t="str">
            <v>1973-09-10</v>
          </cell>
          <cell r="J34">
            <v>2</v>
          </cell>
          <cell r="K34">
            <v>1</v>
          </cell>
          <cell r="M34" t="str">
            <v>33-3734604-9</v>
          </cell>
          <cell r="N34" t="str">
            <v>167-019-603</v>
          </cell>
          <cell r="O34">
            <v>96</v>
          </cell>
          <cell r="P34">
            <v>491</v>
          </cell>
          <cell r="Q34">
            <v>56</v>
          </cell>
          <cell r="R34">
            <v>11</v>
          </cell>
          <cell r="S34">
            <v>0</v>
          </cell>
          <cell r="T34" t="str">
            <v>Violeta Salcedo
179-ZR-1 24th Avenue East Rembo, Makati City
0917-300-6789</v>
          </cell>
          <cell r="U34" t="str">
            <v>1993-01-18</v>
          </cell>
        </row>
        <row r="35">
          <cell r="C35">
            <v>3226</v>
          </cell>
          <cell r="D35" t="str">
            <v>Undang</v>
          </cell>
          <cell r="E35" t="str">
            <v>Ruth</v>
          </cell>
          <cell r="F35" t="str">
            <v>CardeÃ±o</v>
          </cell>
          <cell r="G35" t="str">
            <v>Ruth</v>
          </cell>
          <cell r="I35" t="str">
            <v>1975-07-24</v>
          </cell>
          <cell r="J35">
            <v>2</v>
          </cell>
          <cell r="K35">
            <v>2</v>
          </cell>
          <cell r="L35" t="str">
            <v>Russel Undang</v>
          </cell>
          <cell r="M35" t="str">
            <v>33-3318618-0</v>
          </cell>
          <cell r="N35" t="str">
            <v>167-019-938</v>
          </cell>
          <cell r="O35">
            <v>40</v>
          </cell>
          <cell r="P35">
            <v>147</v>
          </cell>
          <cell r="Q35">
            <v>28</v>
          </cell>
          <cell r="R35">
            <v>6</v>
          </cell>
          <cell r="S35">
            <v>0</v>
          </cell>
          <cell r="T35" t="str">
            <v>Russel Undang
Barrio 51 Pag-asa Pilar Village L</v>
          </cell>
          <cell r="U35" t="str">
            <v>1993-01-18</v>
          </cell>
        </row>
        <row r="36">
          <cell r="C36">
            <v>3238</v>
          </cell>
          <cell r="D36" t="str">
            <v>Bustamante</v>
          </cell>
          <cell r="E36" t="str">
            <v>Estelita</v>
          </cell>
          <cell r="F36" t="str">
            <v>Ramilo</v>
          </cell>
          <cell r="G36" t="str">
            <v>Estie</v>
          </cell>
          <cell r="H36" t="str">
            <v>0930-696-2782</v>
          </cell>
          <cell r="I36" t="str">
            <v>1971-09-03</v>
          </cell>
          <cell r="J36">
            <v>2</v>
          </cell>
          <cell r="K36">
            <v>2</v>
          </cell>
          <cell r="L36" t="str">
            <v>Angelo Q. Bustamante</v>
          </cell>
          <cell r="M36" t="str">
            <v>33-3185359-6</v>
          </cell>
          <cell r="N36" t="str">
            <v>167-020-044</v>
          </cell>
          <cell r="O36">
            <v>43</v>
          </cell>
          <cell r="P36">
            <v>492</v>
          </cell>
          <cell r="Q36">
            <v>55</v>
          </cell>
          <cell r="R36">
            <v>11</v>
          </cell>
          <cell r="S36">
            <v>0</v>
          </cell>
          <cell r="T36" t="str">
            <v xml:space="preserve">Jesus C. Ramillo
B2 L9 Pelayo Village Talon 3 Las PiÃ±as City
</v>
          </cell>
          <cell r="U36" t="str">
            <v>1993-02-02</v>
          </cell>
        </row>
        <row r="37">
          <cell r="C37">
            <v>3273</v>
          </cell>
          <cell r="D37" t="str">
            <v>Panaligan</v>
          </cell>
          <cell r="E37" t="str">
            <v>Salve</v>
          </cell>
          <cell r="F37" t="str">
            <v>Clarianes</v>
          </cell>
          <cell r="G37" t="str">
            <v>Bheng</v>
          </cell>
          <cell r="H37" t="str">
            <v>0907-526-6111</v>
          </cell>
          <cell r="I37" t="str">
            <v>1971-01-19</v>
          </cell>
          <cell r="J37">
            <v>2</v>
          </cell>
          <cell r="K37">
            <v>2</v>
          </cell>
          <cell r="L37" t="str">
            <v>Felipe C. Panaligan</v>
          </cell>
          <cell r="M37" t="str">
            <v>33-0411968-1</v>
          </cell>
          <cell r="N37" t="str">
            <v>183-149-339</v>
          </cell>
          <cell r="O37">
            <v>43</v>
          </cell>
          <cell r="P37">
            <v>493</v>
          </cell>
          <cell r="Q37">
            <v>55</v>
          </cell>
          <cell r="R37">
            <v>11</v>
          </cell>
          <cell r="S37">
            <v>0</v>
          </cell>
          <cell r="T37" t="str">
            <v xml:space="preserve">Felipe C. Panaligan
B32 L13 Imperial Homes, San. Vicente, Sto. Tomas, Batangas 
0916-338-5209
</v>
          </cell>
          <cell r="U37" t="str">
            <v>1993-01-18</v>
          </cell>
        </row>
        <row r="38">
          <cell r="C38">
            <v>3361</v>
          </cell>
          <cell r="D38" t="str">
            <v>Andaya</v>
          </cell>
          <cell r="E38" t="str">
            <v>Rafy</v>
          </cell>
          <cell r="F38" t="str">
            <v>Dudang</v>
          </cell>
          <cell r="G38" t="str">
            <v>Ado</v>
          </cell>
          <cell r="I38" t="str">
            <v>1972-05-20</v>
          </cell>
          <cell r="J38">
            <v>1</v>
          </cell>
          <cell r="K38">
            <v>2</v>
          </cell>
          <cell r="L38" t="str">
            <v>Susana M. Andaya</v>
          </cell>
          <cell r="M38" t="str">
            <v>33-0853481-9</v>
          </cell>
          <cell r="N38" t="str">
            <v>158-672-692</v>
          </cell>
          <cell r="O38">
            <v>55</v>
          </cell>
          <cell r="P38">
            <v>434</v>
          </cell>
          <cell r="Q38">
            <v>19</v>
          </cell>
          <cell r="R38">
            <v>4</v>
          </cell>
          <cell r="S38">
            <v>0</v>
          </cell>
          <cell r="T38" t="str">
            <v xml:space="preserve">Susana Andaya
B7 L76 Ph2 San Isidro Heights, San Isidro, Cabuyao, Laguna
0917-741-3833
</v>
          </cell>
          <cell r="U38" t="str">
            <v>1993-03-09</v>
          </cell>
        </row>
        <row r="39">
          <cell r="C39">
            <v>3397</v>
          </cell>
          <cell r="D39" t="str">
            <v>Marmol</v>
          </cell>
          <cell r="E39" t="str">
            <v>Dorotea</v>
          </cell>
          <cell r="F39" t="str">
            <v>Maunahan</v>
          </cell>
          <cell r="G39" t="str">
            <v>Dory</v>
          </cell>
          <cell r="I39" t="str">
            <v>1973-02-06</v>
          </cell>
          <cell r="J39">
            <v>2</v>
          </cell>
          <cell r="K39">
            <v>2</v>
          </cell>
          <cell r="L39" t="str">
            <v>Juanito P. Marmol</v>
          </cell>
          <cell r="M39" t="str">
            <v>33-1395714-8</v>
          </cell>
          <cell r="N39" t="str">
            <v>175-807-886</v>
          </cell>
          <cell r="O39">
            <v>75</v>
          </cell>
          <cell r="P39">
            <v>478</v>
          </cell>
          <cell r="Q39">
            <v>54</v>
          </cell>
          <cell r="R39">
            <v>9</v>
          </cell>
          <cell r="S39">
            <v>0</v>
          </cell>
          <cell r="T39" t="str">
            <v xml:space="preserve">Juanito P. Marmol
B64 L30 Laguna Buenavista Exec. Homes,
Barandal, Calamba City
0920-4786-230
</v>
          </cell>
          <cell r="U39" t="str">
            <v>1993-03-05</v>
          </cell>
        </row>
        <row r="40">
          <cell r="C40">
            <v>3400</v>
          </cell>
          <cell r="D40" t="str">
            <v>Marcelo</v>
          </cell>
          <cell r="E40" t="str">
            <v>Maricar</v>
          </cell>
          <cell r="F40" t="str">
            <v>Ramirez</v>
          </cell>
          <cell r="G40" t="str">
            <v>Char</v>
          </cell>
          <cell r="I40" t="str">
            <v>1974-03-20</v>
          </cell>
          <cell r="J40">
            <v>2</v>
          </cell>
          <cell r="K40">
            <v>2</v>
          </cell>
          <cell r="L40" t="str">
            <v>Crisaldo A. Marcelo</v>
          </cell>
          <cell r="M40" t="str">
            <v>33-3223945-2</v>
          </cell>
          <cell r="N40" t="str">
            <v>183-150-413</v>
          </cell>
          <cell r="O40">
            <v>43</v>
          </cell>
          <cell r="P40">
            <v>493</v>
          </cell>
          <cell r="Q40">
            <v>55</v>
          </cell>
          <cell r="R40">
            <v>11</v>
          </cell>
          <cell r="S40">
            <v>0</v>
          </cell>
          <cell r="T40" t="str">
            <v xml:space="preserve">Crisaldo A. Marcelo
33 M.L. Quezon St., Bgy. San Miguel,
Taguig City
0919-835-1011
</v>
          </cell>
          <cell r="U40" t="str">
            <v>1994-01-17</v>
          </cell>
        </row>
        <row r="41">
          <cell r="C41">
            <v>3474</v>
          </cell>
          <cell r="D41" t="str">
            <v>Esteban</v>
          </cell>
          <cell r="E41" t="str">
            <v>Maritess</v>
          </cell>
          <cell r="F41" t="str">
            <v>Gutierrez</v>
          </cell>
          <cell r="G41" t="str">
            <v>Thess</v>
          </cell>
          <cell r="I41" t="str">
            <v>1973-02-28</v>
          </cell>
          <cell r="J41">
            <v>2</v>
          </cell>
          <cell r="K41">
            <v>2</v>
          </cell>
          <cell r="L41" t="str">
            <v>Lloyd Esteban</v>
          </cell>
          <cell r="M41" t="str">
            <v>33-3010679-4</v>
          </cell>
          <cell r="N41" t="str">
            <v>187-797-567</v>
          </cell>
          <cell r="O41">
            <v>40</v>
          </cell>
          <cell r="P41">
            <v>488</v>
          </cell>
          <cell r="Q41">
            <v>58</v>
          </cell>
          <cell r="R41">
            <v>11</v>
          </cell>
          <cell r="S41">
            <v>0</v>
          </cell>
          <cell r="T41" t="str">
            <v xml:space="preserve">Florante Gutierrez
17 Bodoni Sr. Lazaro Comp. 4th Estate Lazaro Comp. Sucat Pque. City
0927-920-5345
</v>
          </cell>
          <cell r="U41" t="str">
            <v>1993-03-10</v>
          </cell>
        </row>
        <row r="42">
          <cell r="C42">
            <v>3509</v>
          </cell>
          <cell r="D42" t="str">
            <v>Lagos</v>
          </cell>
          <cell r="E42" t="str">
            <v>Loreli</v>
          </cell>
          <cell r="F42" t="str">
            <v>Cadizal</v>
          </cell>
          <cell r="G42" t="str">
            <v>Lhorie</v>
          </cell>
          <cell r="H42" t="str">
            <v xml:space="preserve">09567183155 </v>
          </cell>
          <cell r="I42" t="str">
            <v>1974-10-21</v>
          </cell>
          <cell r="J42">
            <v>2</v>
          </cell>
          <cell r="K42">
            <v>1</v>
          </cell>
          <cell r="M42" t="str">
            <v>33-1599195-3</v>
          </cell>
          <cell r="N42" t="str">
            <v>167-019-410</v>
          </cell>
          <cell r="O42">
            <v>43</v>
          </cell>
          <cell r="P42">
            <v>493</v>
          </cell>
          <cell r="Q42">
            <v>55</v>
          </cell>
          <cell r="R42">
            <v>11</v>
          </cell>
          <cell r="S42">
            <v>0</v>
          </cell>
          <cell r="T42" t="str">
            <v>Ma.Teresa Cantona
#5 1st Alley St. Ligid Tipas Taguig City
09983932102</v>
          </cell>
          <cell r="U42" t="str">
            <v>1993-03-24</v>
          </cell>
        </row>
        <row r="43">
          <cell r="C43">
            <v>3520</v>
          </cell>
          <cell r="D43" t="str">
            <v>Dizon</v>
          </cell>
          <cell r="E43" t="str">
            <v>Evelyn</v>
          </cell>
          <cell r="F43" t="str">
            <v>Rubio</v>
          </cell>
          <cell r="G43" t="str">
            <v>Eve</v>
          </cell>
          <cell r="I43" t="str">
            <v>1969-08-06</v>
          </cell>
          <cell r="J43">
            <v>2</v>
          </cell>
          <cell r="K43">
            <v>2</v>
          </cell>
          <cell r="L43" t="str">
            <v>Artzon Dizon</v>
          </cell>
          <cell r="M43" t="str">
            <v>33-3006464-5</v>
          </cell>
          <cell r="N43" t="str">
            <v>183-149-944</v>
          </cell>
          <cell r="O43">
            <v>40</v>
          </cell>
          <cell r="P43">
            <v>391</v>
          </cell>
          <cell r="Q43">
            <v>35</v>
          </cell>
          <cell r="R43">
            <v>8</v>
          </cell>
          <cell r="S43">
            <v>0</v>
          </cell>
          <cell r="T43" t="str">
            <v xml:space="preserve">Catalina Rubio
48 Barangay Fort Bonifacio 
Western Bicutan, Taguig City
0920-586-6185
</v>
          </cell>
          <cell r="U43" t="str">
            <v>1994-01-17</v>
          </cell>
        </row>
        <row r="44">
          <cell r="C44">
            <v>3524</v>
          </cell>
          <cell r="D44" t="str">
            <v>Pintucan</v>
          </cell>
          <cell r="E44" t="str">
            <v>Liza</v>
          </cell>
          <cell r="F44" t="str">
            <v>Lacap</v>
          </cell>
          <cell r="G44" t="str">
            <v>Riza</v>
          </cell>
          <cell r="H44">
            <v>9194973666</v>
          </cell>
          <cell r="I44" t="str">
            <v>1971-12-30</v>
          </cell>
          <cell r="J44">
            <v>2</v>
          </cell>
          <cell r="K44">
            <v>2</v>
          </cell>
          <cell r="L44" t="str">
            <v>Arthur E. Pintucan</v>
          </cell>
          <cell r="M44" t="str">
            <v>33-1559604-4</v>
          </cell>
          <cell r="N44" t="str">
            <v>183-149-823</v>
          </cell>
          <cell r="O44">
            <v>43</v>
          </cell>
          <cell r="P44">
            <v>493</v>
          </cell>
          <cell r="Q44">
            <v>55</v>
          </cell>
          <cell r="R44">
            <v>11</v>
          </cell>
          <cell r="S44">
            <v>0</v>
          </cell>
          <cell r="T44" t="str">
            <v xml:space="preserve">Arthur R. Pintucan
B10 L9 Soldiers Hills Village, 
Putatan, Muntinlupa City
09192230263
(02) 842-2096
</v>
          </cell>
          <cell r="U44" t="str">
            <v>1994-01-17</v>
          </cell>
        </row>
        <row r="45">
          <cell r="C45">
            <v>3569</v>
          </cell>
          <cell r="D45" t="str">
            <v>Maullon</v>
          </cell>
          <cell r="E45" t="str">
            <v>Evangeline</v>
          </cell>
          <cell r="F45" t="str">
            <v>Amar</v>
          </cell>
          <cell r="G45" t="str">
            <v>Vangie</v>
          </cell>
          <cell r="I45" t="str">
            <v>1973-10-31</v>
          </cell>
          <cell r="J45">
            <v>2</v>
          </cell>
          <cell r="K45">
            <v>2</v>
          </cell>
          <cell r="L45" t="str">
            <v>Ronald P. Maullon</v>
          </cell>
          <cell r="M45" t="str">
            <v>33-3720646-4</v>
          </cell>
          <cell r="N45" t="str">
            <v>183-150-671</v>
          </cell>
          <cell r="O45">
            <v>41</v>
          </cell>
          <cell r="P45">
            <v>493</v>
          </cell>
          <cell r="Q45">
            <v>55</v>
          </cell>
          <cell r="R45">
            <v>11</v>
          </cell>
          <cell r="S45">
            <v>0</v>
          </cell>
          <cell r="T45" t="str">
            <v xml:space="preserve">Ronald P. Maullon
B25 L3 Ph7 Extra Ordinary Homes Mamatid Cabuyao, Laguna
0977-057-5717
</v>
          </cell>
          <cell r="U45" t="str">
            <v>1994-01-17</v>
          </cell>
        </row>
        <row r="46">
          <cell r="C46">
            <v>3594</v>
          </cell>
          <cell r="D46" t="str">
            <v>Reyes</v>
          </cell>
          <cell r="E46" t="str">
            <v>Lilibeth</v>
          </cell>
          <cell r="F46" t="str">
            <v>Arellano</v>
          </cell>
          <cell r="G46" t="str">
            <v>Beth</v>
          </cell>
          <cell r="H46" t="str">
            <v>(02) 545-0091</v>
          </cell>
          <cell r="I46" t="str">
            <v>1972-08-13</v>
          </cell>
          <cell r="J46">
            <v>2</v>
          </cell>
          <cell r="K46">
            <v>2</v>
          </cell>
          <cell r="L46" t="str">
            <v>Richard E. Reyes</v>
          </cell>
          <cell r="M46" t="str">
            <v>33-0791685-2</v>
          </cell>
          <cell r="N46" t="str">
            <v>123-108-429</v>
          </cell>
          <cell r="O46">
            <v>43</v>
          </cell>
          <cell r="P46">
            <v>146</v>
          </cell>
          <cell r="Q46">
            <v>27</v>
          </cell>
          <cell r="R46">
            <v>6</v>
          </cell>
          <cell r="S46">
            <v>0</v>
          </cell>
          <cell r="T46" t="str">
            <v xml:space="preserve">Richard E. Reyes
70 Adia, Bagumbayan, Taguig City
0939-849-8542
</v>
          </cell>
          <cell r="U46" t="str">
            <v>1993-04-02</v>
          </cell>
        </row>
        <row r="47">
          <cell r="C47">
            <v>3615</v>
          </cell>
          <cell r="D47" t="str">
            <v>Manguera</v>
          </cell>
          <cell r="E47" t="str">
            <v>Glenda</v>
          </cell>
          <cell r="F47" t="str">
            <v>Macasaet</v>
          </cell>
          <cell r="G47" t="str">
            <v>Glen</v>
          </cell>
          <cell r="H47" t="str">
            <v>0999-564-6350</v>
          </cell>
          <cell r="I47" t="str">
            <v>1969-01-29</v>
          </cell>
          <cell r="J47">
            <v>2</v>
          </cell>
          <cell r="K47">
            <v>1</v>
          </cell>
          <cell r="M47" t="str">
            <v>04-0747013-6</v>
          </cell>
          <cell r="N47" t="str">
            <v>124-498-750</v>
          </cell>
          <cell r="O47">
            <v>43</v>
          </cell>
          <cell r="P47">
            <v>472</v>
          </cell>
          <cell r="Q47">
            <v>34</v>
          </cell>
          <cell r="R47">
            <v>8</v>
          </cell>
          <cell r="S47">
            <v>0</v>
          </cell>
          <cell r="T47" t="str">
            <v xml:space="preserve">Nelio Manguera 
Brgy. Masalukot II, Candelaria Quezon
0919-320-2015
</v>
          </cell>
          <cell r="U47" t="str">
            <v>1993-04-02</v>
          </cell>
        </row>
        <row r="48">
          <cell r="C48">
            <v>3616</v>
          </cell>
          <cell r="D48" t="str">
            <v>Bautista</v>
          </cell>
          <cell r="E48" t="str">
            <v>Gemma</v>
          </cell>
          <cell r="F48" t="str">
            <v>Arenas</v>
          </cell>
          <cell r="G48" t="str">
            <v>Ghem</v>
          </cell>
          <cell r="H48" t="str">
            <v>0946-592-6182</v>
          </cell>
          <cell r="I48" t="str">
            <v>1973-02-17</v>
          </cell>
          <cell r="J48">
            <v>2</v>
          </cell>
          <cell r="K48">
            <v>2</v>
          </cell>
          <cell r="L48" t="str">
            <v>Jesus T. Bautista III</v>
          </cell>
          <cell r="M48" t="str">
            <v>03-9513454-2</v>
          </cell>
          <cell r="N48" t="str">
            <v>183-151-020</v>
          </cell>
          <cell r="O48">
            <v>43</v>
          </cell>
          <cell r="P48">
            <v>492</v>
          </cell>
          <cell r="Q48">
            <v>55</v>
          </cell>
          <cell r="R48">
            <v>11</v>
          </cell>
          <cell r="S48">
            <v>0</v>
          </cell>
          <cell r="T48" t="str">
            <v xml:space="preserve">Jesus T. Bautista III
B8 L48 Southfairway Homes, Landayan San Pedro Laguna
0910-357-7704
</v>
          </cell>
          <cell r="U48" t="str">
            <v>1993-04-02</v>
          </cell>
        </row>
        <row r="49">
          <cell r="C49">
            <v>3618</v>
          </cell>
          <cell r="D49" t="str">
            <v>Pascua</v>
          </cell>
          <cell r="E49" t="str">
            <v>Genalyn</v>
          </cell>
          <cell r="F49" t="str">
            <v>Escorsido</v>
          </cell>
          <cell r="G49" t="str">
            <v>Ghena</v>
          </cell>
          <cell r="H49">
            <v>9202059430</v>
          </cell>
          <cell r="I49" t="str">
            <v>1972-06-20</v>
          </cell>
          <cell r="J49">
            <v>2</v>
          </cell>
          <cell r="K49">
            <v>3</v>
          </cell>
          <cell r="L49" t="str">
            <v>Eddie G. Pascua</v>
          </cell>
          <cell r="M49" t="str">
            <v>33-3410731-7</v>
          </cell>
          <cell r="N49" t="str">
            <v>183-150-333</v>
          </cell>
          <cell r="O49">
            <v>43</v>
          </cell>
          <cell r="P49">
            <v>493</v>
          </cell>
          <cell r="Q49">
            <v>55</v>
          </cell>
          <cell r="R49">
            <v>11</v>
          </cell>
          <cell r="S49">
            <v>0</v>
          </cell>
          <cell r="T49" t="str">
            <v xml:space="preserve">Erick John E. Pascua
B3 L153 Hacienda Hills,
Palo Alto, Calamba City
09061138401
0920-205-9430
</v>
          </cell>
          <cell r="U49" t="str">
            <v>1993-04-02</v>
          </cell>
        </row>
        <row r="50">
          <cell r="C50">
            <v>3670</v>
          </cell>
          <cell r="D50" t="str">
            <v>Laural</v>
          </cell>
          <cell r="E50" t="str">
            <v>Millywell</v>
          </cell>
          <cell r="F50" t="str">
            <v>Tia</v>
          </cell>
          <cell r="G50" t="str">
            <v>Milly</v>
          </cell>
          <cell r="H50" t="str">
            <v>0922-847-4148</v>
          </cell>
          <cell r="I50" t="str">
            <v>1971-11-23</v>
          </cell>
          <cell r="J50">
            <v>2</v>
          </cell>
          <cell r="K50">
            <v>2</v>
          </cell>
          <cell r="L50" t="str">
            <v>Gilbert Tabulo Laural</v>
          </cell>
          <cell r="M50" t="str">
            <v>33-0918571-7</v>
          </cell>
          <cell r="N50" t="str">
            <v>183-149-305</v>
          </cell>
          <cell r="O50">
            <v>53</v>
          </cell>
          <cell r="P50">
            <v>455</v>
          </cell>
          <cell r="Q50">
            <v>20</v>
          </cell>
          <cell r="R50">
            <v>4</v>
          </cell>
          <cell r="S50">
            <v>0</v>
          </cell>
          <cell r="T50" t="str">
            <v xml:space="preserve">Gilbert Laural      
B33 L30 New Orleans St., 
Landmark Subd., Parian,
Calamba City
0922-847-4149
</v>
          </cell>
          <cell r="U50" t="str">
            <v>1993-04-13</v>
          </cell>
        </row>
        <row r="51">
          <cell r="C51">
            <v>3673</v>
          </cell>
          <cell r="D51" t="str">
            <v>Gabuat</v>
          </cell>
          <cell r="E51" t="str">
            <v>Josephine</v>
          </cell>
          <cell r="F51" t="str">
            <v>Gucela</v>
          </cell>
          <cell r="G51" t="str">
            <v>Jho</v>
          </cell>
          <cell r="I51" t="str">
            <v>1972-04-14</v>
          </cell>
          <cell r="J51">
            <v>2</v>
          </cell>
          <cell r="K51">
            <v>2</v>
          </cell>
          <cell r="L51" t="str">
            <v>Cyrel Gabuat</v>
          </cell>
          <cell r="M51" t="str">
            <v>33-1466015-9</v>
          </cell>
          <cell r="N51" t="str">
            <v>183-150-044</v>
          </cell>
          <cell r="O51">
            <v>75</v>
          </cell>
          <cell r="P51">
            <v>478</v>
          </cell>
          <cell r="Q51">
            <v>54</v>
          </cell>
          <cell r="R51">
            <v>9</v>
          </cell>
          <cell r="S51">
            <v>0</v>
          </cell>
          <cell r="T51" t="str">
            <v xml:space="preserve">Justine Gabuat
B9 L35 Phase 2 Imperial Homes 
Subdivision San Vicente 
Sto. Tomas City, Batangas. 
0905-284-2105
</v>
          </cell>
          <cell r="U51" t="str">
            <v>1993-04-12</v>
          </cell>
        </row>
        <row r="52">
          <cell r="C52">
            <v>3705</v>
          </cell>
          <cell r="D52" t="str">
            <v>Fernandez</v>
          </cell>
          <cell r="E52" t="str">
            <v>Teresita</v>
          </cell>
          <cell r="F52" t="str">
            <v>Villapando</v>
          </cell>
          <cell r="G52" t="str">
            <v>Thess</v>
          </cell>
          <cell r="I52" t="str">
            <v>1976-01-02</v>
          </cell>
          <cell r="J52">
            <v>2</v>
          </cell>
          <cell r="K52">
            <v>2</v>
          </cell>
          <cell r="L52" t="str">
            <v>Renato R. Fernandez</v>
          </cell>
          <cell r="M52" t="str">
            <v>33-1606685-8</v>
          </cell>
          <cell r="N52" t="str">
            <v>186-192-951</v>
          </cell>
          <cell r="O52">
            <v>43</v>
          </cell>
          <cell r="P52">
            <v>493</v>
          </cell>
          <cell r="Q52">
            <v>55</v>
          </cell>
          <cell r="R52">
            <v>11</v>
          </cell>
          <cell r="S52">
            <v>0</v>
          </cell>
          <cell r="T52" t="str">
            <v xml:space="preserve">Renato R. Fernandez
86 Bulihan Malvar Batangas
0919-630-5722
</v>
          </cell>
          <cell r="U52" t="str">
            <v>1993-04-15</v>
          </cell>
        </row>
        <row r="53">
          <cell r="C53">
            <v>3709</v>
          </cell>
          <cell r="D53" t="str">
            <v>Abelada</v>
          </cell>
          <cell r="E53" t="str">
            <v>Corazon</v>
          </cell>
          <cell r="F53" t="str">
            <v>De Guzman</v>
          </cell>
          <cell r="G53" t="str">
            <v>Cora</v>
          </cell>
          <cell r="I53" t="str">
            <v>1971-10-17</v>
          </cell>
          <cell r="J53">
            <v>2</v>
          </cell>
          <cell r="K53">
            <v>2</v>
          </cell>
          <cell r="L53" t="str">
            <v>Maly Abelada</v>
          </cell>
          <cell r="M53" t="str">
            <v>33-0397345-9</v>
          </cell>
          <cell r="N53" t="str">
            <v>183-149-040</v>
          </cell>
          <cell r="O53">
            <v>43</v>
          </cell>
          <cell r="P53">
            <v>493</v>
          </cell>
          <cell r="Q53">
            <v>55</v>
          </cell>
          <cell r="R53">
            <v>11</v>
          </cell>
          <cell r="S53">
            <v>0</v>
          </cell>
          <cell r="T53" t="str">
            <v xml:space="preserve">Maly Abelada
B3 L29 Pabahay sa Barangay,
Palo Alto, Calamba City
0926-416-8334
</v>
          </cell>
          <cell r="U53" t="str">
            <v>1994-03-04</v>
          </cell>
        </row>
        <row r="54">
          <cell r="C54">
            <v>3717</v>
          </cell>
          <cell r="D54" t="str">
            <v>Gregorio</v>
          </cell>
          <cell r="E54" t="str">
            <v>Florentina</v>
          </cell>
          <cell r="F54" t="str">
            <v>Azur</v>
          </cell>
          <cell r="G54" t="str">
            <v>Lolit</v>
          </cell>
          <cell r="I54" t="str">
            <v>1970-11-16</v>
          </cell>
          <cell r="J54">
            <v>2</v>
          </cell>
          <cell r="K54">
            <v>2</v>
          </cell>
          <cell r="L54" t="str">
            <v>Billy R. Gregorio</v>
          </cell>
          <cell r="M54" t="str">
            <v>33-0466940-3</v>
          </cell>
          <cell r="N54" t="str">
            <v>183-149-598</v>
          </cell>
          <cell r="O54">
            <v>41</v>
          </cell>
          <cell r="P54">
            <v>492</v>
          </cell>
          <cell r="Q54">
            <v>55</v>
          </cell>
          <cell r="R54">
            <v>11</v>
          </cell>
          <cell r="S54">
            <v>0</v>
          </cell>
          <cell r="T54" t="str">
            <v xml:space="preserve">Billy R. Gregorio
390F M.L. Quezon St. Bagumbayan, Taguig City
09182219065 / (02)838-2846
</v>
          </cell>
          <cell r="U54" t="str">
            <v>1993-04-19</v>
          </cell>
        </row>
        <row r="55">
          <cell r="C55">
            <v>3786</v>
          </cell>
          <cell r="D55" t="str">
            <v>Abilong</v>
          </cell>
          <cell r="E55" t="str">
            <v>Mary Glenn</v>
          </cell>
          <cell r="F55" t="str">
            <v>Sulat</v>
          </cell>
          <cell r="G55" t="str">
            <v>Glenn</v>
          </cell>
          <cell r="I55" t="str">
            <v>1975-12-31</v>
          </cell>
          <cell r="J55">
            <v>2</v>
          </cell>
          <cell r="K55">
            <v>2</v>
          </cell>
          <cell r="L55" t="str">
            <v>Danilo L. Abilong</v>
          </cell>
          <cell r="M55" t="str">
            <v>33-3304075-0</v>
          </cell>
          <cell r="N55" t="str">
            <v>183-151-174</v>
          </cell>
          <cell r="O55">
            <v>41</v>
          </cell>
          <cell r="P55">
            <v>474</v>
          </cell>
          <cell r="Q55">
            <v>49</v>
          </cell>
          <cell r="R55">
            <v>8</v>
          </cell>
          <cell r="S55">
            <v>0</v>
          </cell>
          <cell r="T55" t="str">
            <v xml:space="preserve">Danilo Abilong
52E Ilaya Alabang Muntinlupa City
0922-369-6635 / 0922-463-2301
</v>
          </cell>
          <cell r="U55" t="str">
            <v>1993-05-08</v>
          </cell>
        </row>
        <row r="56">
          <cell r="C56">
            <v>3795</v>
          </cell>
          <cell r="D56" t="str">
            <v>Reforma</v>
          </cell>
          <cell r="E56" t="str">
            <v>Luisa</v>
          </cell>
          <cell r="F56" t="str">
            <v>Flores</v>
          </cell>
          <cell r="G56" t="str">
            <v>Lowie</v>
          </cell>
          <cell r="H56">
            <v>9235397433</v>
          </cell>
          <cell r="I56" t="str">
            <v>1970-10-10</v>
          </cell>
          <cell r="J56">
            <v>2</v>
          </cell>
          <cell r="K56">
            <v>1</v>
          </cell>
          <cell r="M56" t="str">
            <v>33-3742997-9</v>
          </cell>
          <cell r="N56" t="str">
            <v>183-149-145</v>
          </cell>
          <cell r="O56">
            <v>43</v>
          </cell>
          <cell r="P56">
            <v>493</v>
          </cell>
          <cell r="Q56">
            <v>55</v>
          </cell>
          <cell r="R56">
            <v>11</v>
          </cell>
          <cell r="S56">
            <v>0</v>
          </cell>
          <cell r="T56" t="str">
            <v xml:space="preserve">Maria F. Reforma
B17 L2, Central Bicutan Taguig City
09301600141
</v>
          </cell>
          <cell r="U56" t="str">
            <v>1993-05-24</v>
          </cell>
        </row>
        <row r="57">
          <cell r="C57">
            <v>3798</v>
          </cell>
          <cell r="D57" t="str">
            <v>Villabroza</v>
          </cell>
          <cell r="E57" t="str">
            <v>Criselda</v>
          </cell>
          <cell r="F57" t="str">
            <v>Villalada</v>
          </cell>
          <cell r="G57" t="str">
            <v>Dang</v>
          </cell>
          <cell r="H57" t="str">
            <v>0977-754-0691</v>
          </cell>
          <cell r="I57" t="str">
            <v>1971-11-22</v>
          </cell>
          <cell r="J57">
            <v>2</v>
          </cell>
          <cell r="K57">
            <v>2</v>
          </cell>
          <cell r="L57" t="str">
            <v>Alexander L. Villabroza</v>
          </cell>
          <cell r="M57" t="str">
            <v>33-3742965-2</v>
          </cell>
          <cell r="N57" t="str">
            <v>158-672-722</v>
          </cell>
          <cell r="O57">
            <v>80</v>
          </cell>
          <cell r="P57">
            <v>401</v>
          </cell>
          <cell r="Q57">
            <v>51</v>
          </cell>
          <cell r="R57">
            <v>1</v>
          </cell>
          <cell r="S57">
            <v>0</v>
          </cell>
          <cell r="T57" t="str">
            <v>Jonathan V. Villabroza
390K M. L. Quezon St,
Bagumbayan, Taguig City
0906-223-5200</v>
          </cell>
          <cell r="U57" t="str">
            <v>1993-05-26</v>
          </cell>
        </row>
        <row r="58">
          <cell r="C58">
            <v>3802</v>
          </cell>
          <cell r="D58" t="str">
            <v>Patos</v>
          </cell>
          <cell r="E58" t="str">
            <v>Salustiano Jr.</v>
          </cell>
          <cell r="F58" t="str">
            <v>Toquierre</v>
          </cell>
          <cell r="G58" t="str">
            <v>Jojo</v>
          </cell>
          <cell r="H58" t="str">
            <v>0998-596-9711</v>
          </cell>
          <cell r="I58" t="str">
            <v>1975-01-28</v>
          </cell>
          <cell r="J58">
            <v>1</v>
          </cell>
          <cell r="K58">
            <v>2</v>
          </cell>
          <cell r="L58" t="str">
            <v>Lorena O. Patos</v>
          </cell>
          <cell r="M58" t="str">
            <v>33-3764525-8</v>
          </cell>
          <cell r="N58" t="str">
            <v>187-797-559</v>
          </cell>
          <cell r="O58">
            <v>10</v>
          </cell>
          <cell r="P58">
            <v>495</v>
          </cell>
          <cell r="Q58">
            <v>57</v>
          </cell>
          <cell r="R58">
            <v>11</v>
          </cell>
          <cell r="S58">
            <v>0</v>
          </cell>
          <cell r="T58" t="str">
            <v xml:space="preserve">Lorena O. Patos
111 Gutierrez Cpd., Bagumbayan,
Taguig City
0919-486-0102
</v>
          </cell>
          <cell r="U58" t="str">
            <v>1993-05-27</v>
          </cell>
        </row>
        <row r="59">
          <cell r="C59">
            <v>3809</v>
          </cell>
          <cell r="D59" t="str">
            <v>Ramirez</v>
          </cell>
          <cell r="E59" t="str">
            <v>Mayet</v>
          </cell>
          <cell r="F59" t="str">
            <v>Villasor</v>
          </cell>
          <cell r="G59" t="str">
            <v>Mayet</v>
          </cell>
          <cell r="I59" t="str">
            <v>1972-05-20</v>
          </cell>
          <cell r="J59">
            <v>2</v>
          </cell>
          <cell r="K59">
            <v>2</v>
          </cell>
          <cell r="L59" t="str">
            <v>Benjamin B. Ramirez Jr.</v>
          </cell>
          <cell r="M59" t="str">
            <v>33-3741886-7</v>
          </cell>
          <cell r="N59" t="str">
            <v>183-149-161</v>
          </cell>
          <cell r="O59">
            <v>43</v>
          </cell>
          <cell r="P59">
            <v>492</v>
          </cell>
          <cell r="Q59">
            <v>55</v>
          </cell>
          <cell r="R59">
            <v>11</v>
          </cell>
          <cell r="S59">
            <v>0</v>
          </cell>
          <cell r="T59" t="str">
            <v xml:space="preserve">Benjamin  B. Ramirez Jr.
479-A M.L. Quezon St. Lower Bicutan Taguig City
0948-886-0018
</v>
          </cell>
          <cell r="U59" t="str">
            <v>1994-03-04</v>
          </cell>
        </row>
        <row r="60">
          <cell r="C60">
            <v>3836</v>
          </cell>
          <cell r="D60" t="str">
            <v>Pauig</v>
          </cell>
          <cell r="E60" t="str">
            <v>Maritel</v>
          </cell>
          <cell r="F60" t="str">
            <v>Bassig</v>
          </cell>
          <cell r="G60" t="str">
            <v>Thel</v>
          </cell>
          <cell r="H60">
            <v>9297007972</v>
          </cell>
          <cell r="I60" t="str">
            <v>1974-01-24</v>
          </cell>
          <cell r="J60">
            <v>2</v>
          </cell>
          <cell r="K60">
            <v>2</v>
          </cell>
          <cell r="L60" t="str">
            <v>Alan B. Pauig</v>
          </cell>
          <cell r="M60" t="str">
            <v>33-3667990-8</v>
          </cell>
          <cell r="N60" t="str">
            <v>183-145-829</v>
          </cell>
          <cell r="O60">
            <v>43</v>
          </cell>
          <cell r="P60">
            <v>493</v>
          </cell>
          <cell r="Q60">
            <v>55</v>
          </cell>
          <cell r="R60">
            <v>11</v>
          </cell>
          <cell r="S60">
            <v>0</v>
          </cell>
          <cell r="T60" t="str">
            <v xml:space="preserve">Alan B. Pauig
Ph1 B17 L22 St. Joseph 7,
Marinig, Cabuyao, Laguna
09202898782
0920-289-8782
</v>
          </cell>
          <cell r="U60" t="str">
            <v>1994-03-04</v>
          </cell>
        </row>
        <row r="61">
          <cell r="C61">
            <v>3844</v>
          </cell>
          <cell r="D61" t="str">
            <v>Umali</v>
          </cell>
          <cell r="E61" t="str">
            <v>Marites</v>
          </cell>
          <cell r="F61" t="str">
            <v>Robrigado</v>
          </cell>
          <cell r="G61" t="str">
            <v>Thess</v>
          </cell>
          <cell r="I61" t="str">
            <v>1972-09-21</v>
          </cell>
          <cell r="J61">
            <v>2</v>
          </cell>
          <cell r="K61">
            <v>2</v>
          </cell>
          <cell r="L61" t="str">
            <v>Gregorio Umali</v>
          </cell>
          <cell r="M61" t="str">
            <v xml:space="preserve">33-3744430-7 </v>
          </cell>
          <cell r="N61" t="str">
            <v>183-151-004</v>
          </cell>
          <cell r="O61">
            <v>41</v>
          </cell>
          <cell r="P61">
            <v>493</v>
          </cell>
          <cell r="Q61">
            <v>55</v>
          </cell>
          <cell r="R61">
            <v>11</v>
          </cell>
          <cell r="S61">
            <v>0</v>
          </cell>
          <cell r="T61" t="str">
            <v xml:space="preserve">Greg M. Umali
Brgy. Bilucao Malvar Batangas
0920-875-4692
</v>
          </cell>
          <cell r="U61" t="str">
            <v>1994-03-04</v>
          </cell>
        </row>
        <row r="62">
          <cell r="C62">
            <v>3861</v>
          </cell>
          <cell r="D62" t="str">
            <v>Bongosia</v>
          </cell>
          <cell r="E62" t="str">
            <v>Esmeralda</v>
          </cell>
          <cell r="F62" t="str">
            <v>Manzanade</v>
          </cell>
          <cell r="G62" t="str">
            <v>Jasmin</v>
          </cell>
          <cell r="H62">
            <v>9093589345</v>
          </cell>
          <cell r="I62" t="str">
            <v>1975-07-10</v>
          </cell>
          <cell r="J62">
            <v>2</v>
          </cell>
          <cell r="K62">
            <v>2</v>
          </cell>
          <cell r="L62" t="str">
            <v>Melecio M. Bongosia Jr.</v>
          </cell>
          <cell r="M62" t="str">
            <v>33-1778215-7</v>
          </cell>
          <cell r="N62" t="str">
            <v>167-018-929</v>
          </cell>
          <cell r="O62">
            <v>43</v>
          </cell>
          <cell r="P62">
            <v>502</v>
          </cell>
          <cell r="Q62">
            <v>62</v>
          </cell>
          <cell r="R62">
            <v>12</v>
          </cell>
          <cell r="S62">
            <v>0</v>
          </cell>
          <cell r="T62" t="str">
            <v xml:space="preserve">Katrina M. Bongosia 
B236 L5 Ph1 Executive Mabuhay City Mamatid Cabuyao Laguna
09198845318
0921-962-8403
</v>
          </cell>
          <cell r="U62" t="str">
            <v>1993-06-07</v>
          </cell>
        </row>
        <row r="63">
          <cell r="C63">
            <v>3921</v>
          </cell>
          <cell r="D63" t="str">
            <v>Besa</v>
          </cell>
          <cell r="E63" t="str">
            <v>Rebecca</v>
          </cell>
          <cell r="F63" t="str">
            <v>Yuzon</v>
          </cell>
          <cell r="G63" t="str">
            <v>Vicky</v>
          </cell>
          <cell r="I63" t="str">
            <v>1972-08-26</v>
          </cell>
          <cell r="J63">
            <v>2</v>
          </cell>
          <cell r="K63">
            <v>2</v>
          </cell>
          <cell r="L63" t="str">
            <v>Aldren F. Besa</v>
          </cell>
          <cell r="M63" t="str">
            <v>33-3327916-5</v>
          </cell>
          <cell r="N63" t="str">
            <v>167-019-293</v>
          </cell>
          <cell r="O63">
            <v>43</v>
          </cell>
          <cell r="P63">
            <v>492</v>
          </cell>
          <cell r="Q63">
            <v>55</v>
          </cell>
          <cell r="R63">
            <v>11</v>
          </cell>
          <cell r="S63">
            <v>0</v>
          </cell>
          <cell r="T63" t="str">
            <v xml:space="preserve">Aldren F. Besa
Blk.36 Lot 50 P5 Mabuhay City Mamatid Cabuyao Laguna
0927-356-1963
</v>
          </cell>
          <cell r="U63" t="str">
            <v>1994-03-04</v>
          </cell>
        </row>
        <row r="64">
          <cell r="C64">
            <v>4197</v>
          </cell>
          <cell r="D64" t="str">
            <v>Mendina</v>
          </cell>
          <cell r="E64" t="str">
            <v>Ma. Diomedes</v>
          </cell>
          <cell r="F64" t="str">
            <v>Gubi</v>
          </cell>
          <cell r="G64" t="str">
            <v>Mherly</v>
          </cell>
          <cell r="I64" t="str">
            <v>1965-08-16</v>
          </cell>
          <cell r="J64">
            <v>2</v>
          </cell>
          <cell r="K64">
            <v>2</v>
          </cell>
          <cell r="L64" t="str">
            <v>Jose B. Mendina</v>
          </cell>
          <cell r="M64" t="str">
            <v>03-8733434-7</v>
          </cell>
          <cell r="N64" t="str">
            <v>119-943-867</v>
          </cell>
          <cell r="O64">
            <v>43</v>
          </cell>
          <cell r="P64">
            <v>492</v>
          </cell>
          <cell r="Q64">
            <v>55</v>
          </cell>
          <cell r="R64">
            <v>11</v>
          </cell>
          <cell r="S64">
            <v>0</v>
          </cell>
          <cell r="T64" t="str">
            <v xml:space="preserve">Jose B. Mendina
B6 L15 Camella T-Homes I Putatan Muntinlupa City
0909-752-3280
</v>
          </cell>
          <cell r="U64" t="str">
            <v>1993-08-04</v>
          </cell>
        </row>
        <row r="65">
          <cell r="C65">
            <v>4290</v>
          </cell>
          <cell r="D65" t="str">
            <v>Rivera</v>
          </cell>
          <cell r="E65" t="str">
            <v>Mary Grace</v>
          </cell>
          <cell r="F65" t="str">
            <v>Capili</v>
          </cell>
          <cell r="G65" t="str">
            <v>Grace</v>
          </cell>
          <cell r="I65" t="str">
            <v>1976-06-28</v>
          </cell>
          <cell r="J65">
            <v>2</v>
          </cell>
          <cell r="K65">
            <v>2</v>
          </cell>
          <cell r="L65" t="str">
            <v>Christopher Rivera</v>
          </cell>
          <cell r="M65" t="str">
            <v>33-3761652-0</v>
          </cell>
          <cell r="N65" t="str">
            <v>183-151-246</v>
          </cell>
          <cell r="O65">
            <v>40</v>
          </cell>
          <cell r="P65">
            <v>468</v>
          </cell>
          <cell r="Q65">
            <v>35</v>
          </cell>
          <cell r="R65">
            <v>8</v>
          </cell>
          <cell r="S65">
            <v>0</v>
          </cell>
          <cell r="T65" t="str">
            <v xml:space="preserve">Christopher Rivera
L17 B 1 (A). Rockyside Vill., Bagumbayan, Taguig City
0920-244-1865
</v>
          </cell>
          <cell r="U65" t="str">
            <v>1993-11-04</v>
          </cell>
        </row>
        <row r="66">
          <cell r="C66">
            <v>4292</v>
          </cell>
          <cell r="D66" t="str">
            <v>Dela Cruz</v>
          </cell>
          <cell r="E66" t="str">
            <v>Cerila</v>
          </cell>
          <cell r="F66" t="str">
            <v>Gaa</v>
          </cell>
          <cell r="G66" t="str">
            <v>Cel</v>
          </cell>
          <cell r="I66" t="str">
            <v>1974-07-05</v>
          </cell>
          <cell r="J66">
            <v>2</v>
          </cell>
          <cell r="K66">
            <v>2</v>
          </cell>
          <cell r="L66" t="str">
            <v>Isagani Dela Cruz</v>
          </cell>
          <cell r="M66" t="str">
            <v>33-3746762-7</v>
          </cell>
          <cell r="N66" t="str">
            <v>167-019-548</v>
          </cell>
          <cell r="O66">
            <v>43</v>
          </cell>
          <cell r="P66">
            <v>493</v>
          </cell>
          <cell r="Q66">
            <v>55</v>
          </cell>
          <cell r="R66">
            <v>11</v>
          </cell>
          <cell r="S66">
            <v>0</v>
          </cell>
          <cell r="T66" t="str">
            <v xml:space="preserve">Isagani dela Cruz
1593 Gumamela St. Villa Eusebio 
San Miguel Pasig City
0921-381-2371
</v>
          </cell>
          <cell r="U66" t="str">
            <v>1993-11-04</v>
          </cell>
        </row>
        <row r="67">
          <cell r="C67">
            <v>4297</v>
          </cell>
          <cell r="D67" t="str">
            <v>Mariano</v>
          </cell>
          <cell r="E67" t="str">
            <v>Annaliza</v>
          </cell>
          <cell r="F67" t="str">
            <v>Urbina</v>
          </cell>
          <cell r="G67" t="str">
            <v>Anna</v>
          </cell>
          <cell r="H67">
            <v>9502085524</v>
          </cell>
          <cell r="I67" t="str">
            <v>1974-11-02</v>
          </cell>
          <cell r="J67">
            <v>2</v>
          </cell>
          <cell r="K67">
            <v>2</v>
          </cell>
          <cell r="L67" t="str">
            <v>Enrico Mariano</v>
          </cell>
          <cell r="M67" t="str">
            <v>33-3365555-6</v>
          </cell>
          <cell r="N67" t="str">
            <v>167-019-219</v>
          </cell>
          <cell r="O67">
            <v>43</v>
          </cell>
          <cell r="P67">
            <v>493</v>
          </cell>
          <cell r="Q67">
            <v>55</v>
          </cell>
          <cell r="R67">
            <v>11</v>
          </cell>
          <cell r="S67">
            <v>0</v>
          </cell>
          <cell r="T67" t="str">
            <v xml:space="preserve">Enrico R. Mariano
127 Marcelo  1 St. Mahogany Village Bagumbayan Taguig City
0918530253
0919-559-3104
</v>
          </cell>
          <cell r="U67" t="str">
            <v>1993-11-04</v>
          </cell>
        </row>
        <row r="68">
          <cell r="C68">
            <v>4300</v>
          </cell>
          <cell r="D68" t="str">
            <v>MalagueÃ±o</v>
          </cell>
          <cell r="E68" t="str">
            <v>Nenita</v>
          </cell>
          <cell r="F68" t="str">
            <v>Flamiano</v>
          </cell>
          <cell r="G68" t="str">
            <v>Neth</v>
          </cell>
          <cell r="I68" t="str">
            <v>1975-03-18</v>
          </cell>
          <cell r="J68">
            <v>2</v>
          </cell>
          <cell r="K68">
            <v>2</v>
          </cell>
          <cell r="L68" t="str">
            <v>Moises M. MalagueÃ±o</v>
          </cell>
          <cell r="M68" t="str">
            <v>33-3734324-6</v>
          </cell>
          <cell r="N68" t="str">
            <v>183-150-622</v>
          </cell>
          <cell r="O68">
            <v>43</v>
          </cell>
          <cell r="P68">
            <v>493</v>
          </cell>
          <cell r="Q68">
            <v>55</v>
          </cell>
          <cell r="R68">
            <v>11</v>
          </cell>
          <cell r="S68">
            <v>0</v>
          </cell>
          <cell r="T68" t="str">
            <v xml:space="preserve">Moises M. MalagueÃ±o
B33 L94 Phase 6 Mabuhay City Mamatid Cabuyao Laguna
0920-507-9575
</v>
          </cell>
          <cell r="U68" t="str">
            <v>1993-11-04</v>
          </cell>
        </row>
        <row r="69">
          <cell r="C69">
            <v>4301</v>
          </cell>
          <cell r="D69" t="str">
            <v>Manila</v>
          </cell>
          <cell r="E69" t="str">
            <v>Eloisa</v>
          </cell>
          <cell r="F69" t="str">
            <v>Tating</v>
          </cell>
          <cell r="G69" t="str">
            <v>Eloi</v>
          </cell>
          <cell r="H69" t="str">
            <v>0920-639-7375</v>
          </cell>
          <cell r="I69" t="str">
            <v>1975-11-15</v>
          </cell>
          <cell r="J69">
            <v>2</v>
          </cell>
          <cell r="K69">
            <v>2</v>
          </cell>
          <cell r="L69" t="str">
            <v>Romeo Lumban Manila</v>
          </cell>
          <cell r="M69" t="str">
            <v>33-3797041-5</v>
          </cell>
          <cell r="N69" t="str">
            <v>167-019-188</v>
          </cell>
          <cell r="O69">
            <v>41</v>
          </cell>
          <cell r="P69">
            <v>502</v>
          </cell>
          <cell r="Q69">
            <v>62</v>
          </cell>
          <cell r="R69">
            <v>12</v>
          </cell>
          <cell r="S69">
            <v>0</v>
          </cell>
          <cell r="T69" t="str">
            <v xml:space="preserve">Romeo L. Manila
0920-639-7375
</v>
          </cell>
          <cell r="U69" t="str">
            <v>1993-11-04</v>
          </cell>
        </row>
        <row r="70">
          <cell r="C70">
            <v>4311</v>
          </cell>
          <cell r="D70" t="str">
            <v>Meneses</v>
          </cell>
          <cell r="E70" t="str">
            <v>Ana Liza</v>
          </cell>
          <cell r="F70" t="str">
            <v>Rodriguez</v>
          </cell>
          <cell r="G70" t="str">
            <v>Anna</v>
          </cell>
          <cell r="I70" t="str">
            <v>1973-07-08</v>
          </cell>
          <cell r="J70">
            <v>2</v>
          </cell>
          <cell r="K70">
            <v>2</v>
          </cell>
          <cell r="L70" t="str">
            <v>Jovenel D. Meneses</v>
          </cell>
          <cell r="M70" t="str">
            <v>33-3745829-6</v>
          </cell>
          <cell r="N70" t="str">
            <v>167-019-105</v>
          </cell>
          <cell r="O70">
            <v>43</v>
          </cell>
          <cell r="P70">
            <v>492</v>
          </cell>
          <cell r="Q70">
            <v>55</v>
          </cell>
          <cell r="R70">
            <v>11</v>
          </cell>
          <cell r="S70">
            <v>0</v>
          </cell>
          <cell r="T70" t="str">
            <v xml:space="preserve">Jovenel D. Meneses
Purok 5 Bagong Tanyag Taguig City
0947-979-8984
</v>
          </cell>
          <cell r="U70" t="str">
            <v>1993-11-11</v>
          </cell>
        </row>
        <row r="71">
          <cell r="C71">
            <v>4312</v>
          </cell>
          <cell r="D71" t="str">
            <v>Ebora</v>
          </cell>
          <cell r="E71" t="str">
            <v>Melba</v>
          </cell>
          <cell r="F71" t="str">
            <v>Rivero</v>
          </cell>
          <cell r="G71" t="str">
            <v>Mhel</v>
          </cell>
          <cell r="I71" t="str">
            <v>1970-03-01</v>
          </cell>
          <cell r="J71">
            <v>2</v>
          </cell>
          <cell r="K71">
            <v>2</v>
          </cell>
          <cell r="L71" t="str">
            <v>Donato Ebora</v>
          </cell>
          <cell r="M71" t="str">
            <v>33-0061882-7</v>
          </cell>
          <cell r="N71" t="str">
            <v>183-158-557</v>
          </cell>
          <cell r="O71">
            <v>43</v>
          </cell>
          <cell r="P71">
            <v>502</v>
          </cell>
          <cell r="Q71">
            <v>62</v>
          </cell>
          <cell r="R71">
            <v>12</v>
          </cell>
          <cell r="S71">
            <v>0</v>
          </cell>
          <cell r="T71" t="str">
            <v xml:space="preserve">Donato C. Ebora
Blk. 33 Lot 13 Ph. 1 Mabuhay City Mamatid Cabuyao Laguna
0918-604-8198
</v>
          </cell>
          <cell r="U71" t="str">
            <v>1993-11-08</v>
          </cell>
        </row>
        <row r="72">
          <cell r="C72">
            <v>4314</v>
          </cell>
          <cell r="D72" t="str">
            <v>Obing</v>
          </cell>
          <cell r="E72" t="str">
            <v>Fely Rose</v>
          </cell>
          <cell r="F72" t="str">
            <v>Alicarte</v>
          </cell>
          <cell r="G72" t="str">
            <v>Fely</v>
          </cell>
          <cell r="H72">
            <v>9297539719</v>
          </cell>
          <cell r="I72" t="str">
            <v>1974-11-01</v>
          </cell>
          <cell r="J72">
            <v>2</v>
          </cell>
          <cell r="K72">
            <v>2</v>
          </cell>
          <cell r="L72" t="str">
            <v>Dante Obing</v>
          </cell>
          <cell r="M72" t="str">
            <v>33-3042184-8</v>
          </cell>
          <cell r="N72" t="str">
            <v>183-150-710</v>
          </cell>
          <cell r="O72">
            <v>43</v>
          </cell>
          <cell r="P72">
            <v>493</v>
          </cell>
          <cell r="Q72">
            <v>55</v>
          </cell>
          <cell r="R72">
            <v>11</v>
          </cell>
          <cell r="S72">
            <v>0</v>
          </cell>
          <cell r="T72" t="str">
            <v xml:space="preserve">Dante G. Obing
B15 L54 Ph2 Celestine Homes 
Brgy. Marinig Cabuyao Laguna
0919-593-9889
</v>
          </cell>
          <cell r="U72" t="str">
            <v>1993-11-08</v>
          </cell>
        </row>
        <row r="73">
          <cell r="C73">
            <v>4326</v>
          </cell>
          <cell r="D73" t="str">
            <v>Valles</v>
          </cell>
          <cell r="E73" t="str">
            <v>Marife</v>
          </cell>
          <cell r="F73" t="str">
            <v>De  Vera</v>
          </cell>
          <cell r="G73" t="str">
            <v>Fe</v>
          </cell>
          <cell r="H73">
            <v>9471325933</v>
          </cell>
          <cell r="I73" t="str">
            <v>1975-01-02</v>
          </cell>
          <cell r="J73">
            <v>2</v>
          </cell>
          <cell r="K73">
            <v>2</v>
          </cell>
          <cell r="L73" t="str">
            <v>Manolito Valles</v>
          </cell>
          <cell r="M73" t="str">
            <v>33-3738371-4</v>
          </cell>
          <cell r="N73" t="str">
            <v>167-020-078</v>
          </cell>
          <cell r="O73">
            <v>41</v>
          </cell>
          <cell r="P73">
            <v>502</v>
          </cell>
          <cell r="Q73">
            <v>62</v>
          </cell>
          <cell r="R73">
            <v>12</v>
          </cell>
          <cell r="S73">
            <v>0</v>
          </cell>
          <cell r="T73" t="str">
            <v xml:space="preserve">Manolito E. Valles
Blk.25 Lot 51 Imperial Homes Sn. Vicente Sto. Tomas Bats.
09185566303
0918-556-6303
</v>
          </cell>
          <cell r="U73" t="str">
            <v>1993-11-15</v>
          </cell>
        </row>
        <row r="74">
          <cell r="C74">
            <v>4355</v>
          </cell>
          <cell r="D74" t="str">
            <v>Burdeos</v>
          </cell>
          <cell r="E74" t="str">
            <v>Marivic</v>
          </cell>
          <cell r="F74" t="str">
            <v>Alesna</v>
          </cell>
          <cell r="G74" t="str">
            <v>Ahvic</v>
          </cell>
          <cell r="I74" t="str">
            <v>1976-03-23</v>
          </cell>
          <cell r="J74">
            <v>2</v>
          </cell>
          <cell r="K74">
            <v>2</v>
          </cell>
          <cell r="L74" t="str">
            <v>Ronald Burdeos</v>
          </cell>
          <cell r="M74" t="str">
            <v>33-1807150-8</v>
          </cell>
          <cell r="N74" t="str">
            <v>159-816-419</v>
          </cell>
          <cell r="O74">
            <v>41</v>
          </cell>
          <cell r="P74">
            <v>472</v>
          </cell>
          <cell r="Q74">
            <v>34</v>
          </cell>
          <cell r="R74">
            <v>8</v>
          </cell>
          <cell r="S74">
            <v>0</v>
          </cell>
          <cell r="T74" t="str">
            <v xml:space="preserve">Ronald Burdeos
917 B15 Pulido Ext. GMA Cavite
0909-970-3612
</v>
          </cell>
          <cell r="U74" t="str">
            <v>1994-01-12</v>
          </cell>
        </row>
        <row r="75">
          <cell r="C75">
            <v>4359</v>
          </cell>
          <cell r="D75" t="str">
            <v>Sale</v>
          </cell>
          <cell r="E75" t="str">
            <v>Donalyn</v>
          </cell>
          <cell r="F75" t="str">
            <v>Ilustrisimo</v>
          </cell>
          <cell r="G75" t="str">
            <v>Donna</v>
          </cell>
          <cell r="H75" t="str">
            <v>0905-314-1408</v>
          </cell>
          <cell r="I75" t="str">
            <v>1976-09-29</v>
          </cell>
          <cell r="J75">
            <v>2</v>
          </cell>
          <cell r="K75">
            <v>2</v>
          </cell>
          <cell r="L75" t="str">
            <v>Anaceto P. Sale</v>
          </cell>
          <cell r="M75" t="str">
            <v>33-3795409-1</v>
          </cell>
          <cell r="N75" t="str">
            <v>186-193-033</v>
          </cell>
          <cell r="O75">
            <v>43</v>
          </cell>
          <cell r="P75">
            <v>492</v>
          </cell>
          <cell r="Q75">
            <v>55</v>
          </cell>
          <cell r="R75">
            <v>11</v>
          </cell>
          <cell r="S75">
            <v>0</v>
          </cell>
          <cell r="T75" t="str">
            <v xml:space="preserve">Lito P. Sale
Blk.5 Lot 24 Pabahay Sa Brgy. Palo Alto Calamba City
0917-354-8975
</v>
          </cell>
          <cell r="U75" t="str">
            <v>1994-01-12</v>
          </cell>
        </row>
        <row r="76">
          <cell r="C76">
            <v>4396</v>
          </cell>
          <cell r="D76" t="str">
            <v>Punzalan</v>
          </cell>
          <cell r="E76" t="str">
            <v>Leziel</v>
          </cell>
          <cell r="F76" t="str">
            <v>Lanzaderas</v>
          </cell>
          <cell r="G76" t="str">
            <v>Zhel</v>
          </cell>
          <cell r="I76" t="str">
            <v>1971-08-06</v>
          </cell>
          <cell r="J76">
            <v>2</v>
          </cell>
          <cell r="K76">
            <v>2</v>
          </cell>
          <cell r="L76" t="str">
            <v>Restituto Punzalan</v>
          </cell>
          <cell r="M76" t="str">
            <v>33-1696058-5</v>
          </cell>
          <cell r="N76" t="str">
            <v>152-738-691</v>
          </cell>
          <cell r="O76">
            <v>40</v>
          </cell>
          <cell r="P76">
            <v>489</v>
          </cell>
          <cell r="Q76">
            <v>58</v>
          </cell>
          <cell r="R76">
            <v>11</v>
          </cell>
          <cell r="S76">
            <v>0</v>
          </cell>
          <cell r="T76" t="str">
            <v xml:space="preserve">Restituto Punzalan
Carloza, Calatagan Batangas
0929-225-0603
</v>
          </cell>
          <cell r="U76" t="str">
            <v>1994-02-28</v>
          </cell>
        </row>
        <row r="77">
          <cell r="C77">
            <v>4505</v>
          </cell>
          <cell r="D77" t="str">
            <v>Dugos</v>
          </cell>
          <cell r="E77" t="str">
            <v>Evangeline</v>
          </cell>
          <cell r="F77" t="str">
            <v>Lintan</v>
          </cell>
          <cell r="G77" t="str">
            <v>Vangie</v>
          </cell>
          <cell r="I77" t="str">
            <v>1975-08-18</v>
          </cell>
          <cell r="J77">
            <v>2</v>
          </cell>
          <cell r="K77">
            <v>2</v>
          </cell>
          <cell r="L77" t="str">
            <v>Joseph R. Dugos</v>
          </cell>
          <cell r="M77" t="str">
            <v>33-3842311-0</v>
          </cell>
          <cell r="N77" t="str">
            <v>183-145-860</v>
          </cell>
          <cell r="O77">
            <v>40</v>
          </cell>
          <cell r="P77">
            <v>468</v>
          </cell>
          <cell r="Q77">
            <v>35</v>
          </cell>
          <cell r="R77">
            <v>8</v>
          </cell>
          <cell r="S77">
            <v>0</v>
          </cell>
          <cell r="T77" t="str">
            <v xml:space="preserve">Joseph Dugos
782 Esligue St. Poblacion 
Malvar, Batangas
0939-194-6554
</v>
          </cell>
          <cell r="U77" t="str">
            <v>1994-04-06</v>
          </cell>
        </row>
        <row r="78">
          <cell r="C78">
            <v>4519</v>
          </cell>
          <cell r="D78" t="str">
            <v>Ignacio</v>
          </cell>
          <cell r="E78" t="str">
            <v>Ivan</v>
          </cell>
          <cell r="F78" t="str">
            <v>Fajilago</v>
          </cell>
          <cell r="G78" t="str">
            <v>Ivan</v>
          </cell>
          <cell r="I78" t="str">
            <v>1969-07-17</v>
          </cell>
          <cell r="J78">
            <v>2</v>
          </cell>
          <cell r="K78">
            <v>2</v>
          </cell>
          <cell r="L78" t="str">
            <v>Melvin Ignacio</v>
          </cell>
          <cell r="M78" t="str">
            <v>33-1016598-8</v>
          </cell>
          <cell r="N78" t="str">
            <v>146-684-097</v>
          </cell>
          <cell r="O78">
            <v>43</v>
          </cell>
          <cell r="P78">
            <v>455</v>
          </cell>
          <cell r="Q78">
            <v>20</v>
          </cell>
          <cell r="R78">
            <v>4</v>
          </cell>
          <cell r="S78">
            <v>0</v>
          </cell>
          <cell r="T78" t="str">
            <v xml:space="preserve">Lagrimas Ayo
B23 L14 Imperial Homes, 
San Vicente,Sto.Tomas,Batangas
0919-259-1275
</v>
          </cell>
          <cell r="U78" t="str">
            <v>1994-04-06</v>
          </cell>
        </row>
        <row r="79">
          <cell r="C79">
            <v>4523</v>
          </cell>
          <cell r="D79" t="str">
            <v>Ramos</v>
          </cell>
          <cell r="E79" t="str">
            <v>Jennifer</v>
          </cell>
          <cell r="F79" t="str">
            <v>Mendiola</v>
          </cell>
          <cell r="G79" t="str">
            <v>Jenny</v>
          </cell>
          <cell r="I79" t="str">
            <v>1975-05-27</v>
          </cell>
          <cell r="J79">
            <v>2</v>
          </cell>
          <cell r="K79">
            <v>2</v>
          </cell>
          <cell r="L79" t="str">
            <v>Crisostomo Ramos Jr.</v>
          </cell>
          <cell r="M79" t="str">
            <v>33-1953743-6</v>
          </cell>
          <cell r="N79" t="str">
            <v>183-149-716</v>
          </cell>
          <cell r="O79">
            <v>97</v>
          </cell>
          <cell r="P79">
            <v>402</v>
          </cell>
          <cell r="Q79">
            <v>51</v>
          </cell>
          <cell r="R79">
            <v>1</v>
          </cell>
          <cell r="S79">
            <v>0</v>
          </cell>
          <cell r="T79" t="str">
            <v xml:space="preserve">Estelita C. Mendiola
212-C M.L. Quezon St. 
Hagonoy Taguig City
0917-574-0598
</v>
          </cell>
          <cell r="U79" t="str">
            <v>1994-04-06</v>
          </cell>
        </row>
        <row r="80">
          <cell r="C80">
            <v>4572</v>
          </cell>
          <cell r="D80" t="str">
            <v>Garpida</v>
          </cell>
          <cell r="E80" t="str">
            <v>Aprilyn</v>
          </cell>
          <cell r="F80" t="str">
            <v>Bernabe</v>
          </cell>
          <cell r="G80" t="str">
            <v>April</v>
          </cell>
          <cell r="I80" t="str">
            <v>1974-04-14</v>
          </cell>
          <cell r="J80">
            <v>2</v>
          </cell>
          <cell r="K80">
            <v>1</v>
          </cell>
          <cell r="M80" t="str">
            <v>33-3830855-2</v>
          </cell>
          <cell r="N80" t="str">
            <v>183-149-880</v>
          </cell>
          <cell r="O80">
            <v>43</v>
          </cell>
          <cell r="P80">
            <v>146</v>
          </cell>
          <cell r="Q80">
            <v>27</v>
          </cell>
          <cell r="R80">
            <v>6</v>
          </cell>
          <cell r="S80">
            <v>0</v>
          </cell>
          <cell r="T80" t="str">
            <v xml:space="preserve">Marilyn G.Pullan
32-J Balagtas St.Purok 4 
Lower Bicutan Taguig City
0927-387-1877
</v>
          </cell>
          <cell r="U80" t="str">
            <v>1994-04-11</v>
          </cell>
        </row>
        <row r="81">
          <cell r="C81">
            <v>4654</v>
          </cell>
          <cell r="D81" t="str">
            <v>Mayola</v>
          </cell>
          <cell r="E81" t="str">
            <v>Lorena</v>
          </cell>
          <cell r="F81" t="str">
            <v>Pasco</v>
          </cell>
          <cell r="G81" t="str">
            <v>Loraine</v>
          </cell>
          <cell r="I81" t="str">
            <v>1971-10-13</v>
          </cell>
          <cell r="J81">
            <v>2</v>
          </cell>
          <cell r="K81">
            <v>2</v>
          </cell>
          <cell r="L81" t="str">
            <v>Ricky Mayola</v>
          </cell>
          <cell r="M81" t="str">
            <v>33-3904814-1</v>
          </cell>
          <cell r="N81" t="str">
            <v>183-149-602</v>
          </cell>
          <cell r="O81">
            <v>40</v>
          </cell>
          <cell r="P81">
            <v>488</v>
          </cell>
          <cell r="Q81">
            <v>58</v>
          </cell>
          <cell r="R81">
            <v>11</v>
          </cell>
          <cell r="S81">
            <v>0</v>
          </cell>
          <cell r="T81" t="str">
            <v xml:space="preserve">Ricky S. Mayola
Blk.21 Lot.4 ,Mabuhay City Ph.-2 Ext. Mamatid, Cabuyao, Laguna
0928-142-4418
</v>
          </cell>
          <cell r="U81" t="str">
            <v>1994-04-16</v>
          </cell>
        </row>
        <row r="82">
          <cell r="C82">
            <v>4692</v>
          </cell>
          <cell r="D82" t="str">
            <v>Bitangcor</v>
          </cell>
          <cell r="E82" t="str">
            <v>Jocelyn</v>
          </cell>
          <cell r="F82" t="str">
            <v>Marpiga</v>
          </cell>
          <cell r="G82" t="str">
            <v>Jhosie</v>
          </cell>
          <cell r="I82" t="str">
            <v>1975-12-09</v>
          </cell>
          <cell r="J82">
            <v>2</v>
          </cell>
          <cell r="K82">
            <v>1</v>
          </cell>
          <cell r="M82" t="str">
            <v>33-1803472-3</v>
          </cell>
          <cell r="N82" t="str">
            <v>159-319-021</v>
          </cell>
          <cell r="O82">
            <v>43</v>
          </cell>
          <cell r="P82">
            <v>493</v>
          </cell>
          <cell r="Q82">
            <v>55</v>
          </cell>
          <cell r="R82">
            <v>11</v>
          </cell>
          <cell r="S82">
            <v>0</v>
          </cell>
          <cell r="T82" t="str">
            <v xml:space="preserve">Yonila B. Perol
2653 A. Bonifacio St. Bangkal Makati City
</v>
          </cell>
          <cell r="U82" t="str">
            <v>1994-04-25</v>
          </cell>
        </row>
        <row r="83">
          <cell r="C83">
            <v>4719</v>
          </cell>
          <cell r="D83" t="str">
            <v>Robles</v>
          </cell>
          <cell r="E83" t="str">
            <v>Daisy</v>
          </cell>
          <cell r="F83" t="str">
            <v>Sadueste</v>
          </cell>
          <cell r="G83" t="str">
            <v>Dhase</v>
          </cell>
          <cell r="I83" t="str">
            <v>1976-03-14</v>
          </cell>
          <cell r="J83">
            <v>2</v>
          </cell>
          <cell r="K83">
            <v>2</v>
          </cell>
          <cell r="L83" t="str">
            <v>Vicente V. Robles, Jr.</v>
          </cell>
          <cell r="M83" t="str">
            <v>33-3826539-4</v>
          </cell>
          <cell r="N83" t="str">
            <v>183-150-037</v>
          </cell>
          <cell r="O83">
            <v>40</v>
          </cell>
          <cell r="P83">
            <v>468</v>
          </cell>
          <cell r="Q83">
            <v>35</v>
          </cell>
          <cell r="R83">
            <v>8</v>
          </cell>
          <cell r="S83">
            <v>0</v>
          </cell>
          <cell r="T83" t="str">
            <v xml:space="preserve">Vic Robles
228 Puso St. Bagumbayan Taguig City
0908-726-5022
</v>
          </cell>
          <cell r="U83" t="str">
            <v>1994-04-27</v>
          </cell>
        </row>
        <row r="84">
          <cell r="C84">
            <v>4743</v>
          </cell>
          <cell r="D84" t="str">
            <v>Nejal</v>
          </cell>
          <cell r="E84" t="str">
            <v>Tomas</v>
          </cell>
          <cell r="F84" t="str">
            <v>Tamba</v>
          </cell>
          <cell r="G84" t="str">
            <v>Tom</v>
          </cell>
          <cell r="I84" t="str">
            <v>1962-03-07</v>
          </cell>
          <cell r="J84">
            <v>1</v>
          </cell>
          <cell r="K84">
            <v>2</v>
          </cell>
          <cell r="L84" t="str">
            <v>Evangelina A. Nejal</v>
          </cell>
          <cell r="M84" t="str">
            <v>03-8827279-6</v>
          </cell>
          <cell r="N84" t="str">
            <v>105-540-667</v>
          </cell>
          <cell r="O84">
            <v>10</v>
          </cell>
          <cell r="P84">
            <v>375</v>
          </cell>
          <cell r="Q84">
            <v>51</v>
          </cell>
          <cell r="R84">
            <v>1</v>
          </cell>
          <cell r="S84">
            <v>0</v>
          </cell>
          <cell r="T84" t="str">
            <v xml:space="preserve">Evangelina A. Nejal
15 St. Martin Ave. Mahogany Homes, Bagumbayan, Taguig City 
0920-9183-196
</v>
          </cell>
          <cell r="U84" t="str">
            <v>1994-05-02</v>
          </cell>
        </row>
        <row r="85">
          <cell r="C85">
            <v>4744</v>
          </cell>
          <cell r="D85" t="str">
            <v>Medrano</v>
          </cell>
          <cell r="E85" t="str">
            <v>Vilma</v>
          </cell>
          <cell r="F85" t="str">
            <v>Cacanindin</v>
          </cell>
          <cell r="G85" t="str">
            <v>Vie</v>
          </cell>
          <cell r="I85" t="str">
            <v>1971-07-30</v>
          </cell>
          <cell r="J85">
            <v>2</v>
          </cell>
          <cell r="K85">
            <v>2</v>
          </cell>
          <cell r="L85" t="str">
            <v>Alan H. Medrano</v>
          </cell>
          <cell r="M85" t="str">
            <v>01-0955496-5</v>
          </cell>
          <cell r="N85" t="str">
            <v>172-480-230</v>
          </cell>
          <cell r="O85">
            <v>53</v>
          </cell>
          <cell r="P85">
            <v>146</v>
          </cell>
          <cell r="Q85">
            <v>27</v>
          </cell>
          <cell r="R85">
            <v>6</v>
          </cell>
          <cell r="S85">
            <v>0</v>
          </cell>
          <cell r="T85" t="str">
            <v xml:space="preserve">Alan Medrano
#53 Interior Ilaya St. 
Alabang, Muntinlupa City
0919-229-2308
</v>
          </cell>
          <cell r="U85" t="str">
            <v>1994-05-03</v>
          </cell>
        </row>
        <row r="86">
          <cell r="C86">
            <v>4771</v>
          </cell>
          <cell r="D86" t="str">
            <v>Padullo</v>
          </cell>
          <cell r="E86" t="str">
            <v>Joel</v>
          </cell>
          <cell r="F86" t="str">
            <v>Cotin</v>
          </cell>
          <cell r="G86" t="str">
            <v>Joel</v>
          </cell>
          <cell r="H86" t="str">
            <v xml:space="preserve">(02) 825-4407 </v>
          </cell>
          <cell r="I86" t="str">
            <v>1971-06-17</v>
          </cell>
          <cell r="J86">
            <v>1</v>
          </cell>
          <cell r="K86">
            <v>2</v>
          </cell>
          <cell r="L86" t="str">
            <v>Lorlyn  B.  Padullo</v>
          </cell>
          <cell r="M86" t="str">
            <v>33-3808743-3</v>
          </cell>
          <cell r="N86" t="str">
            <v>175-807-933</v>
          </cell>
          <cell r="O86">
            <v>3</v>
          </cell>
          <cell r="P86">
            <v>2</v>
          </cell>
          <cell r="Q86">
            <v>2</v>
          </cell>
          <cell r="R86">
            <v>1</v>
          </cell>
          <cell r="S86">
            <v>0</v>
          </cell>
          <cell r="T86" t="str">
            <v>Lorlyn B Padullo
Blk14 Lot9 Mallorca St, Cerritos Height,
Phase1, Molino, Bacoor, Cavite
0920-474-3741</v>
          </cell>
          <cell r="U86" t="str">
            <v>1994-05-06</v>
          </cell>
        </row>
        <row r="87">
          <cell r="C87">
            <v>4825</v>
          </cell>
          <cell r="D87" t="str">
            <v>Felix</v>
          </cell>
          <cell r="E87" t="str">
            <v>Magie</v>
          </cell>
          <cell r="F87" t="str">
            <v>Vinluan</v>
          </cell>
          <cell r="G87" t="str">
            <v>Ghie</v>
          </cell>
          <cell r="H87" t="str">
            <v>0915-448-6517</v>
          </cell>
          <cell r="I87" t="str">
            <v>1975-08-29</v>
          </cell>
          <cell r="J87">
            <v>2</v>
          </cell>
          <cell r="K87">
            <v>2</v>
          </cell>
          <cell r="L87" t="str">
            <v>Edgar Felix</v>
          </cell>
          <cell r="M87" t="str">
            <v>33-3428708-8</v>
          </cell>
          <cell r="N87" t="str">
            <v>172-480-673</v>
          </cell>
          <cell r="O87">
            <v>43</v>
          </cell>
          <cell r="P87">
            <v>492</v>
          </cell>
          <cell r="Q87">
            <v>55</v>
          </cell>
          <cell r="R87">
            <v>11</v>
          </cell>
          <cell r="S87">
            <v>0</v>
          </cell>
          <cell r="T87" t="str">
            <v xml:space="preserve">Edgar O. Felix
Blk4 Lot4 SS Brigade 
Western Bicutan, Taguig City
0915-448-6517
</v>
          </cell>
          <cell r="U87" t="str">
            <v>1994-05-30</v>
          </cell>
        </row>
        <row r="88">
          <cell r="C88">
            <v>4859</v>
          </cell>
          <cell r="D88" t="str">
            <v>Alcasabas</v>
          </cell>
          <cell r="E88" t="str">
            <v>Rodrigo</v>
          </cell>
          <cell r="F88" t="str">
            <v>Lizardo</v>
          </cell>
          <cell r="G88" t="str">
            <v>Roger</v>
          </cell>
          <cell r="I88" t="str">
            <v>1968-11-06</v>
          </cell>
          <cell r="J88">
            <v>1</v>
          </cell>
          <cell r="K88">
            <v>2</v>
          </cell>
          <cell r="L88" t="str">
            <v>Evangeline Anciado Alcasabas</v>
          </cell>
          <cell r="M88" t="str">
            <v>03-8845592-4</v>
          </cell>
          <cell r="N88" t="str">
            <v>172-480-829</v>
          </cell>
          <cell r="O88">
            <v>86</v>
          </cell>
          <cell r="P88">
            <v>403</v>
          </cell>
          <cell r="Q88">
            <v>51</v>
          </cell>
          <cell r="R88">
            <v>1</v>
          </cell>
          <cell r="S88">
            <v>0</v>
          </cell>
          <cell r="T88" t="str">
            <v xml:space="preserve">Tomas Alcasabas
DoÃ±a IÃ±es Comp. Banlic Cabuyao, Laguna
0919-417-2179
</v>
          </cell>
          <cell r="U88" t="str">
            <v>1994-05-30</v>
          </cell>
        </row>
        <row r="89">
          <cell r="C89">
            <v>4864</v>
          </cell>
          <cell r="D89" t="str">
            <v>Roxas</v>
          </cell>
          <cell r="E89" t="str">
            <v>Miriam</v>
          </cell>
          <cell r="F89" t="str">
            <v>Toledano</v>
          </cell>
          <cell r="G89" t="str">
            <v>Yam</v>
          </cell>
          <cell r="I89" t="str">
            <v>1974-12-19</v>
          </cell>
          <cell r="J89">
            <v>2</v>
          </cell>
          <cell r="K89">
            <v>1</v>
          </cell>
          <cell r="M89" t="str">
            <v>33-3917077-6</v>
          </cell>
          <cell r="N89" t="str">
            <v>191-869-312</v>
          </cell>
          <cell r="O89">
            <v>40</v>
          </cell>
          <cell r="P89">
            <v>305</v>
          </cell>
          <cell r="Q89">
            <v>21</v>
          </cell>
          <cell r="R89">
            <v>4</v>
          </cell>
          <cell r="S89">
            <v>0</v>
          </cell>
          <cell r="T89" t="str">
            <v xml:space="preserve">Elsa R. Tero
31 Sitio Sampaguita Brgy. Calantipe 
Apalit Pampanga
0932-664-0885
</v>
          </cell>
          <cell r="U89" t="str">
            <v>1994-06-01</v>
          </cell>
        </row>
        <row r="90">
          <cell r="C90">
            <v>5087</v>
          </cell>
          <cell r="D90" t="str">
            <v>Casas</v>
          </cell>
          <cell r="E90" t="str">
            <v>Mary Jane</v>
          </cell>
          <cell r="F90" t="str">
            <v>Molera</v>
          </cell>
          <cell r="G90" t="str">
            <v>Jheng</v>
          </cell>
          <cell r="I90" t="str">
            <v>1975-07-25</v>
          </cell>
          <cell r="J90">
            <v>2</v>
          </cell>
          <cell r="K90">
            <v>2</v>
          </cell>
          <cell r="L90" t="str">
            <v>Darius B. Casas</v>
          </cell>
          <cell r="M90" t="str">
            <v>33-3336408-3</v>
          </cell>
          <cell r="N90" t="str">
            <v>183-151-239</v>
          </cell>
          <cell r="O90">
            <v>43</v>
          </cell>
          <cell r="P90">
            <v>492</v>
          </cell>
          <cell r="Q90">
            <v>55</v>
          </cell>
          <cell r="R90">
            <v>11</v>
          </cell>
          <cell r="S90">
            <v>0</v>
          </cell>
          <cell r="T90" t="str">
            <v xml:space="preserve">Darios B. Casas
465 Purok II Sucat Muntinlupa City
0906-915-3318
</v>
          </cell>
          <cell r="U90" t="str">
            <v>1994-09-29</v>
          </cell>
        </row>
        <row r="91">
          <cell r="C91">
            <v>5091</v>
          </cell>
          <cell r="D91" t="str">
            <v>Rico</v>
          </cell>
          <cell r="E91" t="str">
            <v>Araceli</v>
          </cell>
          <cell r="F91" t="str">
            <v>Bobis</v>
          </cell>
          <cell r="G91" t="str">
            <v>Aras</v>
          </cell>
          <cell r="I91" t="str">
            <v>1977-03-22</v>
          </cell>
          <cell r="J91">
            <v>2</v>
          </cell>
          <cell r="K91">
            <v>2</v>
          </cell>
          <cell r="L91" t="str">
            <v>Antonio B. Rico</v>
          </cell>
          <cell r="M91" t="str">
            <v>33-2317542-8</v>
          </cell>
          <cell r="N91" t="str">
            <v>183-149-435</v>
          </cell>
          <cell r="O91">
            <v>43</v>
          </cell>
          <cell r="P91">
            <v>492</v>
          </cell>
          <cell r="Q91">
            <v>55</v>
          </cell>
          <cell r="R91">
            <v>11</v>
          </cell>
          <cell r="S91">
            <v>0</v>
          </cell>
          <cell r="T91" t="str">
            <v xml:space="preserve">Antonio B. Rico
San Isidro, Libmanan, Camarines Sur
0907-529-0489
</v>
          </cell>
          <cell r="U91" t="str">
            <v>1994-09-29</v>
          </cell>
        </row>
        <row r="92">
          <cell r="C92">
            <v>5098</v>
          </cell>
          <cell r="D92" t="str">
            <v>Sy</v>
          </cell>
          <cell r="E92" t="str">
            <v>Elfa</v>
          </cell>
          <cell r="F92" t="str">
            <v>Amba</v>
          </cell>
          <cell r="G92" t="str">
            <v>Els</v>
          </cell>
          <cell r="I92" t="str">
            <v>1972-04-29</v>
          </cell>
          <cell r="J92">
            <v>2</v>
          </cell>
          <cell r="K92">
            <v>2</v>
          </cell>
          <cell r="L92" t="str">
            <v>Sherwin L. Sy</v>
          </cell>
          <cell r="M92" t="str">
            <v>33-3812921-0</v>
          </cell>
          <cell r="N92" t="str">
            <v>186-192-684</v>
          </cell>
          <cell r="O92">
            <v>43</v>
          </cell>
          <cell r="P92">
            <v>492</v>
          </cell>
          <cell r="Q92">
            <v>55</v>
          </cell>
          <cell r="R92">
            <v>11</v>
          </cell>
          <cell r="S92">
            <v>0</v>
          </cell>
          <cell r="T92" t="str">
            <v xml:space="preserve">Sherwin L. Sy
Blk.10 Lot 30 Ph. 2 Imperial Homes 
Sn. Vicente Sto. Tomas Bats.
0908-721-8699
</v>
          </cell>
          <cell r="U92" t="str">
            <v>1994-10-01</v>
          </cell>
        </row>
        <row r="93">
          <cell r="C93">
            <v>5215</v>
          </cell>
          <cell r="D93" t="str">
            <v>Martinez</v>
          </cell>
          <cell r="E93" t="str">
            <v>Arnold</v>
          </cell>
          <cell r="F93" t="str">
            <v>Pantas</v>
          </cell>
          <cell r="G93" t="str">
            <v>Bogs</v>
          </cell>
          <cell r="H93" t="str">
            <v>0949-095-0986</v>
          </cell>
          <cell r="I93" t="str">
            <v>1972-06-15</v>
          </cell>
          <cell r="J93">
            <v>1</v>
          </cell>
          <cell r="K93">
            <v>2</v>
          </cell>
          <cell r="L93" t="str">
            <v>Marites Martinez</v>
          </cell>
          <cell r="M93" t="str">
            <v>33-3534239-1</v>
          </cell>
          <cell r="N93" t="str">
            <v>169-207-429</v>
          </cell>
          <cell r="O93">
            <v>10</v>
          </cell>
          <cell r="P93">
            <v>437</v>
          </cell>
          <cell r="Q93">
            <v>19</v>
          </cell>
          <cell r="R93">
            <v>4</v>
          </cell>
          <cell r="S93">
            <v>0</v>
          </cell>
          <cell r="T93" t="str">
            <v>Virginia P. Martinez
331-B Purok 5, ML Quezon St.
Lower Bicutan, Taguig City</v>
          </cell>
          <cell r="U93" t="str">
            <v>1995-12-04</v>
          </cell>
        </row>
        <row r="94">
          <cell r="C94">
            <v>5222</v>
          </cell>
          <cell r="D94" t="str">
            <v>Guevarra</v>
          </cell>
          <cell r="E94" t="str">
            <v>Aristotle</v>
          </cell>
          <cell r="F94" t="str">
            <v>Llarenas</v>
          </cell>
          <cell r="G94" t="str">
            <v>Ahrys</v>
          </cell>
          <cell r="H94" t="str">
            <v xml:space="preserve">(02) 563-7516 </v>
          </cell>
          <cell r="I94" t="str">
            <v>1971-09-07</v>
          </cell>
          <cell r="J94">
            <v>1</v>
          </cell>
          <cell r="K94">
            <v>2</v>
          </cell>
          <cell r="L94" t="str">
            <v>Mary Jane F. Guevarra</v>
          </cell>
          <cell r="M94" t="str">
            <v>33-0694896-0</v>
          </cell>
          <cell r="N94" t="str">
            <v>187-797-526</v>
          </cell>
          <cell r="O94">
            <v>31</v>
          </cell>
          <cell r="P94">
            <v>403</v>
          </cell>
          <cell r="Q94">
            <v>51</v>
          </cell>
          <cell r="R94">
            <v>1</v>
          </cell>
          <cell r="S94">
            <v>0</v>
          </cell>
          <cell r="T94" t="str">
            <v xml:space="preserve">Azucena L. Guevarra
2159-B San Andres Ext. Sta. Ana Manila
(02)563-7516
</v>
          </cell>
          <cell r="U94" t="str">
            <v>1996-03-06</v>
          </cell>
        </row>
        <row r="95">
          <cell r="C95">
            <v>5233</v>
          </cell>
          <cell r="D95" t="str">
            <v>Estoya</v>
          </cell>
          <cell r="E95" t="str">
            <v>Renato</v>
          </cell>
          <cell r="F95" t="str">
            <v>Meera</v>
          </cell>
          <cell r="G95" t="str">
            <v>Ato</v>
          </cell>
          <cell r="I95" t="str">
            <v>1969-03-09</v>
          </cell>
          <cell r="J95">
            <v>1</v>
          </cell>
          <cell r="K95">
            <v>2</v>
          </cell>
          <cell r="L95" t="str">
            <v>Raquel G. Estoya</v>
          </cell>
          <cell r="M95" t="str">
            <v>33-0001661-0</v>
          </cell>
          <cell r="N95" t="str">
            <v>191-437-540</v>
          </cell>
          <cell r="O95">
            <v>35</v>
          </cell>
          <cell r="P95">
            <v>375</v>
          </cell>
          <cell r="Q95">
            <v>51</v>
          </cell>
          <cell r="R95">
            <v>1</v>
          </cell>
          <cell r="S95">
            <v>0</v>
          </cell>
          <cell r="T95" t="str">
            <v xml:space="preserve">Raquel G. Estoya
B2 Lot 150 Hacienda Hills 
Palo Alto Calamba City
0946-574-0575
</v>
          </cell>
          <cell r="U95" t="str">
            <v>1996-06-19</v>
          </cell>
        </row>
        <row r="96">
          <cell r="C96">
            <v>5273</v>
          </cell>
          <cell r="D96" t="str">
            <v>Palacio</v>
          </cell>
          <cell r="E96" t="str">
            <v>Christian</v>
          </cell>
          <cell r="F96" t="str">
            <v>Auditor</v>
          </cell>
          <cell r="G96" t="str">
            <v>Chan</v>
          </cell>
          <cell r="H96" t="str">
            <v>(0919) 344-02-0</v>
          </cell>
          <cell r="I96" t="str">
            <v>1977-03-13</v>
          </cell>
          <cell r="J96">
            <v>1</v>
          </cell>
          <cell r="K96">
            <v>2</v>
          </cell>
          <cell r="L96" t="str">
            <v>Alicia F. Palacio</v>
          </cell>
          <cell r="M96" t="str">
            <v>33-2435036-5</v>
          </cell>
          <cell r="N96" t="str">
            <v>194-460-287</v>
          </cell>
          <cell r="O96">
            <v>55</v>
          </cell>
          <cell r="P96">
            <v>499</v>
          </cell>
          <cell r="Q96">
            <v>66</v>
          </cell>
          <cell r="R96">
            <v>12</v>
          </cell>
          <cell r="S96">
            <v>0</v>
          </cell>
          <cell r="T96" t="str">
            <v xml:space="preserve">Alicia F. Palacio 
#505 Brgy. Carmen, Zaragosa, 
Nueva Ecija 
0928-293-5129
</v>
          </cell>
          <cell r="U96" t="str">
            <v>1997-02-24</v>
          </cell>
        </row>
        <row r="97">
          <cell r="C97">
            <v>5292</v>
          </cell>
          <cell r="D97" t="str">
            <v>Saul</v>
          </cell>
          <cell r="E97" t="str">
            <v>Eloisa</v>
          </cell>
          <cell r="F97" t="str">
            <v>Santos</v>
          </cell>
          <cell r="G97" t="str">
            <v>Eloi</v>
          </cell>
          <cell r="H97" t="str">
            <v>0908-481-2089</v>
          </cell>
          <cell r="I97" t="str">
            <v>1975-01-25</v>
          </cell>
          <cell r="J97">
            <v>2</v>
          </cell>
          <cell r="K97">
            <v>2</v>
          </cell>
          <cell r="L97" t="str">
            <v>Rosel D. Saul</v>
          </cell>
          <cell r="M97" t="str">
            <v>33-2858905-1</v>
          </cell>
          <cell r="N97" t="str">
            <v>906-318-574</v>
          </cell>
          <cell r="O97">
            <v>32</v>
          </cell>
          <cell r="P97">
            <v>433</v>
          </cell>
          <cell r="Q97">
            <v>19</v>
          </cell>
          <cell r="R97">
            <v>4</v>
          </cell>
          <cell r="S97">
            <v>0</v>
          </cell>
          <cell r="T97" t="str">
            <v xml:space="preserve">Edna H. Sanjoaquin
51 P.Burgos St., Tanay, Rizal
</v>
          </cell>
          <cell r="U97" t="str">
            <v>1997-05-16</v>
          </cell>
        </row>
        <row r="98">
          <cell r="C98">
            <v>5297</v>
          </cell>
          <cell r="D98" t="str">
            <v>Calleja</v>
          </cell>
          <cell r="E98" t="str">
            <v>Delita</v>
          </cell>
          <cell r="F98" t="str">
            <v>Osido</v>
          </cell>
          <cell r="G98" t="str">
            <v>Lhita</v>
          </cell>
          <cell r="I98" t="str">
            <v>1978-09-16</v>
          </cell>
          <cell r="J98">
            <v>2</v>
          </cell>
          <cell r="K98">
            <v>2</v>
          </cell>
          <cell r="L98" t="str">
            <v>Ronnick A. Calleja</v>
          </cell>
          <cell r="M98" t="str">
            <v>33-4015275-4</v>
          </cell>
          <cell r="N98" t="str">
            <v>906-318-613</v>
          </cell>
          <cell r="O98">
            <v>40</v>
          </cell>
          <cell r="P98">
            <v>441</v>
          </cell>
          <cell r="Q98">
            <v>21</v>
          </cell>
          <cell r="R98">
            <v>4</v>
          </cell>
          <cell r="S98">
            <v>0</v>
          </cell>
          <cell r="T98" t="str">
            <v>Ronnick A. Calleja
04-C Mulawin St., Pk. 3, Lower Bicutan, Taguig City</v>
          </cell>
          <cell r="U98" t="str">
            <v>1997-06-02</v>
          </cell>
        </row>
        <row r="99">
          <cell r="C99">
            <v>5302</v>
          </cell>
          <cell r="D99" t="str">
            <v>Dalisay</v>
          </cell>
          <cell r="E99" t="str">
            <v>Suzeth</v>
          </cell>
          <cell r="F99" t="str">
            <v>De Torres</v>
          </cell>
          <cell r="G99" t="str">
            <v>Zeth</v>
          </cell>
          <cell r="I99" t="str">
            <v>1979-10-24</v>
          </cell>
          <cell r="J99">
            <v>2</v>
          </cell>
          <cell r="K99">
            <v>1</v>
          </cell>
          <cell r="M99" t="str">
            <v>04-3177733-9</v>
          </cell>
          <cell r="N99" t="str">
            <v>906-318-688</v>
          </cell>
          <cell r="O99">
            <v>40</v>
          </cell>
          <cell r="P99">
            <v>147</v>
          </cell>
          <cell r="Q99">
            <v>28</v>
          </cell>
          <cell r="R99">
            <v>6</v>
          </cell>
          <cell r="S99">
            <v>0</v>
          </cell>
          <cell r="T99" t="str">
            <v xml:space="preserve">Max Dalisay
2952 VP Cruz St.Purok 5 
Lower Bicutan,Taguig City
0929-384-7466
</v>
          </cell>
          <cell r="U99" t="str">
            <v>1997-06-04</v>
          </cell>
        </row>
        <row r="100">
          <cell r="C100">
            <v>5306</v>
          </cell>
          <cell r="D100" t="str">
            <v>Perez</v>
          </cell>
          <cell r="E100" t="str">
            <v>Maria Leonora</v>
          </cell>
          <cell r="F100" t="str">
            <v>Evangelista</v>
          </cell>
          <cell r="G100" t="str">
            <v>Mhalou</v>
          </cell>
          <cell r="H100" t="str">
            <v>0945-993-5027</v>
          </cell>
          <cell r="I100" t="str">
            <v>1978-10-17</v>
          </cell>
          <cell r="J100">
            <v>2</v>
          </cell>
          <cell r="K100">
            <v>2</v>
          </cell>
          <cell r="L100" t="str">
            <v>Gilbert Perez</v>
          </cell>
          <cell r="M100" t="str">
            <v>33-2669589-5</v>
          </cell>
          <cell r="N100" t="str">
            <v>910-698-436</v>
          </cell>
          <cell r="O100">
            <v>41</v>
          </cell>
          <cell r="P100">
            <v>317</v>
          </cell>
          <cell r="Q100">
            <v>20</v>
          </cell>
          <cell r="R100">
            <v>4</v>
          </cell>
          <cell r="S100">
            <v>0</v>
          </cell>
          <cell r="T100" t="str">
            <v xml:space="preserve">Gilbert M. Perez
Blk. 12 Lot 31 South Fairway Homes Landayan San Pedro Laguna
0949-139-7069
</v>
          </cell>
          <cell r="U100" t="str">
            <v>1997-06-13</v>
          </cell>
        </row>
        <row r="101">
          <cell r="C101">
            <v>5319</v>
          </cell>
          <cell r="D101" t="str">
            <v>Ulanday</v>
          </cell>
          <cell r="E101" t="str">
            <v>Andres Jr.</v>
          </cell>
          <cell r="F101" t="str">
            <v>Soriano</v>
          </cell>
          <cell r="G101" t="str">
            <v>Andy</v>
          </cell>
          <cell r="I101" t="str">
            <v>1975-05-26</v>
          </cell>
          <cell r="J101">
            <v>1</v>
          </cell>
          <cell r="K101">
            <v>2</v>
          </cell>
          <cell r="L101" t="str">
            <v>Jocelyn S. Ulanday</v>
          </cell>
          <cell r="M101" t="str">
            <v>33-3762060-0</v>
          </cell>
          <cell r="N101" t="str">
            <v>910-698-188</v>
          </cell>
          <cell r="O101">
            <v>86</v>
          </cell>
          <cell r="P101">
            <v>466</v>
          </cell>
          <cell r="Q101">
            <v>33</v>
          </cell>
          <cell r="R101">
            <v>8</v>
          </cell>
          <cell r="S101">
            <v>0</v>
          </cell>
          <cell r="T101" t="str">
            <v xml:space="preserve">Jocelyn Ulanday
161 Bagong Tanyag, Taguig City
0949-671-2870
</v>
          </cell>
          <cell r="U101" t="str">
            <v>1997-06-24</v>
          </cell>
        </row>
        <row r="102">
          <cell r="C102">
            <v>5326</v>
          </cell>
          <cell r="D102" t="str">
            <v>Bogabil</v>
          </cell>
          <cell r="E102" t="str">
            <v>Fidela</v>
          </cell>
          <cell r="F102" t="str">
            <v>Onza</v>
          </cell>
          <cell r="G102" t="str">
            <v>Anna</v>
          </cell>
          <cell r="I102" t="str">
            <v>1977-02-26</v>
          </cell>
          <cell r="J102">
            <v>2</v>
          </cell>
          <cell r="K102">
            <v>2</v>
          </cell>
          <cell r="L102" t="str">
            <v>Razel G. Bogabil</v>
          </cell>
          <cell r="M102" t="str">
            <v>02-1484328-6</v>
          </cell>
          <cell r="N102" t="str">
            <v>910-698-227</v>
          </cell>
          <cell r="O102">
            <v>43</v>
          </cell>
          <cell r="P102">
            <v>492</v>
          </cell>
          <cell r="Q102">
            <v>55</v>
          </cell>
          <cell r="R102">
            <v>11</v>
          </cell>
          <cell r="S102">
            <v>0</v>
          </cell>
          <cell r="T102" t="str">
            <v xml:space="preserve">Razel G. Bogabil
#451-C Purok 6 M.L. Quezon St. Bagumbayan, Taguig City
0998-263-8109
</v>
          </cell>
          <cell r="U102" t="str">
            <v>1997-06-25</v>
          </cell>
        </row>
        <row r="103">
          <cell r="C103">
            <v>5331</v>
          </cell>
          <cell r="D103" t="str">
            <v>Carungay</v>
          </cell>
          <cell r="E103" t="str">
            <v>Nimfa</v>
          </cell>
          <cell r="F103" t="str">
            <v>PeÃ±aflor</v>
          </cell>
          <cell r="G103" t="str">
            <v>Phai</v>
          </cell>
          <cell r="H103" t="str">
            <v>0908-693-2180</v>
          </cell>
          <cell r="I103" t="str">
            <v>1979-11-27</v>
          </cell>
          <cell r="J103">
            <v>2</v>
          </cell>
          <cell r="K103">
            <v>3</v>
          </cell>
          <cell r="L103" t="str">
            <v>Anthony A. Carungay</v>
          </cell>
          <cell r="M103" t="str">
            <v>33-5200602-1</v>
          </cell>
          <cell r="N103" t="str">
            <v>910-698-105</v>
          </cell>
          <cell r="O103">
            <v>43</v>
          </cell>
          <cell r="P103">
            <v>492</v>
          </cell>
          <cell r="Q103">
            <v>55</v>
          </cell>
          <cell r="R103">
            <v>11</v>
          </cell>
          <cell r="S103">
            <v>0</v>
          </cell>
          <cell r="T103" t="str">
            <v>Reign Anne P. Carungay
No. 2 Purok 9 Bagong Tanyag 
Taguig City 
0916-294-5110</v>
          </cell>
          <cell r="U103" t="str">
            <v>1997-06-26</v>
          </cell>
        </row>
        <row r="104">
          <cell r="C104">
            <v>5352</v>
          </cell>
          <cell r="D104" t="str">
            <v>Donato</v>
          </cell>
          <cell r="E104" t="str">
            <v>Noeme</v>
          </cell>
          <cell r="F104" t="str">
            <v>Soriano</v>
          </cell>
          <cell r="G104" t="str">
            <v>Nhoe</v>
          </cell>
          <cell r="H104">
            <v>9206361994</v>
          </cell>
          <cell r="I104" t="str">
            <v>1977-02-14</v>
          </cell>
          <cell r="J104">
            <v>2</v>
          </cell>
          <cell r="K104">
            <v>1</v>
          </cell>
          <cell r="M104" t="str">
            <v>02-1415505-5</v>
          </cell>
          <cell r="N104" t="str">
            <v>216-426-151</v>
          </cell>
          <cell r="O104">
            <v>43</v>
          </cell>
          <cell r="P104">
            <v>492</v>
          </cell>
          <cell r="Q104">
            <v>55</v>
          </cell>
          <cell r="R104">
            <v>11</v>
          </cell>
          <cell r="S104">
            <v>0</v>
          </cell>
          <cell r="T104" t="str">
            <v xml:space="preserve">Noreen Donato
1054 Estrada St. Corner Bautista 
Malate Manila
0915-470-1078
</v>
          </cell>
          <cell r="U104" t="str">
            <v>1997-06-30</v>
          </cell>
        </row>
        <row r="105">
          <cell r="C105">
            <v>5356</v>
          </cell>
          <cell r="D105" t="str">
            <v>Dullavin</v>
          </cell>
          <cell r="E105" t="str">
            <v>Leonides</v>
          </cell>
          <cell r="F105" t="str">
            <v>Bersales</v>
          </cell>
          <cell r="G105" t="str">
            <v>Leo</v>
          </cell>
          <cell r="I105" t="str">
            <v>1976-09-11</v>
          </cell>
          <cell r="J105">
            <v>1</v>
          </cell>
          <cell r="K105">
            <v>2</v>
          </cell>
          <cell r="L105" t="str">
            <v>Jovy Dullavin</v>
          </cell>
          <cell r="M105" t="str">
            <v>33-4824181-6</v>
          </cell>
          <cell r="N105" t="str">
            <v>198-988-427</v>
          </cell>
          <cell r="O105">
            <v>86</v>
          </cell>
          <cell r="P105">
            <v>466</v>
          </cell>
          <cell r="Q105">
            <v>33</v>
          </cell>
          <cell r="R105">
            <v>8</v>
          </cell>
          <cell r="S105">
            <v>0</v>
          </cell>
          <cell r="T105" t="str">
            <v xml:space="preserve">Jovy Dullavin
177 Bautista St. Bayanan Muntinlupa City
09487288573
</v>
          </cell>
          <cell r="U105" t="str">
            <v>1997-07-01</v>
          </cell>
        </row>
        <row r="106">
          <cell r="C106">
            <v>5365</v>
          </cell>
          <cell r="D106" t="str">
            <v>Relano</v>
          </cell>
          <cell r="E106" t="str">
            <v>Miguel</v>
          </cell>
          <cell r="F106" t="str">
            <v>Rance</v>
          </cell>
          <cell r="G106" t="str">
            <v>Mig's</v>
          </cell>
          <cell r="H106" t="str">
            <v>789-8489</v>
          </cell>
          <cell r="I106" t="str">
            <v>1975-09-29</v>
          </cell>
          <cell r="J106">
            <v>1</v>
          </cell>
          <cell r="K106">
            <v>2</v>
          </cell>
          <cell r="L106" t="str">
            <v>Diana Jean Paalisbo</v>
          </cell>
          <cell r="M106" t="str">
            <v>33-2612574-7</v>
          </cell>
          <cell r="N106" t="str">
            <v>910-698-485</v>
          </cell>
          <cell r="O106">
            <v>41</v>
          </cell>
          <cell r="P106">
            <v>474</v>
          </cell>
          <cell r="Q106">
            <v>49</v>
          </cell>
          <cell r="R106">
            <v>8</v>
          </cell>
          <cell r="S106">
            <v>0</v>
          </cell>
          <cell r="T106" t="str">
            <v xml:space="preserve">ADELINA RELANO
B15 L70 Dream Land Signal Village 
Taguig  City
0910-472-6975
</v>
          </cell>
          <cell r="U106" t="str">
            <v>1997-07-07</v>
          </cell>
        </row>
        <row r="107">
          <cell r="C107">
            <v>5379</v>
          </cell>
          <cell r="D107" t="str">
            <v>Soco</v>
          </cell>
          <cell r="E107" t="str">
            <v>Shirine</v>
          </cell>
          <cell r="F107" t="str">
            <v>Esquilon</v>
          </cell>
          <cell r="G107" t="str">
            <v>Dhel</v>
          </cell>
          <cell r="I107" t="str">
            <v>1980-10-03</v>
          </cell>
          <cell r="J107">
            <v>2</v>
          </cell>
          <cell r="K107">
            <v>1</v>
          </cell>
          <cell r="M107" t="str">
            <v>33-5200626-7</v>
          </cell>
          <cell r="N107" t="str">
            <v>909-139-263</v>
          </cell>
          <cell r="O107">
            <v>43</v>
          </cell>
          <cell r="P107">
            <v>472</v>
          </cell>
          <cell r="Q107">
            <v>34</v>
          </cell>
          <cell r="R107">
            <v>8</v>
          </cell>
          <cell r="S107">
            <v>0</v>
          </cell>
          <cell r="T107" t="str">
            <v xml:space="preserve">Shirley E. Soco
Calauan, Laguna
0919-972-8836
</v>
          </cell>
          <cell r="U107" t="str">
            <v>1997-07-16</v>
          </cell>
        </row>
        <row r="108">
          <cell r="C108">
            <v>5390</v>
          </cell>
          <cell r="D108" t="str">
            <v>Palingcod</v>
          </cell>
          <cell r="E108" t="str">
            <v>Elma</v>
          </cell>
          <cell r="F108" t="str">
            <v>Ansit</v>
          </cell>
          <cell r="G108" t="str">
            <v xml:space="preserve">El-El </v>
          </cell>
          <cell r="I108" t="str">
            <v>1975-01-10</v>
          </cell>
          <cell r="J108">
            <v>2</v>
          </cell>
          <cell r="K108">
            <v>2</v>
          </cell>
          <cell r="L108" t="str">
            <v>Edwin Palingcod</v>
          </cell>
          <cell r="M108" t="str">
            <v>33-4470410-8</v>
          </cell>
          <cell r="N108" t="str">
            <v>909-138-916</v>
          </cell>
          <cell r="O108">
            <v>43</v>
          </cell>
          <cell r="P108">
            <v>146</v>
          </cell>
          <cell r="Q108">
            <v>27</v>
          </cell>
          <cell r="R108">
            <v>6</v>
          </cell>
          <cell r="S108">
            <v>0</v>
          </cell>
          <cell r="T108" t="str">
            <v xml:space="preserve">Edwin Palingcod
B47 L5 NBP Housing,Muntinlupa City
</v>
          </cell>
          <cell r="U108" t="str">
            <v>1997-07-28</v>
          </cell>
        </row>
        <row r="109">
          <cell r="C109">
            <v>5492</v>
          </cell>
          <cell r="D109" t="str">
            <v>Lopez</v>
          </cell>
          <cell r="E109" t="str">
            <v>Georgina</v>
          </cell>
          <cell r="F109" t="str">
            <v>Llanera</v>
          </cell>
          <cell r="G109" t="str">
            <v>George</v>
          </cell>
          <cell r="H109" t="str">
            <v>0997-994-0349</v>
          </cell>
          <cell r="I109" t="str">
            <v>1977-07-14</v>
          </cell>
          <cell r="J109">
            <v>2</v>
          </cell>
          <cell r="K109">
            <v>1</v>
          </cell>
          <cell r="M109" t="str">
            <v>33-5050874-1</v>
          </cell>
          <cell r="N109" t="str">
            <v>216-426-897</v>
          </cell>
          <cell r="O109">
            <v>43</v>
          </cell>
          <cell r="P109">
            <v>492</v>
          </cell>
          <cell r="Q109">
            <v>55</v>
          </cell>
          <cell r="R109">
            <v>11</v>
          </cell>
          <cell r="S109">
            <v>0</v>
          </cell>
          <cell r="T109" t="str">
            <v xml:space="preserve">Dhen April L. Venus
Blk.25 Lot 2 Extraordinary Homes PH7 
Mamatid Cabuyao Laguna
</v>
          </cell>
          <cell r="U109" t="str">
            <v>1997-09-17</v>
          </cell>
        </row>
        <row r="110">
          <cell r="C110">
            <v>5493</v>
          </cell>
          <cell r="D110" t="str">
            <v>Talagtag</v>
          </cell>
          <cell r="E110" t="str">
            <v>Arlyn</v>
          </cell>
          <cell r="F110" t="str">
            <v>Canonce</v>
          </cell>
          <cell r="G110" t="str">
            <v>Lhyn</v>
          </cell>
          <cell r="H110">
            <v>93588100180</v>
          </cell>
          <cell r="I110" t="str">
            <v>1974-11-20</v>
          </cell>
          <cell r="J110">
            <v>2</v>
          </cell>
          <cell r="K110">
            <v>2</v>
          </cell>
          <cell r="L110" t="str">
            <v>Jesus J. Talagtag</v>
          </cell>
          <cell r="M110" t="str">
            <v>33-3833743-9</v>
          </cell>
          <cell r="N110" t="str">
            <v>217-004-782</v>
          </cell>
          <cell r="O110">
            <v>43</v>
          </cell>
          <cell r="P110">
            <v>493</v>
          </cell>
          <cell r="Q110">
            <v>55</v>
          </cell>
          <cell r="R110">
            <v>11</v>
          </cell>
          <cell r="S110">
            <v>0</v>
          </cell>
          <cell r="T110" t="str">
            <v>Jesus Talagatag
Bldg. 20 RM 111 ,Centennial Village, Western Bicutan, Taguig City
09666228398</v>
          </cell>
          <cell r="U110" t="str">
            <v>1997-09-17</v>
          </cell>
        </row>
        <row r="111">
          <cell r="C111">
            <v>5503</v>
          </cell>
          <cell r="D111" t="str">
            <v>Mendoza</v>
          </cell>
          <cell r="E111" t="str">
            <v>Marites</v>
          </cell>
          <cell r="F111" t="str">
            <v>Ronquillo</v>
          </cell>
          <cell r="G111" t="str">
            <v>Thess</v>
          </cell>
          <cell r="H111">
            <v>9991007369</v>
          </cell>
          <cell r="I111" t="str">
            <v>1980-03-07</v>
          </cell>
          <cell r="J111">
            <v>2</v>
          </cell>
          <cell r="K111">
            <v>3</v>
          </cell>
          <cell r="L111" t="str">
            <v>Efren G. Mendoza</v>
          </cell>
          <cell r="M111" t="str">
            <v>33-5196967-7</v>
          </cell>
          <cell r="N111" t="str">
            <v>909-139-214</v>
          </cell>
          <cell r="O111">
            <v>43</v>
          </cell>
          <cell r="P111">
            <v>493</v>
          </cell>
          <cell r="Q111">
            <v>55</v>
          </cell>
          <cell r="R111">
            <v>11</v>
          </cell>
          <cell r="S111">
            <v>0</v>
          </cell>
          <cell r="T111" t="str">
            <v xml:space="preserve">Efren G. Mendoza
264 Sitio Sto. NiÃ±o San Martin de Porres ParaÃ±aque City
09082577185
</v>
          </cell>
          <cell r="U111" t="str">
            <v>1997-09-17</v>
          </cell>
        </row>
        <row r="112">
          <cell r="C112">
            <v>5504</v>
          </cell>
          <cell r="D112" t="str">
            <v>De Mesa</v>
          </cell>
          <cell r="E112" t="str">
            <v>Mary Jane</v>
          </cell>
          <cell r="F112" t="str">
            <v>Pujeda</v>
          </cell>
          <cell r="G112" t="str">
            <v>Jhane</v>
          </cell>
          <cell r="I112" t="str">
            <v>1977-08-10</v>
          </cell>
          <cell r="J112">
            <v>2</v>
          </cell>
          <cell r="K112">
            <v>2</v>
          </cell>
          <cell r="L112" t="str">
            <v>Richard De Mesa</v>
          </cell>
          <cell r="M112" t="str">
            <v>33-2756503-4</v>
          </cell>
          <cell r="N112" t="str">
            <v>911-531-900</v>
          </cell>
          <cell r="O112">
            <v>43</v>
          </cell>
          <cell r="P112">
            <v>493</v>
          </cell>
          <cell r="Q112">
            <v>55</v>
          </cell>
          <cell r="R112">
            <v>11</v>
          </cell>
          <cell r="S112">
            <v>0</v>
          </cell>
          <cell r="T112" t="str">
            <v xml:space="preserve">Richard B. de Mesa
#489-O MLQ St. P6 Lower Bicutan 
Taguig City
09293404175
</v>
          </cell>
          <cell r="U112" t="str">
            <v>1997-09-19</v>
          </cell>
        </row>
        <row r="113">
          <cell r="C113" t="str">
            <v>E008</v>
          </cell>
          <cell r="D113" t="str">
            <v>Carranza</v>
          </cell>
          <cell r="E113" t="str">
            <v>Arjay</v>
          </cell>
          <cell r="F113" t="str">
            <v>OÃ±a</v>
          </cell>
          <cell r="G113" t="str">
            <v>Jay / Rj</v>
          </cell>
          <cell r="I113" t="str">
            <v>1989-05-07</v>
          </cell>
          <cell r="J113">
            <v>1</v>
          </cell>
          <cell r="K113">
            <v>1</v>
          </cell>
          <cell r="M113" t="str">
            <v>04-2117752-5</v>
          </cell>
          <cell r="N113" t="str">
            <v>286-654-825</v>
          </cell>
          <cell r="O113">
            <v>113</v>
          </cell>
          <cell r="P113">
            <v>484</v>
          </cell>
          <cell r="Q113">
            <v>60</v>
          </cell>
          <cell r="R113">
            <v>11</v>
          </cell>
          <cell r="S113">
            <v>0</v>
          </cell>
          <cell r="T113" t="str">
            <v xml:space="preserve">Felicidad O. Carranza
Blk.11 Lot 14 Carmelray GK Village, Canlubang, Calamba City Laguna
0906-249-2283
</v>
          </cell>
          <cell r="U113" t="str">
            <v>2009-11-20</v>
          </cell>
        </row>
        <row r="114">
          <cell r="C114">
            <v>5523</v>
          </cell>
          <cell r="D114" t="str">
            <v>Bigueja</v>
          </cell>
          <cell r="E114" t="str">
            <v>Jochebed</v>
          </cell>
          <cell r="F114" t="str">
            <v>Sulmaca</v>
          </cell>
          <cell r="G114" t="str">
            <v>Bhed</v>
          </cell>
          <cell r="H114" t="str">
            <v>0933-875-8861</v>
          </cell>
          <cell r="I114" t="str">
            <v>1977-02-26</v>
          </cell>
          <cell r="J114">
            <v>2</v>
          </cell>
          <cell r="K114">
            <v>2</v>
          </cell>
          <cell r="L114" t="str">
            <v>Restituto D. Bigueja</v>
          </cell>
          <cell r="M114" t="str">
            <v>33-4253873-2</v>
          </cell>
          <cell r="N114" t="str">
            <v>909-139-407</v>
          </cell>
          <cell r="O114">
            <v>80</v>
          </cell>
          <cell r="P114">
            <v>375</v>
          </cell>
          <cell r="Q114">
            <v>51</v>
          </cell>
          <cell r="R114">
            <v>1</v>
          </cell>
          <cell r="S114">
            <v>0</v>
          </cell>
          <cell r="T114" t="str">
            <v xml:space="preserve">Restituto D. Bigueja
L38 B52 #27A Ricahuerta St.
Purok 2, Upper Bicutan
Taguig City
09195869981
</v>
          </cell>
          <cell r="U114" t="str">
            <v>1997-11-10</v>
          </cell>
        </row>
        <row r="115">
          <cell r="C115">
            <v>5524</v>
          </cell>
          <cell r="D115" t="str">
            <v>Santos</v>
          </cell>
          <cell r="E115" t="str">
            <v>Rene Ros</v>
          </cell>
          <cell r="F115" t="str">
            <v>Franco</v>
          </cell>
          <cell r="G115" t="str">
            <v>Rene / Renz</v>
          </cell>
          <cell r="H115" t="str">
            <v>0919-502-8317</v>
          </cell>
          <cell r="I115" t="str">
            <v>1970-05-14</v>
          </cell>
          <cell r="J115">
            <v>1</v>
          </cell>
          <cell r="K115">
            <v>2</v>
          </cell>
          <cell r="L115" t="str">
            <v>Eloisa Santos</v>
          </cell>
          <cell r="M115" t="str">
            <v>03-8862107-5</v>
          </cell>
          <cell r="N115" t="str">
            <v>909-139-415</v>
          </cell>
          <cell r="O115">
            <v>41</v>
          </cell>
          <cell r="P115">
            <v>494</v>
          </cell>
          <cell r="Q115">
            <v>57</v>
          </cell>
          <cell r="R115">
            <v>11</v>
          </cell>
          <cell r="S115">
            <v>0</v>
          </cell>
          <cell r="T115" t="str">
            <v>Eloisa O.Santos
B14 L5 2nd St., New Era,
DasmariÃ±as Cavite
0919-502-8317</v>
          </cell>
          <cell r="U115" t="str">
            <v>1997-11-10</v>
          </cell>
        </row>
        <row r="116">
          <cell r="C116">
            <v>5529</v>
          </cell>
          <cell r="D116" t="str">
            <v>Salamia</v>
          </cell>
          <cell r="E116" t="str">
            <v>Roger</v>
          </cell>
          <cell r="F116" t="str">
            <v>Rile</v>
          </cell>
          <cell r="G116" t="str">
            <v>Utoy</v>
          </cell>
          <cell r="H116" t="str">
            <v xml:space="preserve">(02) 223-0755 </v>
          </cell>
          <cell r="I116" t="str">
            <v>1966-06-15</v>
          </cell>
          <cell r="J116">
            <v>1</v>
          </cell>
          <cell r="K116">
            <v>2</v>
          </cell>
          <cell r="L116" t="str">
            <v>Jocelyn Salamia</v>
          </cell>
          <cell r="M116" t="str">
            <v>33-0015010-7</v>
          </cell>
          <cell r="N116" t="str">
            <v>115-547-251</v>
          </cell>
          <cell r="O116">
            <v>31</v>
          </cell>
          <cell r="P116">
            <v>403</v>
          </cell>
          <cell r="Q116">
            <v>51</v>
          </cell>
          <cell r="R116">
            <v>1</v>
          </cell>
          <cell r="S116">
            <v>0</v>
          </cell>
          <cell r="T116" t="str">
            <v xml:space="preserve">Jocelyn L. Salamia
Palayan Village, Bagumbayan, Taguig City
(02) 223-0755
</v>
          </cell>
          <cell r="U116" t="str">
            <v>1997-11-19</v>
          </cell>
        </row>
        <row r="117">
          <cell r="C117">
            <v>5578</v>
          </cell>
          <cell r="D117" t="str">
            <v>Abay</v>
          </cell>
          <cell r="E117" t="str">
            <v>Gilyn</v>
          </cell>
          <cell r="F117" t="str">
            <v>Escatron</v>
          </cell>
          <cell r="G117" t="str">
            <v>Ghie</v>
          </cell>
          <cell r="I117" t="str">
            <v>1979-02-03</v>
          </cell>
          <cell r="J117">
            <v>2</v>
          </cell>
          <cell r="K117">
            <v>1</v>
          </cell>
          <cell r="M117" t="str">
            <v>33-4079209-1</v>
          </cell>
          <cell r="N117" t="str">
            <v>911-532-099</v>
          </cell>
          <cell r="O117">
            <v>43</v>
          </cell>
          <cell r="P117">
            <v>146</v>
          </cell>
          <cell r="Q117">
            <v>27</v>
          </cell>
          <cell r="R117">
            <v>6</v>
          </cell>
          <cell r="S117">
            <v>0</v>
          </cell>
          <cell r="T117" t="str">
            <v xml:space="preserve">Marilyn Abay
07 Patricio St.Purok 4 
Lower Bicutan,Taguig City
09196229530
</v>
          </cell>
          <cell r="U117" t="str">
            <v>1997-12-05</v>
          </cell>
        </row>
        <row r="118">
          <cell r="C118">
            <v>5604</v>
          </cell>
          <cell r="D118" t="str">
            <v>Tanay</v>
          </cell>
          <cell r="E118" t="str">
            <v>Cheryl</v>
          </cell>
          <cell r="F118" t="str">
            <v>Ramos</v>
          </cell>
          <cell r="G118" t="str">
            <v>Che</v>
          </cell>
          <cell r="H118" t="str">
            <v>0927-682-3473</v>
          </cell>
          <cell r="I118" t="str">
            <v>1979-01-06</v>
          </cell>
          <cell r="J118">
            <v>2</v>
          </cell>
          <cell r="K118">
            <v>1</v>
          </cell>
          <cell r="M118" t="str">
            <v>33-5193303-0</v>
          </cell>
          <cell r="N118" t="str">
            <v>903-328-387</v>
          </cell>
          <cell r="O118">
            <v>97</v>
          </cell>
          <cell r="P118">
            <v>497</v>
          </cell>
          <cell r="Q118">
            <v>68</v>
          </cell>
          <cell r="R118">
            <v>11</v>
          </cell>
          <cell r="S118">
            <v>0</v>
          </cell>
          <cell r="T118" t="str">
            <v xml:space="preserve">Lydia R. Tanay
#88 National Road Mutatan Muntinlupa City
0948-138-4132
</v>
          </cell>
          <cell r="U118" t="str">
            <v>1997-12-20</v>
          </cell>
        </row>
        <row r="119">
          <cell r="C119">
            <v>5614</v>
          </cell>
          <cell r="D119" t="str">
            <v>Balagot</v>
          </cell>
          <cell r="E119" t="str">
            <v>Cecelia</v>
          </cell>
          <cell r="F119" t="str">
            <v>Cagulada</v>
          </cell>
          <cell r="G119" t="str">
            <v>Cecile</v>
          </cell>
          <cell r="I119" t="str">
            <v>1978-10-03</v>
          </cell>
          <cell r="J119">
            <v>2</v>
          </cell>
          <cell r="K119">
            <v>2</v>
          </cell>
          <cell r="L119" t="str">
            <v>Arnel P. Balagot</v>
          </cell>
          <cell r="M119" t="str">
            <v>33-5195943-8</v>
          </cell>
          <cell r="N119" t="str">
            <v>205-002-229</v>
          </cell>
          <cell r="O119">
            <v>40</v>
          </cell>
          <cell r="P119">
            <v>439</v>
          </cell>
          <cell r="Q119">
            <v>21</v>
          </cell>
          <cell r="R119">
            <v>4</v>
          </cell>
          <cell r="S119">
            <v>0</v>
          </cell>
          <cell r="T119" t="str">
            <v xml:space="preserve">Arnel P. Balagot
#37 Purok 9 Bagong Tanyag, Taguig City
09297961982
</v>
          </cell>
          <cell r="U119" t="str">
            <v>1998-01-05</v>
          </cell>
        </row>
        <row r="120">
          <cell r="C120">
            <v>5629</v>
          </cell>
          <cell r="D120" t="str">
            <v>Mapalad</v>
          </cell>
          <cell r="E120" t="str">
            <v>Elena</v>
          </cell>
          <cell r="F120" t="str">
            <v>Guban</v>
          </cell>
          <cell r="G120" t="str">
            <v>Ellen</v>
          </cell>
          <cell r="I120" t="str">
            <v>1975-07-15</v>
          </cell>
          <cell r="J120">
            <v>2</v>
          </cell>
          <cell r="K120">
            <v>2</v>
          </cell>
          <cell r="L120" t="str">
            <v>Manuel M. Mapalad</v>
          </cell>
          <cell r="M120" t="str">
            <v>33-4745074-7</v>
          </cell>
          <cell r="N120" t="str">
            <v>206-672-128</v>
          </cell>
          <cell r="O120">
            <v>43</v>
          </cell>
          <cell r="P120">
            <v>493</v>
          </cell>
          <cell r="Q120">
            <v>55</v>
          </cell>
          <cell r="R120">
            <v>11</v>
          </cell>
          <cell r="S120">
            <v>0</v>
          </cell>
          <cell r="T120" t="str">
            <v>Keneth Jay G. Mapalad
B1 L37 Birmingham Village, 
Brgy. Pulo, Cabuyao City
0946-921-9378</v>
          </cell>
          <cell r="U120" t="str">
            <v>1998-01-14</v>
          </cell>
        </row>
        <row r="121">
          <cell r="C121">
            <v>5637</v>
          </cell>
          <cell r="D121" t="str">
            <v>Contrador</v>
          </cell>
          <cell r="E121" t="str">
            <v>Valintin</v>
          </cell>
          <cell r="F121" t="str">
            <v>Postolero</v>
          </cell>
          <cell r="G121" t="str">
            <v>Val</v>
          </cell>
          <cell r="I121" t="str">
            <v>1972-12-16</v>
          </cell>
          <cell r="J121">
            <v>1</v>
          </cell>
          <cell r="K121">
            <v>2</v>
          </cell>
          <cell r="L121" t="str">
            <v>Imelda Garcia Contrador</v>
          </cell>
          <cell r="M121" t="str">
            <v>33-3352167-7</v>
          </cell>
          <cell r="N121" t="str">
            <v>909-139-796</v>
          </cell>
          <cell r="O121">
            <v>31</v>
          </cell>
          <cell r="P121">
            <v>403</v>
          </cell>
          <cell r="Q121">
            <v>51</v>
          </cell>
          <cell r="R121">
            <v>1</v>
          </cell>
          <cell r="S121">
            <v>0</v>
          </cell>
          <cell r="T121" t="str">
            <v xml:space="preserve">Imelda G. Contrador
49 Cupang, Muntinlupa City
09083355306
</v>
          </cell>
          <cell r="U121" t="str">
            <v>1998-01-17</v>
          </cell>
        </row>
        <row r="122">
          <cell r="C122">
            <v>5677</v>
          </cell>
          <cell r="D122" t="str">
            <v>Ballat</v>
          </cell>
          <cell r="E122" t="str">
            <v>Gina</v>
          </cell>
          <cell r="F122" t="str">
            <v>Vergara</v>
          </cell>
          <cell r="G122" t="str">
            <v>Gie</v>
          </cell>
          <cell r="H122" t="str">
            <v>0920-388-8838</v>
          </cell>
          <cell r="I122" t="str">
            <v>1977-06-06</v>
          </cell>
          <cell r="J122">
            <v>2</v>
          </cell>
          <cell r="K122">
            <v>2</v>
          </cell>
          <cell r="L122" t="str">
            <v>Ricardo Ballat Jr.</v>
          </cell>
          <cell r="M122" t="str">
            <v>33-5184741-4</v>
          </cell>
          <cell r="N122" t="str">
            <v>216-434-941</v>
          </cell>
          <cell r="O122">
            <v>43</v>
          </cell>
          <cell r="P122">
            <v>493</v>
          </cell>
          <cell r="Q122">
            <v>55</v>
          </cell>
          <cell r="R122">
            <v>11</v>
          </cell>
          <cell r="S122">
            <v>0</v>
          </cell>
          <cell r="T122" t="str">
            <v xml:space="preserve">Ricardo Ballat Jr.
# 777 Purok 1 Cupang Muntinlupa City
0921-576-5304
</v>
          </cell>
          <cell r="U122" t="str">
            <v>1998-01-23</v>
          </cell>
        </row>
        <row r="123">
          <cell r="C123">
            <v>5701</v>
          </cell>
          <cell r="D123" t="str">
            <v>Handayan</v>
          </cell>
          <cell r="E123" t="str">
            <v>Diana Jane</v>
          </cell>
          <cell r="F123" t="str">
            <v>Carpio</v>
          </cell>
          <cell r="G123" t="str">
            <v>Jeng-jeng</v>
          </cell>
          <cell r="H123" t="str">
            <v>0949-577-8442</v>
          </cell>
          <cell r="I123" t="str">
            <v>1978-05-11</v>
          </cell>
          <cell r="J123">
            <v>2</v>
          </cell>
          <cell r="K123">
            <v>1</v>
          </cell>
          <cell r="M123" t="str">
            <v>33-5031020-1</v>
          </cell>
          <cell r="N123" t="str">
            <v>908-417-964</v>
          </cell>
          <cell r="O123">
            <v>83</v>
          </cell>
          <cell r="P123">
            <v>501</v>
          </cell>
          <cell r="Q123">
            <v>63</v>
          </cell>
          <cell r="R123">
            <v>12</v>
          </cell>
          <cell r="S123">
            <v>0</v>
          </cell>
          <cell r="T123" t="str">
            <v>Jennilyn H. De Leon 
#16 Camia St. Wawa, Taguig City
0916-798-5278</v>
          </cell>
          <cell r="U123" t="str">
            <v>1998-02-02</v>
          </cell>
        </row>
        <row r="124">
          <cell r="C124">
            <v>5796</v>
          </cell>
          <cell r="D124" t="str">
            <v>Mendoza</v>
          </cell>
          <cell r="E124" t="str">
            <v>Nolasco</v>
          </cell>
          <cell r="F124" t="str">
            <v>Ramirez</v>
          </cell>
          <cell r="G124" t="str">
            <v>Ollan</v>
          </cell>
          <cell r="I124" t="str">
            <v>1979-08-02</v>
          </cell>
          <cell r="J124">
            <v>1</v>
          </cell>
          <cell r="K124">
            <v>2</v>
          </cell>
          <cell r="L124" t="str">
            <v>Evangeline P. Remoluna</v>
          </cell>
          <cell r="M124" t="str">
            <v>33-4283212-4</v>
          </cell>
          <cell r="N124" t="str">
            <v>196-093-655</v>
          </cell>
          <cell r="O124">
            <v>82</v>
          </cell>
          <cell r="P124">
            <v>435</v>
          </cell>
          <cell r="Q124">
            <v>19</v>
          </cell>
          <cell r="R124">
            <v>4</v>
          </cell>
          <cell r="S124">
            <v>0</v>
          </cell>
          <cell r="T124" t="str">
            <v xml:space="preserve">Evangeline Mendoza
39A Sitio De-asis Brgy. SMDP 
ParaÃ±aque City
0939-171-2964
</v>
          </cell>
          <cell r="U124" t="str">
            <v>1998-03-30</v>
          </cell>
        </row>
        <row r="125">
          <cell r="C125" t="str">
            <v>H014</v>
          </cell>
          <cell r="D125" t="str">
            <v>Castillo</v>
          </cell>
          <cell r="E125" t="str">
            <v>John Patrick</v>
          </cell>
          <cell r="F125" t="str">
            <v>Feliciano</v>
          </cell>
          <cell r="G125" t="str">
            <v>Pat / Trik</v>
          </cell>
          <cell r="H125" t="str">
            <v>0927-057-7044</v>
          </cell>
          <cell r="I125" t="str">
            <v>1984-11-05</v>
          </cell>
          <cell r="J125">
            <v>1</v>
          </cell>
          <cell r="K125">
            <v>2</v>
          </cell>
          <cell r="L125" t="str">
            <v>Lalein Magpili Lagunias</v>
          </cell>
          <cell r="M125" t="str">
            <v>34-1090731-8</v>
          </cell>
          <cell r="N125" t="str">
            <v>252-298-025</v>
          </cell>
          <cell r="O125">
            <v>117</v>
          </cell>
          <cell r="P125">
            <v>484</v>
          </cell>
          <cell r="Q125">
            <v>60</v>
          </cell>
          <cell r="R125">
            <v>11</v>
          </cell>
          <cell r="S125">
            <v>0</v>
          </cell>
          <cell r="T125" t="str">
            <v>Lalein L. Castillo
B24 L47 5th St. Berkeley Heights Subdivision Brgy Pulong Sta Cruz, Santa Rosa City, Laguna
0922-772-4935</v>
          </cell>
          <cell r="U125" t="str">
            <v>2012-10-11</v>
          </cell>
        </row>
        <row r="126">
          <cell r="C126">
            <v>7651</v>
          </cell>
          <cell r="D126" t="str">
            <v>Palencia</v>
          </cell>
          <cell r="E126" t="str">
            <v>Medelina</v>
          </cell>
          <cell r="F126" t="str">
            <v>Dumandan</v>
          </cell>
          <cell r="G126" t="str">
            <v>Lyn /Lina</v>
          </cell>
          <cell r="I126" t="str">
            <v>1980-01-27</v>
          </cell>
          <cell r="J126">
            <v>2</v>
          </cell>
          <cell r="K126">
            <v>2</v>
          </cell>
          <cell r="L126" t="str">
            <v>Valentine G. Palencia</v>
          </cell>
          <cell r="M126" t="str">
            <v>33-7245883-7</v>
          </cell>
          <cell r="N126" t="str">
            <v>217-151-446</v>
          </cell>
          <cell r="O126">
            <v>8</v>
          </cell>
          <cell r="P126">
            <v>7</v>
          </cell>
          <cell r="Q126">
            <v>4</v>
          </cell>
          <cell r="R126">
            <v>1</v>
          </cell>
          <cell r="S126">
            <v>0</v>
          </cell>
          <cell r="T126" t="str">
            <v xml:space="preserve">Valentine Palencia
Blk. 3 Lot 11 Hacienda Hills Subd. 
Brgy. Palo Alto Calamba City
0928-5921028
</v>
          </cell>
          <cell r="U126" t="str">
            <v>2002-07-22</v>
          </cell>
        </row>
        <row r="127">
          <cell r="C127">
            <v>6554</v>
          </cell>
          <cell r="D127" t="str">
            <v>Solibel</v>
          </cell>
          <cell r="E127" t="str">
            <v>Simeon</v>
          </cell>
          <cell r="F127" t="str">
            <v>Santos</v>
          </cell>
          <cell r="G127" t="str">
            <v>Semmie</v>
          </cell>
          <cell r="I127" t="str">
            <v>1966-02-18</v>
          </cell>
          <cell r="J127">
            <v>1</v>
          </cell>
          <cell r="K127">
            <v>2</v>
          </cell>
          <cell r="L127" t="str">
            <v>Lea  L. Solibel</v>
          </cell>
          <cell r="M127" t="str">
            <v>03-8712990-5</v>
          </cell>
          <cell r="N127" t="str">
            <v>157-238-158</v>
          </cell>
          <cell r="O127">
            <v>35</v>
          </cell>
          <cell r="P127">
            <v>375</v>
          </cell>
          <cell r="Q127">
            <v>51</v>
          </cell>
          <cell r="R127">
            <v>1</v>
          </cell>
          <cell r="S127">
            <v>0</v>
          </cell>
          <cell r="T127" t="str">
            <v xml:space="preserve">Lea L. Solibel
247-O Bagumbayan Taguig City
0929-159-2596
</v>
          </cell>
          <cell r="U127" t="str">
            <v>2000-01-12</v>
          </cell>
        </row>
        <row r="128">
          <cell r="C128">
            <v>6558</v>
          </cell>
          <cell r="D128" t="str">
            <v>Boncayao</v>
          </cell>
          <cell r="E128" t="str">
            <v>Maria</v>
          </cell>
          <cell r="F128" t="str">
            <v>Pendor</v>
          </cell>
          <cell r="G128" t="str">
            <v>Marie</v>
          </cell>
          <cell r="H128" t="str">
            <v>0906-052-58-11</v>
          </cell>
          <cell r="I128" t="str">
            <v>1973-11-26</v>
          </cell>
          <cell r="J128">
            <v>2</v>
          </cell>
          <cell r="K128">
            <v>2</v>
          </cell>
          <cell r="L128" t="str">
            <v>Glenn T. Boncayao</v>
          </cell>
          <cell r="M128" t="str">
            <v>05-0505450-6</v>
          </cell>
          <cell r="N128" t="str">
            <v>912-346-493</v>
          </cell>
          <cell r="O128">
            <v>123</v>
          </cell>
          <cell r="P128">
            <v>401</v>
          </cell>
          <cell r="Q128">
            <v>51</v>
          </cell>
          <cell r="R128">
            <v>1</v>
          </cell>
          <cell r="S128">
            <v>0</v>
          </cell>
          <cell r="T128" t="str">
            <v>Glenn T. Boncayao
B25 L37 Centennial Townhomes,
San Isidro Heights, Cabuyao, Laguna</v>
          </cell>
          <cell r="U128" t="str">
            <v>2000-01-26</v>
          </cell>
        </row>
        <row r="129">
          <cell r="C129">
            <v>5955</v>
          </cell>
          <cell r="D129" t="str">
            <v>Mondok</v>
          </cell>
          <cell r="E129" t="str">
            <v>Lito</v>
          </cell>
          <cell r="F129" t="str">
            <v>Cera</v>
          </cell>
          <cell r="G129" t="str">
            <v>Lito</v>
          </cell>
          <cell r="H129" t="str">
            <v>806-1944 / 806</v>
          </cell>
          <cell r="I129" t="str">
            <v>1955-11-04</v>
          </cell>
          <cell r="J129">
            <v>1</v>
          </cell>
          <cell r="K129">
            <v>2</v>
          </cell>
          <cell r="L129" t="str">
            <v>Lilibeth H. Mondok</v>
          </cell>
          <cell r="M129" t="str">
            <v>03-3753049-2</v>
          </cell>
          <cell r="N129" t="str">
            <v>120-129-599</v>
          </cell>
          <cell r="O129">
            <v>59</v>
          </cell>
          <cell r="P129">
            <v>2</v>
          </cell>
          <cell r="Q129">
            <v>2</v>
          </cell>
          <cell r="R129">
            <v>1</v>
          </cell>
          <cell r="S129">
            <v>0</v>
          </cell>
          <cell r="T129" t="str">
            <v>Lilibeth H. Mondok
110 Mahogany Road, Pilar Village,
Las Pinas City</v>
          </cell>
          <cell r="U129" t="str">
            <v>1998-06-22</v>
          </cell>
        </row>
        <row r="130">
          <cell r="C130">
            <v>6088</v>
          </cell>
          <cell r="D130" t="str">
            <v>Alfelor</v>
          </cell>
          <cell r="E130" t="str">
            <v>Emma</v>
          </cell>
          <cell r="F130" t="str">
            <v>Valencia</v>
          </cell>
          <cell r="G130" t="str">
            <v>Emms</v>
          </cell>
          <cell r="H130" t="str">
            <v>0923-7439-599</v>
          </cell>
          <cell r="I130" t="str">
            <v>1975-01-26</v>
          </cell>
          <cell r="J130">
            <v>2</v>
          </cell>
          <cell r="K130">
            <v>2</v>
          </cell>
          <cell r="L130" t="str">
            <v>Randy A. Alfelor</v>
          </cell>
          <cell r="M130" t="str">
            <v>33-5578178-3</v>
          </cell>
          <cell r="N130" t="str">
            <v>207-774-800</v>
          </cell>
          <cell r="O130">
            <v>80</v>
          </cell>
          <cell r="P130">
            <v>401</v>
          </cell>
          <cell r="Q130">
            <v>51</v>
          </cell>
          <cell r="R130">
            <v>1</v>
          </cell>
          <cell r="S130">
            <v>0</v>
          </cell>
          <cell r="T130" t="str">
            <v xml:space="preserve">Randy A. Alfelor
B22, L26, EPV Village Phase 1, 
Brgy. Pinagsama, Taguig City
0999-5379634
</v>
          </cell>
          <cell r="U130" t="str">
            <v>1999-04-05</v>
          </cell>
        </row>
        <row r="131">
          <cell r="C131">
            <v>8909</v>
          </cell>
          <cell r="D131" t="str">
            <v>Lacre</v>
          </cell>
          <cell r="E131" t="str">
            <v>Julie Anne</v>
          </cell>
          <cell r="F131" t="str">
            <v>Garcia</v>
          </cell>
          <cell r="G131" t="str">
            <v>Julie</v>
          </cell>
          <cell r="H131" t="str">
            <v>0998-847-9912</v>
          </cell>
          <cell r="I131" t="str">
            <v>1981-07-24</v>
          </cell>
          <cell r="J131">
            <v>2</v>
          </cell>
          <cell r="K131">
            <v>2</v>
          </cell>
          <cell r="L131" t="str">
            <v>Benjamin Joseph L. Lacre</v>
          </cell>
          <cell r="M131" t="str">
            <v>04-1315443-3</v>
          </cell>
          <cell r="N131" t="str">
            <v>224-683-274</v>
          </cell>
          <cell r="O131">
            <v>8</v>
          </cell>
          <cell r="P131">
            <v>498</v>
          </cell>
          <cell r="Q131">
            <v>67</v>
          </cell>
          <cell r="R131">
            <v>12</v>
          </cell>
          <cell r="S131">
            <v>0</v>
          </cell>
          <cell r="T131" t="str">
            <v>Benjamin Joseph L. Lacre
B8 L8  Ilang-ilang St.
El-Vinda Village, San Pedro Laguna
0916-696-0808</v>
          </cell>
          <cell r="U131" t="str">
            <v>2004-07-21</v>
          </cell>
        </row>
        <row r="132">
          <cell r="C132" t="str">
            <v>F014</v>
          </cell>
          <cell r="D132" t="str">
            <v>Garcia</v>
          </cell>
          <cell r="E132" t="str">
            <v>Mary Ann Rose</v>
          </cell>
          <cell r="F132" t="str">
            <v>Tulayan</v>
          </cell>
          <cell r="G132" t="str">
            <v>Meann</v>
          </cell>
          <cell r="H132" t="str">
            <v>0917-6655113</v>
          </cell>
          <cell r="I132" t="str">
            <v>1982-10-25</v>
          </cell>
          <cell r="J132">
            <v>2</v>
          </cell>
          <cell r="K132">
            <v>2</v>
          </cell>
          <cell r="L132" t="str">
            <v>Mark Anthony Garcia</v>
          </cell>
          <cell r="M132" t="str">
            <v>04-1083326-5</v>
          </cell>
          <cell r="N132" t="str">
            <v>209-962-699</v>
          </cell>
          <cell r="O132">
            <v>10</v>
          </cell>
          <cell r="P132">
            <v>405</v>
          </cell>
          <cell r="Q132">
            <v>51</v>
          </cell>
          <cell r="R132">
            <v>1</v>
          </cell>
          <cell r="S132">
            <v>0</v>
          </cell>
          <cell r="T132" t="str">
            <v xml:space="preserve">Mark Anthony G. Garcia 
Bel Flor Subdivision,
San Cristobal, Calamba City
</v>
          </cell>
          <cell r="U132" t="str">
            <v>2010-05-24</v>
          </cell>
        </row>
        <row r="133">
          <cell r="C133" t="str">
            <v>B158</v>
          </cell>
          <cell r="D133" t="str">
            <v>Cuevas</v>
          </cell>
          <cell r="E133" t="str">
            <v>Gilda</v>
          </cell>
          <cell r="F133" t="str">
            <v>Bisa</v>
          </cell>
          <cell r="G133" t="str">
            <v>Dang</v>
          </cell>
          <cell r="H133" t="str">
            <v>0921-485-6368</v>
          </cell>
          <cell r="I133" t="str">
            <v>1975-07-09</v>
          </cell>
          <cell r="J133">
            <v>2</v>
          </cell>
          <cell r="K133">
            <v>2</v>
          </cell>
          <cell r="L133" t="str">
            <v>Pepito Cuevas</v>
          </cell>
          <cell r="M133" t="str">
            <v>33-2599236-6</v>
          </cell>
          <cell r="N133" t="str">
            <v>185-036-765</v>
          </cell>
          <cell r="O133">
            <v>8</v>
          </cell>
          <cell r="P133">
            <v>9</v>
          </cell>
          <cell r="Q133">
            <v>4</v>
          </cell>
          <cell r="R133">
            <v>1</v>
          </cell>
          <cell r="S133">
            <v>0</v>
          </cell>
          <cell r="T133" t="str">
            <v xml:space="preserve">Pepito Cuevas
06 Saint Francis St. Tensuan Site Poblacion Muntinlupa City
862-5010
</v>
          </cell>
          <cell r="U133" t="str">
            <v>2006-09-11</v>
          </cell>
        </row>
        <row r="134">
          <cell r="C134" t="str">
            <v>A294</v>
          </cell>
          <cell r="D134" t="str">
            <v>Valledor</v>
          </cell>
          <cell r="E134" t="str">
            <v>Aileene</v>
          </cell>
          <cell r="F134" t="str">
            <v>CompaÃ±ero</v>
          </cell>
          <cell r="G134" t="str">
            <v>Ayen</v>
          </cell>
          <cell r="H134" t="str">
            <v>0928-359-2288</v>
          </cell>
          <cell r="I134" t="str">
            <v>1983-11-16</v>
          </cell>
          <cell r="J134">
            <v>2</v>
          </cell>
          <cell r="K134">
            <v>1</v>
          </cell>
          <cell r="L134" t="str">
            <v>Daryl Alma Valledor</v>
          </cell>
          <cell r="M134" t="str">
            <v>04-1476367-4</v>
          </cell>
          <cell r="N134" t="str">
            <v>242-699-594</v>
          </cell>
          <cell r="O134">
            <v>87</v>
          </cell>
          <cell r="P134">
            <v>404</v>
          </cell>
          <cell r="Q134">
            <v>51</v>
          </cell>
          <cell r="R134">
            <v>1</v>
          </cell>
          <cell r="S134">
            <v>0</v>
          </cell>
          <cell r="T134" t="str">
            <v xml:space="preserve">Daryl Valledor
P1-37 Brgy. San Francisco, 
Nagcarlan, Laguna
</v>
          </cell>
          <cell r="U134" t="str">
            <v>2005-12-05</v>
          </cell>
        </row>
        <row r="135">
          <cell r="C135">
            <v>5920</v>
          </cell>
          <cell r="D135" t="str">
            <v>Tolledo</v>
          </cell>
          <cell r="E135" t="str">
            <v>Marilor</v>
          </cell>
          <cell r="F135" t="str">
            <v>Pamplona</v>
          </cell>
          <cell r="G135" t="str">
            <v>Lhor</v>
          </cell>
          <cell r="I135" t="str">
            <v>1975-02-22</v>
          </cell>
          <cell r="J135">
            <v>2</v>
          </cell>
          <cell r="K135">
            <v>2</v>
          </cell>
          <cell r="L135" t="str">
            <v>Gilbert R. Tolledo</v>
          </cell>
          <cell r="M135" t="str">
            <v>33-4176402-8</v>
          </cell>
          <cell r="N135" t="str">
            <v>206-682-401</v>
          </cell>
          <cell r="O135">
            <v>40</v>
          </cell>
          <cell r="P135">
            <v>349</v>
          </cell>
          <cell r="Q135">
            <v>35</v>
          </cell>
          <cell r="R135">
            <v>8</v>
          </cell>
          <cell r="S135">
            <v>0</v>
          </cell>
          <cell r="T135" t="str">
            <v xml:space="preserve">Gilbert R. Tolledo
Phase 6 Blk. 128 Lot 15, Sitio Imelda, Upper Bicutan, Taguig City
0915 2074 714
</v>
          </cell>
          <cell r="U135" t="str">
            <v>1998-06-01</v>
          </cell>
        </row>
        <row r="136">
          <cell r="C136">
            <v>5987</v>
          </cell>
          <cell r="D136" t="str">
            <v>Castro</v>
          </cell>
          <cell r="E136" t="str">
            <v>Irma</v>
          </cell>
          <cell r="F136" t="str">
            <v>Lalican</v>
          </cell>
          <cell r="G136" t="str">
            <v>Irma</v>
          </cell>
          <cell r="H136" t="str">
            <v>0908-876-1825</v>
          </cell>
          <cell r="I136" t="str">
            <v>1971-04-02</v>
          </cell>
          <cell r="J136">
            <v>2</v>
          </cell>
          <cell r="K136">
            <v>2</v>
          </cell>
          <cell r="L136" t="str">
            <v>Gerard J. Castro</v>
          </cell>
          <cell r="M136" t="str">
            <v>04-0776917-7</v>
          </cell>
          <cell r="N136" t="str">
            <v>136-472-218</v>
          </cell>
          <cell r="O136">
            <v>83</v>
          </cell>
          <cell r="P136">
            <v>311</v>
          </cell>
          <cell r="Q136">
            <v>22</v>
          </cell>
          <cell r="R136">
            <v>4</v>
          </cell>
          <cell r="S136">
            <v>0</v>
          </cell>
          <cell r="T136" t="str">
            <v>Pablito A. Lalican
#234 Tenyente De Castro St. Purok6 Talisay, Lipa City Batangas</v>
          </cell>
          <cell r="U136" t="str">
            <v>1998-12-03</v>
          </cell>
        </row>
        <row r="137">
          <cell r="C137">
            <v>5991</v>
          </cell>
          <cell r="D137" t="str">
            <v>Monsanto</v>
          </cell>
          <cell r="E137" t="str">
            <v>Armida</v>
          </cell>
          <cell r="F137" t="str">
            <v>Daproza</v>
          </cell>
          <cell r="G137" t="str">
            <v>Mids</v>
          </cell>
          <cell r="H137" t="str">
            <v>0920-220-8820</v>
          </cell>
          <cell r="I137" t="str">
            <v>1976-10-28</v>
          </cell>
          <cell r="J137">
            <v>2</v>
          </cell>
          <cell r="K137">
            <v>2</v>
          </cell>
          <cell r="L137" t="str">
            <v>Lawrence Monsanto</v>
          </cell>
          <cell r="M137" t="str">
            <v>33-5925068-9</v>
          </cell>
          <cell r="N137" t="str">
            <v>206-855-789</v>
          </cell>
          <cell r="O137">
            <v>97</v>
          </cell>
          <cell r="P137">
            <v>489</v>
          </cell>
          <cell r="Q137">
            <v>58</v>
          </cell>
          <cell r="R137">
            <v>11</v>
          </cell>
          <cell r="S137">
            <v>0</v>
          </cell>
          <cell r="T137" t="str">
            <v xml:space="preserve">Laurence Monsanto
140J MLQuezon St. Purok 2 
Lower Bicutan Taguig City
09395153892
</v>
          </cell>
          <cell r="U137" t="str">
            <v>1998-12-04</v>
          </cell>
        </row>
        <row r="138">
          <cell r="C138">
            <v>6086</v>
          </cell>
          <cell r="D138" t="str">
            <v>Morica</v>
          </cell>
          <cell r="E138" t="str">
            <v>Cris Marie Ann</v>
          </cell>
          <cell r="F138" t="str">
            <v>Robillar</v>
          </cell>
          <cell r="G138" t="str">
            <v>Cris</v>
          </cell>
          <cell r="H138" t="str">
            <v>0921-414-5788</v>
          </cell>
          <cell r="I138" t="str">
            <v>1976-12-25</v>
          </cell>
          <cell r="J138">
            <v>2</v>
          </cell>
          <cell r="K138">
            <v>1</v>
          </cell>
          <cell r="M138" t="str">
            <v>33-2656977-2</v>
          </cell>
          <cell r="N138" t="str">
            <v>207-721-162</v>
          </cell>
          <cell r="O138">
            <v>83</v>
          </cell>
          <cell r="P138">
            <v>491</v>
          </cell>
          <cell r="Q138">
            <v>56</v>
          </cell>
          <cell r="R138">
            <v>11</v>
          </cell>
          <cell r="S138">
            <v>0</v>
          </cell>
          <cell r="T138" t="str">
            <v>Shieryim Vergara
B3 L104 Hacienda Hill Palo Alto, Calamba, Laguna
0946-033-9674</v>
          </cell>
          <cell r="U138" t="str">
            <v>1999-03-24</v>
          </cell>
        </row>
        <row r="139">
          <cell r="C139">
            <v>6130</v>
          </cell>
          <cell r="D139" t="str">
            <v>Pilapil</v>
          </cell>
          <cell r="E139" t="str">
            <v>Retchell</v>
          </cell>
          <cell r="F139" t="str">
            <v>Dimaunahan</v>
          </cell>
          <cell r="G139" t="str">
            <v>Chell</v>
          </cell>
          <cell r="H139" t="str">
            <v>0908-150-1621</v>
          </cell>
          <cell r="I139" t="str">
            <v>1980-06-10</v>
          </cell>
          <cell r="J139">
            <v>2</v>
          </cell>
          <cell r="K139">
            <v>1</v>
          </cell>
          <cell r="M139" t="str">
            <v>33-5653484-5</v>
          </cell>
          <cell r="N139" t="str">
            <v>217-003-823</v>
          </cell>
          <cell r="O139">
            <v>43</v>
          </cell>
          <cell r="P139">
            <v>492</v>
          </cell>
          <cell r="Q139">
            <v>55</v>
          </cell>
          <cell r="R139">
            <v>11</v>
          </cell>
          <cell r="S139">
            <v>0</v>
          </cell>
          <cell r="T139" t="str">
            <v xml:space="preserve">Lilibeth Centeno
#84 Purok 13 SDH Bagong Tanyag 
Taguig City
09474475907
</v>
          </cell>
          <cell r="U139" t="str">
            <v>1999-05-08</v>
          </cell>
        </row>
        <row r="140">
          <cell r="C140">
            <v>6148</v>
          </cell>
          <cell r="D140" t="str">
            <v>Antaran</v>
          </cell>
          <cell r="E140" t="str">
            <v>Noriel</v>
          </cell>
          <cell r="F140" t="str">
            <v>Dela Cruz</v>
          </cell>
          <cell r="G140" t="str">
            <v>Noriel</v>
          </cell>
          <cell r="H140" t="str">
            <v>0939-861-7194</v>
          </cell>
          <cell r="I140" t="str">
            <v>1976-11-24</v>
          </cell>
          <cell r="J140">
            <v>1</v>
          </cell>
          <cell r="K140">
            <v>2</v>
          </cell>
          <cell r="L140" t="str">
            <v>Gracia Antaran</v>
          </cell>
          <cell r="M140" t="str">
            <v>33-4780374-7</v>
          </cell>
          <cell r="N140" t="str">
            <v>211-831-285</v>
          </cell>
          <cell r="O140">
            <v>41</v>
          </cell>
          <cell r="P140">
            <v>495</v>
          </cell>
          <cell r="Q140">
            <v>57</v>
          </cell>
          <cell r="R140">
            <v>11</v>
          </cell>
          <cell r="S140">
            <v>0</v>
          </cell>
          <cell r="T140" t="str">
            <v>Gemma D. Excija
B34 L24 Phs 5 Mabuhay City, Cabuyao
049-8088-442</v>
          </cell>
          <cell r="U140" t="str">
            <v>1999-05-14</v>
          </cell>
        </row>
        <row r="141">
          <cell r="C141">
            <v>6149</v>
          </cell>
          <cell r="D141" t="str">
            <v>Dela Cruz</v>
          </cell>
          <cell r="E141" t="str">
            <v>Rowena</v>
          </cell>
          <cell r="F141" t="str">
            <v>Umayam</v>
          </cell>
          <cell r="G141" t="str">
            <v>Wheng</v>
          </cell>
          <cell r="H141" t="str">
            <v>0917-135-9135</v>
          </cell>
          <cell r="I141" t="str">
            <v>1972-10-25</v>
          </cell>
          <cell r="J141">
            <v>2</v>
          </cell>
          <cell r="K141">
            <v>1</v>
          </cell>
          <cell r="M141" t="str">
            <v>33-3347866-5</v>
          </cell>
          <cell r="N141" t="str">
            <v>216-425-886</v>
          </cell>
          <cell r="O141">
            <v>41</v>
          </cell>
          <cell r="P141">
            <v>495</v>
          </cell>
          <cell r="Q141">
            <v>57</v>
          </cell>
          <cell r="R141">
            <v>11</v>
          </cell>
          <cell r="S141">
            <v>0</v>
          </cell>
          <cell r="T141" t="str">
            <v xml:space="preserve">Rosalina Dela Cruz
13V. Yason St. Bambang Taguig City
0906-223-9662
</v>
          </cell>
          <cell r="U141" t="str">
            <v>1999-05-14</v>
          </cell>
        </row>
        <row r="142">
          <cell r="C142">
            <v>6210</v>
          </cell>
          <cell r="D142" t="str">
            <v>Dauz</v>
          </cell>
          <cell r="E142" t="str">
            <v>Carlito</v>
          </cell>
          <cell r="F142" t="str">
            <v>Lucena</v>
          </cell>
          <cell r="G142" t="str">
            <v>Carlo</v>
          </cell>
          <cell r="I142" t="str">
            <v>1971-05-31</v>
          </cell>
          <cell r="J142">
            <v>1</v>
          </cell>
          <cell r="K142">
            <v>2</v>
          </cell>
          <cell r="L142" t="str">
            <v>Girlie Dauz</v>
          </cell>
          <cell r="M142" t="str">
            <v>33-0282506-1</v>
          </cell>
          <cell r="N142" t="str">
            <v>152-042-022</v>
          </cell>
          <cell r="O142">
            <v>55</v>
          </cell>
          <cell r="P142">
            <v>433</v>
          </cell>
          <cell r="Q142">
            <v>19</v>
          </cell>
          <cell r="R142">
            <v>4</v>
          </cell>
          <cell r="S142">
            <v>0</v>
          </cell>
          <cell r="T142" t="str">
            <v xml:space="preserve">Girlie Galang Dauz
42-A Buli Muntinlupa City
09394430384
</v>
          </cell>
          <cell r="U142" t="str">
            <v>1999-06-14</v>
          </cell>
        </row>
        <row r="143">
          <cell r="C143">
            <v>6232</v>
          </cell>
          <cell r="D143" t="str">
            <v>Cawaling</v>
          </cell>
          <cell r="E143" t="str">
            <v>Fortunata</v>
          </cell>
          <cell r="F143" t="str">
            <v>Oliva</v>
          </cell>
          <cell r="G143" t="str">
            <v>Theng</v>
          </cell>
          <cell r="I143" t="str">
            <v>1979-08-28</v>
          </cell>
          <cell r="J143">
            <v>2</v>
          </cell>
          <cell r="K143">
            <v>2</v>
          </cell>
          <cell r="L143" t="str">
            <v>Ruel Cawaling</v>
          </cell>
          <cell r="M143" t="str">
            <v>33-4472827-8</v>
          </cell>
          <cell r="N143" t="str">
            <v>195-932-110</v>
          </cell>
          <cell r="O143">
            <v>43</v>
          </cell>
          <cell r="P143">
            <v>493</v>
          </cell>
          <cell r="Q143">
            <v>55</v>
          </cell>
          <cell r="R143">
            <v>11</v>
          </cell>
          <cell r="S143">
            <v>0</v>
          </cell>
          <cell r="T143" t="str">
            <v xml:space="preserve">Ruel T. Cawaling
Baroc, Sta. Brigida Mansalay 
Oriental Mindoro
0908-990-3981
</v>
          </cell>
          <cell r="U143" t="str">
            <v>1999-06-23</v>
          </cell>
        </row>
        <row r="144">
          <cell r="C144">
            <v>6240</v>
          </cell>
          <cell r="D144" t="str">
            <v>Cataya</v>
          </cell>
          <cell r="E144" t="str">
            <v>Judith</v>
          </cell>
          <cell r="F144" t="str">
            <v>Caluza</v>
          </cell>
          <cell r="G144" t="str">
            <v>Judith</v>
          </cell>
          <cell r="I144" t="str">
            <v>1975-09-14</v>
          </cell>
          <cell r="J144">
            <v>2</v>
          </cell>
          <cell r="K144">
            <v>2</v>
          </cell>
          <cell r="L144" t="str">
            <v>Marlo Cataya</v>
          </cell>
          <cell r="M144" t="str">
            <v>33-5397777-7</v>
          </cell>
          <cell r="N144" t="str">
            <v>206-808-217</v>
          </cell>
          <cell r="O144">
            <v>97</v>
          </cell>
          <cell r="P144">
            <v>488</v>
          </cell>
          <cell r="Q144">
            <v>58</v>
          </cell>
          <cell r="R144">
            <v>11</v>
          </cell>
          <cell r="S144">
            <v>0</v>
          </cell>
          <cell r="T144" t="str">
            <v xml:space="preserve">Marlo Cataya
Blk.33 Lot 5 Extraordinaty Homes Phase 1 Mamatid Cab. Lag.
0929-748-8575
</v>
          </cell>
          <cell r="U144" t="str">
            <v>1999-06-23</v>
          </cell>
        </row>
        <row r="145">
          <cell r="C145">
            <v>6263</v>
          </cell>
          <cell r="D145" t="str">
            <v>Bigol</v>
          </cell>
          <cell r="E145" t="str">
            <v>Joseph</v>
          </cell>
          <cell r="F145" t="str">
            <v>Eslofor</v>
          </cell>
          <cell r="G145" t="str">
            <v>Seph</v>
          </cell>
          <cell r="H145" t="str">
            <v>0928-238-5755</v>
          </cell>
          <cell r="I145" t="str">
            <v>1979-10-22</v>
          </cell>
          <cell r="J145">
            <v>1</v>
          </cell>
          <cell r="K145">
            <v>2</v>
          </cell>
          <cell r="L145" t="str">
            <v>Suzette D. Gonzales</v>
          </cell>
          <cell r="M145" t="str">
            <v>33-5221073-6</v>
          </cell>
          <cell r="N145" t="str">
            <v>904-610-424</v>
          </cell>
          <cell r="O145">
            <v>41</v>
          </cell>
          <cell r="P145">
            <v>495</v>
          </cell>
          <cell r="Q145">
            <v>57</v>
          </cell>
          <cell r="R145">
            <v>11</v>
          </cell>
          <cell r="S145">
            <v>0</v>
          </cell>
          <cell r="T145" t="str">
            <v xml:space="preserve">Josefina E. Bigol
43 Alpha Romeo st.,Cul de Sac,
Brgy. Sun Valley, Paranaque City
0909-427-9693
</v>
          </cell>
          <cell r="U145" t="str">
            <v>1999-07-05</v>
          </cell>
        </row>
        <row r="146">
          <cell r="C146">
            <v>6265</v>
          </cell>
          <cell r="D146" t="str">
            <v>Voces</v>
          </cell>
          <cell r="E146" t="str">
            <v>Juanillo</v>
          </cell>
          <cell r="F146" t="str">
            <v>Morallos</v>
          </cell>
          <cell r="G146" t="str">
            <v>Bhoy  or  Wowie</v>
          </cell>
          <cell r="I146" t="str">
            <v>1979-10-18</v>
          </cell>
          <cell r="J146">
            <v>1</v>
          </cell>
          <cell r="K146">
            <v>2</v>
          </cell>
          <cell r="L146" t="str">
            <v>Ellenita L. Apurillo</v>
          </cell>
          <cell r="M146" t="str">
            <v>33-4186669-6</v>
          </cell>
          <cell r="N146" t="str">
            <v>206-848-360</v>
          </cell>
          <cell r="O146">
            <v>32</v>
          </cell>
          <cell r="P146">
            <v>402</v>
          </cell>
          <cell r="Q146">
            <v>51</v>
          </cell>
          <cell r="R146">
            <v>1</v>
          </cell>
          <cell r="S146">
            <v>0</v>
          </cell>
          <cell r="T146" t="str">
            <v xml:space="preserve">Elenita A. Voces
#098 Zone 1-A sitio Pagkakaisa Sucat, Muntinlupa City
0929-817-0648
</v>
          </cell>
          <cell r="U146" t="str">
            <v>1999-07-05</v>
          </cell>
        </row>
        <row r="147">
          <cell r="C147">
            <v>6346</v>
          </cell>
          <cell r="D147" t="str">
            <v>Palencia</v>
          </cell>
          <cell r="E147" t="str">
            <v>Valentine</v>
          </cell>
          <cell r="F147" t="str">
            <v>Guaves</v>
          </cell>
          <cell r="G147" t="str">
            <v>Val</v>
          </cell>
          <cell r="H147">
            <v>9985654574</v>
          </cell>
          <cell r="I147" t="str">
            <v>1981-02-14</v>
          </cell>
          <cell r="J147">
            <v>1</v>
          </cell>
          <cell r="K147">
            <v>2</v>
          </cell>
          <cell r="L147" t="str">
            <v>Medelina Dumandan Palencia</v>
          </cell>
          <cell r="M147" t="str">
            <v>04-3379895-0</v>
          </cell>
          <cell r="N147" t="str">
            <v>206-798-840</v>
          </cell>
          <cell r="O147">
            <v>86</v>
          </cell>
          <cell r="P147">
            <v>384</v>
          </cell>
          <cell r="Q147">
            <v>19</v>
          </cell>
          <cell r="R147">
            <v>4</v>
          </cell>
          <cell r="S147">
            <v>0</v>
          </cell>
          <cell r="T147" t="str">
            <v xml:space="preserve">Madelina D. Palencia
Blk. 3, Lot 11 Hacienda Hills Palao Calamba City
0928-592-1028
</v>
          </cell>
          <cell r="U147" t="str">
            <v>1999-10-04</v>
          </cell>
        </row>
        <row r="148">
          <cell r="C148">
            <v>6360</v>
          </cell>
          <cell r="D148" t="str">
            <v>Aguilar</v>
          </cell>
          <cell r="E148" t="str">
            <v>Rodrigo</v>
          </cell>
          <cell r="F148" t="str">
            <v>Corpuz</v>
          </cell>
          <cell r="G148" t="str">
            <v>Rod</v>
          </cell>
          <cell r="I148" t="str">
            <v>1973-01-04</v>
          </cell>
          <cell r="J148">
            <v>1</v>
          </cell>
          <cell r="K148">
            <v>2</v>
          </cell>
          <cell r="L148" t="str">
            <v>Emely E. Aguilar</v>
          </cell>
          <cell r="M148" t="str">
            <v>33-3006485-2</v>
          </cell>
          <cell r="N148" t="str">
            <v>206-762-902</v>
          </cell>
          <cell r="O148">
            <v>44</v>
          </cell>
          <cell r="P148">
            <v>402</v>
          </cell>
          <cell r="Q148">
            <v>51</v>
          </cell>
          <cell r="R148">
            <v>1</v>
          </cell>
          <cell r="S148">
            <v>0</v>
          </cell>
          <cell r="T148" t="str">
            <v xml:space="preserve">Emely E. Aguilar
B31 L19 Southville 1 Niugan 
Cabuyao Laguna
0933 633 2519
</v>
          </cell>
          <cell r="U148" t="str">
            <v>1999-10-13</v>
          </cell>
        </row>
        <row r="149">
          <cell r="C149">
            <v>6526</v>
          </cell>
          <cell r="D149" t="str">
            <v>Donato</v>
          </cell>
          <cell r="E149" t="str">
            <v>Julieta</v>
          </cell>
          <cell r="F149" t="str">
            <v>Catipon</v>
          </cell>
          <cell r="G149" t="str">
            <v>Julieth</v>
          </cell>
          <cell r="I149" t="str">
            <v>1977-07-01</v>
          </cell>
          <cell r="J149">
            <v>2</v>
          </cell>
          <cell r="K149">
            <v>2</v>
          </cell>
          <cell r="L149" t="str">
            <v>Roel Donato</v>
          </cell>
          <cell r="M149" t="str">
            <v>04-3304155-5</v>
          </cell>
          <cell r="N149" t="str">
            <v>918-731-312</v>
          </cell>
          <cell r="O149">
            <v>43</v>
          </cell>
          <cell r="P149">
            <v>493</v>
          </cell>
          <cell r="Q149">
            <v>55</v>
          </cell>
          <cell r="R149">
            <v>11</v>
          </cell>
          <cell r="S149">
            <v>0</v>
          </cell>
          <cell r="T149" t="str">
            <v xml:space="preserve">Roel Donato
541 Purok-2 Sucat Muntinlupa City
09475424346
</v>
          </cell>
          <cell r="U149" t="str">
            <v>1999-12-17</v>
          </cell>
        </row>
        <row r="150">
          <cell r="C150">
            <v>6536</v>
          </cell>
          <cell r="D150" t="str">
            <v>Bagsik</v>
          </cell>
          <cell r="E150" t="str">
            <v>Marites</v>
          </cell>
          <cell r="F150" t="str">
            <v>Cacho</v>
          </cell>
          <cell r="G150" t="str">
            <v>Thess</v>
          </cell>
          <cell r="I150" t="str">
            <v>1980-05-05</v>
          </cell>
          <cell r="J150">
            <v>2</v>
          </cell>
          <cell r="K150">
            <v>2</v>
          </cell>
          <cell r="L150" t="str">
            <v>Brian D. Bagsik</v>
          </cell>
          <cell r="M150" t="str">
            <v>33-5288641-6</v>
          </cell>
          <cell r="N150" t="str">
            <v>206-581-835</v>
          </cell>
          <cell r="O150">
            <v>43</v>
          </cell>
          <cell r="P150">
            <v>493</v>
          </cell>
          <cell r="Q150">
            <v>55</v>
          </cell>
          <cell r="R150">
            <v>11</v>
          </cell>
          <cell r="S150">
            <v>0</v>
          </cell>
          <cell r="T150" t="str">
            <v xml:space="preserve">Brian D. Bagsik
58 D.M.L Quezon St. 
Lower Bicutan Taguig City
09215348310
</v>
          </cell>
          <cell r="U150" t="str">
            <v>1999-12-17</v>
          </cell>
        </row>
        <row r="151">
          <cell r="C151">
            <v>6540</v>
          </cell>
          <cell r="D151" t="str">
            <v>Mandigma</v>
          </cell>
          <cell r="E151" t="str">
            <v>Analyn</v>
          </cell>
          <cell r="F151" t="str">
            <v>Quejano</v>
          </cell>
          <cell r="G151" t="str">
            <v>Alyn</v>
          </cell>
          <cell r="H151" t="str">
            <v>541-44-12</v>
          </cell>
          <cell r="I151" t="str">
            <v>1981-07-23</v>
          </cell>
          <cell r="J151">
            <v>2</v>
          </cell>
          <cell r="K151">
            <v>2</v>
          </cell>
          <cell r="L151" t="str">
            <v>Renante M. Mandigma</v>
          </cell>
          <cell r="M151" t="str">
            <v>33-6496435-5</v>
          </cell>
          <cell r="N151" t="str">
            <v>206-596-882</v>
          </cell>
          <cell r="O151">
            <v>43</v>
          </cell>
          <cell r="P151">
            <v>492</v>
          </cell>
          <cell r="Q151">
            <v>55</v>
          </cell>
          <cell r="R151">
            <v>11</v>
          </cell>
          <cell r="S151">
            <v>0</v>
          </cell>
          <cell r="T151" t="str">
            <v xml:space="preserve">Renante Mandigma
Janagdong I, Sariaya, Quezon
0947-293-0916
</v>
          </cell>
          <cell r="U151" t="str">
            <v>1999-12-17</v>
          </cell>
        </row>
        <row r="152">
          <cell r="C152">
            <v>6563</v>
          </cell>
          <cell r="D152" t="str">
            <v>Ampongan</v>
          </cell>
          <cell r="E152" t="str">
            <v>Ramil</v>
          </cell>
          <cell r="F152" t="str">
            <v>Buena</v>
          </cell>
          <cell r="G152" t="str">
            <v>Ramil</v>
          </cell>
          <cell r="I152" t="str">
            <v>1978-08-17</v>
          </cell>
          <cell r="J152">
            <v>1</v>
          </cell>
          <cell r="K152">
            <v>2</v>
          </cell>
          <cell r="L152" t="str">
            <v>Amelia Ampongan</v>
          </cell>
          <cell r="M152" t="str">
            <v>33-6497395-1</v>
          </cell>
          <cell r="N152" t="str">
            <v>208-727-593</v>
          </cell>
          <cell r="O152">
            <v>82</v>
          </cell>
          <cell r="P152">
            <v>466</v>
          </cell>
          <cell r="Q152">
            <v>33</v>
          </cell>
          <cell r="R152">
            <v>8</v>
          </cell>
          <cell r="S152">
            <v>0</v>
          </cell>
          <cell r="T152" t="str">
            <v xml:space="preserve">Amelia B. Ampongan
B11 L37 Ph 1 San Isidro Heights,
Brgy. San Isidro, Cabuyao, Laguna
0933-530-0878
</v>
          </cell>
          <cell r="U152" t="str">
            <v>2000-01-26</v>
          </cell>
        </row>
        <row r="153">
          <cell r="C153">
            <v>6585</v>
          </cell>
          <cell r="D153" t="str">
            <v>Morfe</v>
          </cell>
          <cell r="E153" t="str">
            <v>Vinmar</v>
          </cell>
          <cell r="F153" t="str">
            <v>Moral</v>
          </cell>
          <cell r="G153" t="str">
            <v>Vhin</v>
          </cell>
          <cell r="H153" t="str">
            <v>0926-667-8377</v>
          </cell>
          <cell r="I153" t="str">
            <v>1979-06-29</v>
          </cell>
          <cell r="J153">
            <v>1</v>
          </cell>
          <cell r="K153">
            <v>2</v>
          </cell>
          <cell r="L153" t="str">
            <v>Jovy A. De Leon</v>
          </cell>
          <cell r="M153" t="str">
            <v>33-6436203-8</v>
          </cell>
          <cell r="N153" t="str">
            <v>207-720-765</v>
          </cell>
          <cell r="O153">
            <v>96</v>
          </cell>
          <cell r="P153">
            <v>491</v>
          </cell>
          <cell r="Q153">
            <v>56</v>
          </cell>
          <cell r="R153">
            <v>11</v>
          </cell>
          <cell r="S153">
            <v>0</v>
          </cell>
          <cell r="T153" t="str">
            <v>Jovy D. Morfe
1642 (A) Chua St. Parkview Homes, Paranaque City
0917-894-8853</v>
          </cell>
          <cell r="U153" t="str">
            <v>2000-02-11</v>
          </cell>
        </row>
        <row r="154">
          <cell r="C154">
            <v>6592</v>
          </cell>
          <cell r="D154" t="str">
            <v>De Mesa</v>
          </cell>
          <cell r="E154" t="str">
            <v>Jennifer</v>
          </cell>
          <cell r="F154" t="str">
            <v>Dante</v>
          </cell>
          <cell r="G154" t="str">
            <v>Jhing</v>
          </cell>
          <cell r="I154" t="str">
            <v>1981-07-12</v>
          </cell>
          <cell r="J154">
            <v>2</v>
          </cell>
          <cell r="K154">
            <v>2</v>
          </cell>
          <cell r="L154" t="str">
            <v>Andres B. De Mesa Jr.</v>
          </cell>
          <cell r="M154" t="str">
            <v>33-5648065-6</v>
          </cell>
          <cell r="N154" t="str">
            <v>207-616-355</v>
          </cell>
          <cell r="O154">
            <v>43</v>
          </cell>
          <cell r="P154">
            <v>492</v>
          </cell>
          <cell r="Q154">
            <v>55</v>
          </cell>
          <cell r="R154">
            <v>11</v>
          </cell>
          <cell r="S154">
            <v>0</v>
          </cell>
          <cell r="T154" t="str">
            <v xml:space="preserve">Andres B. De Mesa Jr.
Phase 6 Blk.17 Lot 13 Mabuhay City Mamatid Cabuyao Laguna
0921-230-5525
</v>
          </cell>
          <cell r="U154" t="str">
            <v>2000-02-11</v>
          </cell>
        </row>
        <row r="155">
          <cell r="C155">
            <v>6638</v>
          </cell>
          <cell r="D155" t="str">
            <v>Valencia</v>
          </cell>
          <cell r="E155" t="str">
            <v>Gene</v>
          </cell>
          <cell r="F155" t="str">
            <v>Nunez</v>
          </cell>
          <cell r="G155" t="str">
            <v>Gene</v>
          </cell>
          <cell r="I155" t="str">
            <v>1978-02-17</v>
          </cell>
          <cell r="J155">
            <v>2</v>
          </cell>
          <cell r="K155">
            <v>2</v>
          </cell>
          <cell r="L155" t="str">
            <v>Joel A. Valencia</v>
          </cell>
          <cell r="M155" t="str">
            <v>33-2590530-8</v>
          </cell>
          <cell r="N155" t="str">
            <v>208-770-587</v>
          </cell>
          <cell r="O155">
            <v>40</v>
          </cell>
          <cell r="P155">
            <v>488</v>
          </cell>
          <cell r="Q155">
            <v>58</v>
          </cell>
          <cell r="R155">
            <v>11</v>
          </cell>
          <cell r="S155">
            <v>0</v>
          </cell>
          <cell r="T155" t="str">
            <v xml:space="preserve">Joel Valencia
Blk.10 Lot.17 Planasville, Tunasan, Muntinlupa City
09063001905
</v>
          </cell>
          <cell r="U155" t="str">
            <v>2001-04-23</v>
          </cell>
        </row>
        <row r="156">
          <cell r="C156">
            <v>6677</v>
          </cell>
          <cell r="D156" t="str">
            <v>Morada</v>
          </cell>
          <cell r="E156" t="str">
            <v>Madeline</v>
          </cell>
          <cell r="F156" t="str">
            <v>Combalicer</v>
          </cell>
          <cell r="G156" t="str">
            <v>Madell</v>
          </cell>
          <cell r="H156">
            <v>9478219335</v>
          </cell>
          <cell r="I156" t="str">
            <v>1979-04-03</v>
          </cell>
          <cell r="J156">
            <v>2</v>
          </cell>
          <cell r="K156">
            <v>1</v>
          </cell>
          <cell r="M156" t="str">
            <v>04-3450652-3</v>
          </cell>
          <cell r="N156" t="str">
            <v>208-767-075</v>
          </cell>
          <cell r="O156">
            <v>43</v>
          </cell>
          <cell r="P156">
            <v>493</v>
          </cell>
          <cell r="Q156">
            <v>55</v>
          </cell>
          <cell r="R156">
            <v>11</v>
          </cell>
          <cell r="S156">
            <v>0</v>
          </cell>
          <cell r="T156" t="str">
            <v>Maria Shiela B. Morilla
Blk 34 Lot 2 Kapayapaan Ville Palao,
Canlubang, Calamba City, Laguna
09196620283
0919-662-0283</v>
          </cell>
          <cell r="U156" t="str">
            <v>2000-03-03</v>
          </cell>
        </row>
        <row r="157">
          <cell r="C157">
            <v>6704</v>
          </cell>
          <cell r="D157" t="str">
            <v>Tagara</v>
          </cell>
          <cell r="E157" t="str">
            <v>Rosalie</v>
          </cell>
          <cell r="F157" t="str">
            <v>Garay</v>
          </cell>
          <cell r="G157" t="str">
            <v>Sallie</v>
          </cell>
          <cell r="I157" t="str">
            <v>1976-08-03</v>
          </cell>
          <cell r="J157">
            <v>2</v>
          </cell>
          <cell r="K157">
            <v>2</v>
          </cell>
          <cell r="L157" t="str">
            <v>Jay Ramil Tagara</v>
          </cell>
          <cell r="M157" t="str">
            <v>33-5308087-1</v>
          </cell>
          <cell r="N157" t="str">
            <v>207-864-535</v>
          </cell>
          <cell r="O157">
            <v>40</v>
          </cell>
          <cell r="P157">
            <v>488</v>
          </cell>
          <cell r="Q157">
            <v>58</v>
          </cell>
          <cell r="R157">
            <v>11</v>
          </cell>
          <cell r="S157">
            <v>0</v>
          </cell>
          <cell r="T157" t="str">
            <v xml:space="preserve">Jayramil C. Tagara
Blk142,Lot42,Ph.2 Mabuhay, 
Mamatid Cabuyao Laguna
</v>
          </cell>
          <cell r="U157" t="str">
            <v>2000-03-16</v>
          </cell>
        </row>
        <row r="158">
          <cell r="C158">
            <v>6714</v>
          </cell>
          <cell r="D158" t="str">
            <v>Poblete</v>
          </cell>
          <cell r="E158" t="str">
            <v>Criselda</v>
          </cell>
          <cell r="F158" t="str">
            <v>Nuas</v>
          </cell>
          <cell r="G158" t="str">
            <v>Cris</v>
          </cell>
          <cell r="I158" t="str">
            <v>1978-11-15</v>
          </cell>
          <cell r="J158">
            <v>2</v>
          </cell>
          <cell r="K158">
            <v>2</v>
          </cell>
          <cell r="L158" t="str">
            <v>James Richard Poblete</v>
          </cell>
          <cell r="M158" t="str">
            <v>05-0895624-5</v>
          </cell>
          <cell r="N158" t="str">
            <v>216-427-215</v>
          </cell>
          <cell r="O158">
            <v>80</v>
          </cell>
          <cell r="P158">
            <v>489</v>
          </cell>
          <cell r="Q158">
            <v>58</v>
          </cell>
          <cell r="R158">
            <v>11</v>
          </cell>
          <cell r="S158">
            <v>0</v>
          </cell>
          <cell r="T158" t="str">
            <v xml:space="preserve">James Richard Poblete
Blk 23 Lot 9 New Mahogany Vill. 
San Isidro Cabuyao Laguna
09163614222
</v>
          </cell>
          <cell r="U158" t="str">
            <v>2000-03-27</v>
          </cell>
        </row>
        <row r="159">
          <cell r="C159">
            <v>6733</v>
          </cell>
          <cell r="D159" t="str">
            <v>Aguilera</v>
          </cell>
          <cell r="E159" t="str">
            <v>Ma. Cecilia</v>
          </cell>
          <cell r="F159" t="str">
            <v>Magno</v>
          </cell>
          <cell r="G159" t="str">
            <v>Cecille</v>
          </cell>
          <cell r="I159" t="str">
            <v>1977-08-19</v>
          </cell>
          <cell r="J159">
            <v>2</v>
          </cell>
          <cell r="K159">
            <v>2</v>
          </cell>
          <cell r="L159" t="str">
            <v>Albert G. Aguilera</v>
          </cell>
          <cell r="M159" t="str">
            <v>33-5535803-5</v>
          </cell>
          <cell r="N159" t="str">
            <v>216-726-878</v>
          </cell>
          <cell r="O159">
            <v>53</v>
          </cell>
          <cell r="P159">
            <v>472</v>
          </cell>
          <cell r="Q159">
            <v>34</v>
          </cell>
          <cell r="R159">
            <v>8</v>
          </cell>
          <cell r="S159">
            <v>0</v>
          </cell>
          <cell r="T159" t="str">
            <v xml:space="preserve">Albert G. Aguilera
Blk. 16 Lot 42 Sto. NiÃ±o Villa De Lipa II, Sabang, Lipa City
0905-320-0768
</v>
          </cell>
          <cell r="U159" t="str">
            <v>2000-03-27</v>
          </cell>
        </row>
        <row r="160">
          <cell r="C160">
            <v>6817</v>
          </cell>
          <cell r="D160" t="str">
            <v>Datoon</v>
          </cell>
          <cell r="E160" t="str">
            <v>Marivic</v>
          </cell>
          <cell r="F160" t="str">
            <v>Godoy</v>
          </cell>
          <cell r="G160" t="str">
            <v>Mahvic</v>
          </cell>
          <cell r="I160" t="str">
            <v>1980-09-04</v>
          </cell>
          <cell r="J160">
            <v>2</v>
          </cell>
          <cell r="K160">
            <v>2</v>
          </cell>
          <cell r="L160" t="str">
            <v>Roderick Cachola Datoon</v>
          </cell>
          <cell r="M160" t="str">
            <v>33-6569176-6</v>
          </cell>
          <cell r="N160" t="str">
            <v>211-844-432</v>
          </cell>
          <cell r="O160">
            <v>84</v>
          </cell>
          <cell r="P160">
            <v>402</v>
          </cell>
          <cell r="Q160">
            <v>51</v>
          </cell>
          <cell r="R160">
            <v>1</v>
          </cell>
          <cell r="S160">
            <v>0</v>
          </cell>
          <cell r="T160" t="str">
            <v xml:space="preserve">Erick Datoon
#66 Faculty St. Sta. Ana Taguig City
0915 186 2001
</v>
          </cell>
          <cell r="U160" t="str">
            <v>2000-06-15</v>
          </cell>
        </row>
        <row r="161">
          <cell r="C161">
            <v>6883</v>
          </cell>
          <cell r="D161" t="str">
            <v>Garcia</v>
          </cell>
          <cell r="E161" t="str">
            <v>Virgilio</v>
          </cell>
          <cell r="F161" t="str">
            <v>Paala</v>
          </cell>
          <cell r="G161" t="str">
            <v>Vergel</v>
          </cell>
          <cell r="I161" t="str">
            <v>1976-12-24</v>
          </cell>
          <cell r="J161">
            <v>1</v>
          </cell>
          <cell r="K161">
            <v>1</v>
          </cell>
          <cell r="M161" t="str">
            <v>04-3070539-9</v>
          </cell>
          <cell r="N161" t="str">
            <v>177-082-851</v>
          </cell>
          <cell r="O161">
            <v>82</v>
          </cell>
          <cell r="P161">
            <v>512</v>
          </cell>
          <cell r="Q161">
            <v>73</v>
          </cell>
          <cell r="R161">
            <v>13</v>
          </cell>
          <cell r="S161">
            <v>0</v>
          </cell>
          <cell r="T161" t="str">
            <v xml:space="preserve">Phia Reyes
443 Paciano Rizal Bay, Laguna
0919627711
</v>
          </cell>
          <cell r="U161" t="str">
            <v>2000-07-17</v>
          </cell>
        </row>
        <row r="162">
          <cell r="C162">
            <v>7146</v>
          </cell>
          <cell r="D162" t="str">
            <v>Cruz</v>
          </cell>
          <cell r="E162" t="str">
            <v>Ana Marie</v>
          </cell>
          <cell r="F162" t="str">
            <v>Coloma</v>
          </cell>
          <cell r="G162" t="str">
            <v>Ana</v>
          </cell>
          <cell r="H162">
            <v>9303272583</v>
          </cell>
          <cell r="I162" t="str">
            <v>1979-07-22</v>
          </cell>
          <cell r="J162">
            <v>2</v>
          </cell>
          <cell r="K162">
            <v>2</v>
          </cell>
          <cell r="L162" t="str">
            <v>Ronald S. Cruz</v>
          </cell>
          <cell r="M162" t="str">
            <v>33-6149114-8</v>
          </cell>
          <cell r="N162" t="str">
            <v>212-527-321</v>
          </cell>
          <cell r="O162">
            <v>43</v>
          </cell>
          <cell r="P162">
            <v>492</v>
          </cell>
          <cell r="Q162">
            <v>55</v>
          </cell>
          <cell r="R162">
            <v>11</v>
          </cell>
          <cell r="S162">
            <v>0</v>
          </cell>
          <cell r="T162" t="str">
            <v xml:space="preserve">Ronald S. Cruz
12612 Junction St. Mayondon
Los BaÃ±os Laguna
09099971837
</v>
          </cell>
          <cell r="U162" t="str">
            <v>2000-11-06</v>
          </cell>
        </row>
        <row r="163">
          <cell r="C163">
            <v>7170</v>
          </cell>
          <cell r="D163" t="str">
            <v>Diamse</v>
          </cell>
          <cell r="E163" t="str">
            <v>Jeanette</v>
          </cell>
          <cell r="F163" t="str">
            <v>Laron</v>
          </cell>
          <cell r="G163" t="str">
            <v>Net</v>
          </cell>
          <cell r="H163" t="str">
            <v>0917-505-1230</v>
          </cell>
          <cell r="I163" t="str">
            <v>1978-09-17</v>
          </cell>
          <cell r="J163">
            <v>2</v>
          </cell>
          <cell r="K163">
            <v>1</v>
          </cell>
          <cell r="M163" t="str">
            <v>33-5208765-5</v>
          </cell>
          <cell r="N163" t="str">
            <v>212-531-264</v>
          </cell>
          <cell r="O163">
            <v>32</v>
          </cell>
          <cell r="P163">
            <v>497</v>
          </cell>
          <cell r="Q163">
            <v>68</v>
          </cell>
          <cell r="R163">
            <v>11</v>
          </cell>
          <cell r="S163">
            <v>0</v>
          </cell>
          <cell r="T163" t="str">
            <v>Aristotle L. Diamse
#25 Balimbing St. Brgy. Katuparan, Taguig City</v>
          </cell>
          <cell r="U163" t="str">
            <v>2000-11-20</v>
          </cell>
        </row>
        <row r="164">
          <cell r="C164">
            <v>7372</v>
          </cell>
          <cell r="D164" t="str">
            <v>Faner</v>
          </cell>
          <cell r="E164" t="str">
            <v>Noel</v>
          </cell>
          <cell r="F164" t="str">
            <v>Flores</v>
          </cell>
          <cell r="G164" t="str">
            <v>Owel</v>
          </cell>
          <cell r="I164" t="str">
            <v>1978-12-23</v>
          </cell>
          <cell r="J164">
            <v>1</v>
          </cell>
          <cell r="K164">
            <v>2</v>
          </cell>
          <cell r="L164" t="str">
            <v>Lordelyn Faner</v>
          </cell>
          <cell r="M164" t="str">
            <v>33-4082614-5</v>
          </cell>
          <cell r="N164" t="str">
            <v>905-273-368</v>
          </cell>
          <cell r="O164">
            <v>44</v>
          </cell>
          <cell r="P164">
            <v>402</v>
          </cell>
          <cell r="Q164">
            <v>51</v>
          </cell>
          <cell r="R164">
            <v>1</v>
          </cell>
          <cell r="S164">
            <v>0</v>
          </cell>
          <cell r="T164" t="str">
            <v xml:space="preserve">Lordelyn F. Faner
Blk 2 L73 Phase 2 Extension Mabuhay City Pal. 3 DasmariÃ±as Cavite
0928-903-6989
</v>
          </cell>
          <cell r="U164" t="str">
            <v>2001-06-06</v>
          </cell>
        </row>
        <row r="165">
          <cell r="C165" t="str">
            <v>A160</v>
          </cell>
          <cell r="D165" t="str">
            <v>Garcia</v>
          </cell>
          <cell r="E165" t="str">
            <v>Maricris</v>
          </cell>
          <cell r="F165" t="str">
            <v>Perez</v>
          </cell>
          <cell r="G165" t="str">
            <v>Krick</v>
          </cell>
          <cell r="H165" t="str">
            <v>0915-946-7886</v>
          </cell>
          <cell r="I165" t="str">
            <v>1985-07-21</v>
          </cell>
          <cell r="J165">
            <v>2</v>
          </cell>
          <cell r="K165">
            <v>1</v>
          </cell>
          <cell r="M165" t="str">
            <v>04-1354202-9</v>
          </cell>
          <cell r="N165" t="str">
            <v>224-972-217</v>
          </cell>
          <cell r="O165">
            <v>80</v>
          </cell>
          <cell r="P165">
            <v>503</v>
          </cell>
          <cell r="Q165">
            <v>64</v>
          </cell>
          <cell r="R165">
            <v>12</v>
          </cell>
          <cell r="S165">
            <v>0</v>
          </cell>
          <cell r="T165" t="str">
            <v>Maricar Reyes
Jasmine St. Ma. Salome Subd. Halang, Calamba, Laguna
0918-425-8445</v>
          </cell>
          <cell r="U165" t="str">
            <v>2005-06-04</v>
          </cell>
        </row>
        <row r="166">
          <cell r="C166" t="str">
            <v>A113</v>
          </cell>
          <cell r="D166" t="str">
            <v>Caponpon</v>
          </cell>
          <cell r="E166" t="str">
            <v>Loida</v>
          </cell>
          <cell r="F166" t="str">
            <v>Navales</v>
          </cell>
          <cell r="G166" t="str">
            <v>Nene</v>
          </cell>
          <cell r="H166" t="str">
            <v>0956-285-6036</v>
          </cell>
          <cell r="I166" t="str">
            <v>1983-01-20</v>
          </cell>
          <cell r="J166">
            <v>2</v>
          </cell>
          <cell r="K166">
            <v>1</v>
          </cell>
          <cell r="M166" t="str">
            <v>04-1369797-4</v>
          </cell>
          <cell r="N166" t="str">
            <v>237-973-456</v>
          </cell>
          <cell r="O166">
            <v>83</v>
          </cell>
          <cell r="P166">
            <v>470</v>
          </cell>
          <cell r="Q166">
            <v>37</v>
          </cell>
          <cell r="R166">
            <v>8</v>
          </cell>
          <cell r="S166">
            <v>0</v>
          </cell>
          <cell r="T166" t="str">
            <v xml:space="preserve">Jayson P. Balantac
San Antontio Homes Brgy Bolbok Lipa City, Batangas
0927-346-3087
</v>
          </cell>
          <cell r="U166" t="str">
            <v>2005-04-14</v>
          </cell>
        </row>
        <row r="167">
          <cell r="C167">
            <v>8412</v>
          </cell>
          <cell r="D167" t="str">
            <v>Aguda</v>
          </cell>
          <cell r="E167" t="str">
            <v>Romeo</v>
          </cell>
          <cell r="F167" t="str">
            <v>Perez</v>
          </cell>
          <cell r="G167" t="str">
            <v>Romy</v>
          </cell>
          <cell r="H167" t="str">
            <v>0967-330-8481</v>
          </cell>
          <cell r="I167" t="str">
            <v>1979-11-03</v>
          </cell>
          <cell r="J167">
            <v>1</v>
          </cell>
          <cell r="K167">
            <v>2</v>
          </cell>
          <cell r="L167" t="str">
            <v>Elenita Cotanda Aguda</v>
          </cell>
          <cell r="M167" t="str">
            <v>04-3296992-6</v>
          </cell>
          <cell r="N167" t="str">
            <v>915-017-481</v>
          </cell>
          <cell r="O167">
            <v>32</v>
          </cell>
          <cell r="P167">
            <v>491</v>
          </cell>
          <cell r="Q167">
            <v>56</v>
          </cell>
          <cell r="R167">
            <v>11</v>
          </cell>
          <cell r="S167">
            <v>0</v>
          </cell>
          <cell r="T167" t="str">
            <v xml:space="preserve">Elenita Aguda
Blk 13 Lot 13 Phase 2 Lamesa Ride, Lamesa, Calamba City
09184335355
</v>
          </cell>
          <cell r="U167" t="str">
            <v>2003-11-12</v>
          </cell>
        </row>
        <row r="168">
          <cell r="C168">
            <v>9020</v>
          </cell>
          <cell r="D168" t="str">
            <v>Aguas</v>
          </cell>
          <cell r="E168" t="str">
            <v>Geraldine</v>
          </cell>
          <cell r="F168" t="str">
            <v>Carmona</v>
          </cell>
          <cell r="G168" t="str">
            <v>Jheng</v>
          </cell>
          <cell r="I168" t="str">
            <v>1983-10-29</v>
          </cell>
          <cell r="J168">
            <v>2</v>
          </cell>
          <cell r="K168">
            <v>2</v>
          </cell>
          <cell r="L168" t="str">
            <v>Archie Aguas</v>
          </cell>
          <cell r="M168" t="str">
            <v>04-1200879-7</v>
          </cell>
          <cell r="N168" t="str">
            <v>235-622-471</v>
          </cell>
          <cell r="O168">
            <v>43</v>
          </cell>
          <cell r="P168">
            <v>146</v>
          </cell>
          <cell r="Q168">
            <v>27</v>
          </cell>
          <cell r="R168">
            <v>6</v>
          </cell>
          <cell r="S168">
            <v>0</v>
          </cell>
          <cell r="T168" t="str">
            <v>Archie Aguas
Brgy. Bulakin, Tiaong, Quezon
0912-242-9086</v>
          </cell>
          <cell r="U168" t="str">
            <v>2004-11-09</v>
          </cell>
        </row>
        <row r="169">
          <cell r="C169" t="str">
            <v>A069</v>
          </cell>
          <cell r="D169" t="str">
            <v>Sanchez</v>
          </cell>
          <cell r="E169" t="str">
            <v>Jevrin</v>
          </cell>
          <cell r="F169" t="str">
            <v>Galuso</v>
          </cell>
          <cell r="G169" t="str">
            <v>Jeck</v>
          </cell>
          <cell r="I169" t="str">
            <v>1981-04-05</v>
          </cell>
          <cell r="J169">
            <v>1</v>
          </cell>
          <cell r="K169">
            <v>2</v>
          </cell>
          <cell r="L169" t="str">
            <v>Dincel Sanchez</v>
          </cell>
          <cell r="M169" t="str">
            <v>33-5810379-5</v>
          </cell>
          <cell r="N169" t="str">
            <v>237-708-854</v>
          </cell>
          <cell r="O169">
            <v>41</v>
          </cell>
          <cell r="P169">
            <v>248</v>
          </cell>
          <cell r="Q169">
            <v>50</v>
          </cell>
          <cell r="R169">
            <v>6</v>
          </cell>
          <cell r="S169">
            <v>0</v>
          </cell>
          <cell r="T169" t="str">
            <v xml:space="preserve">DINCEL P. SANCHEZ
42 Dela Paz St. Ibayo Napindan 
Taguig City
0910 946 2521
</v>
          </cell>
          <cell r="U169" t="str">
            <v>2005-03-09</v>
          </cell>
        </row>
        <row r="170">
          <cell r="C170" t="str">
            <v>A095</v>
          </cell>
          <cell r="D170" t="str">
            <v>Aguila</v>
          </cell>
          <cell r="E170" t="str">
            <v>Maureen</v>
          </cell>
          <cell r="F170" t="str">
            <v>Atienza</v>
          </cell>
          <cell r="G170" t="str">
            <v>Mhau</v>
          </cell>
          <cell r="H170">
            <v>9495647853</v>
          </cell>
          <cell r="I170" t="str">
            <v>1983-02-15</v>
          </cell>
          <cell r="J170">
            <v>2</v>
          </cell>
          <cell r="K170">
            <v>1</v>
          </cell>
          <cell r="M170" t="str">
            <v>04-1210576-8</v>
          </cell>
          <cell r="N170" t="str">
            <v>224-132-603</v>
          </cell>
          <cell r="O170">
            <v>43</v>
          </cell>
          <cell r="P170">
            <v>502</v>
          </cell>
          <cell r="Q170">
            <v>62</v>
          </cell>
          <cell r="R170">
            <v>12</v>
          </cell>
          <cell r="S170">
            <v>0</v>
          </cell>
          <cell r="T170" t="str">
            <v>Madona Mangguera
Brgy. Sala Cabuyao Laguna
09389438680</v>
          </cell>
          <cell r="U170" t="str">
            <v>2005-04-11</v>
          </cell>
        </row>
        <row r="171">
          <cell r="C171" t="str">
            <v>A200</v>
          </cell>
          <cell r="D171" t="str">
            <v>Bitgue</v>
          </cell>
          <cell r="E171" t="str">
            <v>Raymond</v>
          </cell>
          <cell r="F171" t="str">
            <v>Permejo</v>
          </cell>
          <cell r="G171" t="str">
            <v>Mong</v>
          </cell>
          <cell r="I171" t="str">
            <v>1985-05-26</v>
          </cell>
          <cell r="J171">
            <v>1</v>
          </cell>
          <cell r="K171">
            <v>2</v>
          </cell>
          <cell r="L171" t="str">
            <v>Madelyn Murillo Bitgue</v>
          </cell>
          <cell r="M171" t="str">
            <v>33-9488290-2</v>
          </cell>
          <cell r="N171" t="str">
            <v>240-747-944</v>
          </cell>
          <cell r="O171">
            <v>86</v>
          </cell>
          <cell r="P171">
            <v>433</v>
          </cell>
          <cell r="Q171">
            <v>19</v>
          </cell>
          <cell r="R171">
            <v>4</v>
          </cell>
          <cell r="S171">
            <v>0</v>
          </cell>
          <cell r="T171" t="str">
            <v xml:space="preserve">Madelyn Bitgue
Brgy. Mapagong Purok I Calamba Laguna
09106496299
</v>
          </cell>
          <cell r="U171" t="str">
            <v>2005-08-29</v>
          </cell>
        </row>
        <row r="172">
          <cell r="C172" t="str">
            <v>A221</v>
          </cell>
          <cell r="D172" t="str">
            <v>Camacho</v>
          </cell>
          <cell r="E172" t="str">
            <v>Arlena</v>
          </cell>
          <cell r="F172" t="str">
            <v>Argalado</v>
          </cell>
          <cell r="G172" t="str">
            <v>Arlene</v>
          </cell>
          <cell r="I172" t="str">
            <v>1985-11-26</v>
          </cell>
          <cell r="J172">
            <v>2</v>
          </cell>
          <cell r="K172">
            <v>1</v>
          </cell>
          <cell r="M172" t="str">
            <v>33-8061127-1</v>
          </cell>
          <cell r="N172" t="str">
            <v>230-583-465</v>
          </cell>
          <cell r="O172">
            <v>43</v>
          </cell>
          <cell r="P172">
            <v>455</v>
          </cell>
          <cell r="Q172">
            <v>20</v>
          </cell>
          <cell r="R172">
            <v>4</v>
          </cell>
          <cell r="S172">
            <v>0</v>
          </cell>
          <cell r="T172" t="str">
            <v xml:space="preserve">Analina Fedelin
B1 L13 Greencrest Ville,
Brgy. Banlic, Calamba City
0910-498-6444
</v>
          </cell>
          <cell r="U172" t="str">
            <v>2005-10-04</v>
          </cell>
        </row>
        <row r="173">
          <cell r="C173" t="str">
            <v>A235</v>
          </cell>
          <cell r="D173" t="str">
            <v>Sagun</v>
          </cell>
          <cell r="E173" t="str">
            <v>Marina</v>
          </cell>
          <cell r="F173" t="str">
            <v>Rugayan</v>
          </cell>
          <cell r="G173" t="str">
            <v>Inah</v>
          </cell>
          <cell r="I173" t="str">
            <v>1984-05-06</v>
          </cell>
          <cell r="J173">
            <v>2</v>
          </cell>
          <cell r="K173">
            <v>1</v>
          </cell>
          <cell r="M173" t="str">
            <v>33-9558494-0</v>
          </cell>
          <cell r="N173" t="str">
            <v>241-837-516</v>
          </cell>
          <cell r="O173">
            <v>40</v>
          </cell>
          <cell r="P173">
            <v>510</v>
          </cell>
          <cell r="Q173">
            <v>72</v>
          </cell>
          <cell r="R173">
            <v>13</v>
          </cell>
          <cell r="S173">
            <v>0</v>
          </cell>
          <cell r="T173" t="str">
            <v>Jayson Yamson
Purok 6, Nazareth Compound, 
Brgy. Sirang Lupa, Calamba City
0909-357-4343</v>
          </cell>
          <cell r="U173" t="str">
            <v>2005-10-08</v>
          </cell>
        </row>
        <row r="174">
          <cell r="C174" t="str">
            <v>A237</v>
          </cell>
          <cell r="D174" t="str">
            <v>Parayno</v>
          </cell>
          <cell r="E174" t="str">
            <v>Maricris</v>
          </cell>
          <cell r="F174" t="str">
            <v>Calderon</v>
          </cell>
          <cell r="G174" t="str">
            <v>Makis</v>
          </cell>
          <cell r="H174" t="str">
            <v>0998-511-1398</v>
          </cell>
          <cell r="I174" t="str">
            <v>1984-12-25</v>
          </cell>
          <cell r="J174">
            <v>2</v>
          </cell>
          <cell r="K174">
            <v>2</v>
          </cell>
          <cell r="L174" t="str">
            <v>Denver Parayno</v>
          </cell>
          <cell r="M174" t="str">
            <v>04-1564724-9</v>
          </cell>
          <cell r="N174" t="str">
            <v>239-955-086</v>
          </cell>
          <cell r="O174">
            <v>53</v>
          </cell>
          <cell r="P174">
            <v>492</v>
          </cell>
          <cell r="Q174">
            <v>55</v>
          </cell>
          <cell r="R174">
            <v>11</v>
          </cell>
          <cell r="S174">
            <v>0</v>
          </cell>
          <cell r="T174" t="str">
            <v>Carlito R. Francia 
B16 L23 P3 Cluster Mabuhay,
Mamatid, Cabuyao, Laguna
0912-867-8194</v>
          </cell>
          <cell r="U174" t="str">
            <v>2005-10-17</v>
          </cell>
        </row>
        <row r="175">
          <cell r="C175" t="str">
            <v>A248</v>
          </cell>
          <cell r="D175" t="str">
            <v>Pacate</v>
          </cell>
          <cell r="E175" t="str">
            <v>Sonny</v>
          </cell>
          <cell r="F175" t="str">
            <v>Lopez</v>
          </cell>
          <cell r="G175" t="str">
            <v>Sonny</v>
          </cell>
          <cell r="I175" t="str">
            <v>1982-10-31</v>
          </cell>
          <cell r="J175">
            <v>1</v>
          </cell>
          <cell r="K175">
            <v>2</v>
          </cell>
          <cell r="L175" t="str">
            <v>Lovely Pacate</v>
          </cell>
          <cell r="M175" t="str">
            <v>05-0741542-8</v>
          </cell>
          <cell r="N175" t="str">
            <v>233-758-630</v>
          </cell>
          <cell r="O175">
            <v>55</v>
          </cell>
          <cell r="P175">
            <v>436</v>
          </cell>
          <cell r="Q175">
            <v>19</v>
          </cell>
          <cell r="R175">
            <v>4</v>
          </cell>
          <cell r="S175">
            <v>0</v>
          </cell>
          <cell r="T175" t="str">
            <v xml:space="preserve">Lovely V. Pacate
B18 L13 PH-I San Ramon,
Canlubang, Calamba City
0909 323 3066
</v>
          </cell>
          <cell r="U175" t="str">
            <v>2005-11-07</v>
          </cell>
        </row>
        <row r="176">
          <cell r="C176" t="str">
            <v>A297</v>
          </cell>
          <cell r="D176" t="str">
            <v>Quezon</v>
          </cell>
          <cell r="E176" t="str">
            <v>Ruel</v>
          </cell>
          <cell r="F176" t="str">
            <v>Alolor</v>
          </cell>
          <cell r="G176" t="str">
            <v>Roy</v>
          </cell>
          <cell r="H176" t="str">
            <v>0939-493-7797</v>
          </cell>
          <cell r="I176" t="str">
            <v>1985-06-14</v>
          </cell>
          <cell r="J176">
            <v>1</v>
          </cell>
          <cell r="K176">
            <v>2</v>
          </cell>
          <cell r="L176" t="str">
            <v>Jonah Kesiah Ostea Vega</v>
          </cell>
          <cell r="M176" t="str">
            <v>04-1593540-1</v>
          </cell>
          <cell r="N176" t="str">
            <v>242-721-513</v>
          </cell>
          <cell r="O176">
            <v>55</v>
          </cell>
          <cell r="P176">
            <v>384</v>
          </cell>
          <cell r="Q176">
            <v>19</v>
          </cell>
          <cell r="R176">
            <v>4</v>
          </cell>
          <cell r="S176">
            <v>0</v>
          </cell>
          <cell r="T176" t="str">
            <v xml:space="preserve">Jonah Kesiah Quezon
Blk 29 Lot 12 Phase 2 Mercedez Homes, San Miguel, Sto. Tomas City, Batangas
0922-309-6079
</v>
          </cell>
          <cell r="U176" t="str">
            <v>2005-12-12</v>
          </cell>
        </row>
        <row r="177">
          <cell r="C177" t="str">
            <v>A299</v>
          </cell>
          <cell r="D177" t="str">
            <v>Atok</v>
          </cell>
          <cell r="E177" t="str">
            <v>Lovie</v>
          </cell>
          <cell r="F177" t="str">
            <v>De Luna</v>
          </cell>
          <cell r="G177" t="str">
            <v>Lovie</v>
          </cell>
          <cell r="I177" t="str">
            <v>1983-03-12</v>
          </cell>
          <cell r="J177">
            <v>2</v>
          </cell>
          <cell r="K177">
            <v>2</v>
          </cell>
          <cell r="L177" t="str">
            <v>Regent Atok</v>
          </cell>
          <cell r="M177" t="str">
            <v>04-1386395-7</v>
          </cell>
          <cell r="N177" t="str">
            <v>234-474-094</v>
          </cell>
          <cell r="O177">
            <v>80</v>
          </cell>
          <cell r="P177">
            <v>468</v>
          </cell>
          <cell r="Q177">
            <v>35</v>
          </cell>
          <cell r="R177">
            <v>8</v>
          </cell>
          <cell r="S177">
            <v>0</v>
          </cell>
          <cell r="T177" t="str">
            <v xml:space="preserve">Regent F. Atok
Blk.12 Lot. 4 Palmera St. MCDC, Canlubang Calamba City
0923-236-3245
</v>
          </cell>
          <cell r="U177" t="str">
            <v>2005-12-12</v>
          </cell>
        </row>
        <row r="178">
          <cell r="C178" t="str">
            <v>B013</v>
          </cell>
          <cell r="D178" t="str">
            <v>Briones</v>
          </cell>
          <cell r="E178" t="str">
            <v>Rolando Jr.</v>
          </cell>
          <cell r="F178" t="str">
            <v>Litan</v>
          </cell>
          <cell r="G178" t="str">
            <v>Roland</v>
          </cell>
          <cell r="I178" t="str">
            <v>1983-12-23</v>
          </cell>
          <cell r="J178">
            <v>1</v>
          </cell>
          <cell r="K178">
            <v>2</v>
          </cell>
          <cell r="L178" t="str">
            <v>Mary Roan Eldefonso Taon</v>
          </cell>
          <cell r="M178" t="str">
            <v>04-1297787-3</v>
          </cell>
          <cell r="N178" t="str">
            <v>237-578-930</v>
          </cell>
          <cell r="O178">
            <v>40</v>
          </cell>
          <cell r="P178">
            <v>500</v>
          </cell>
          <cell r="Q178">
            <v>65</v>
          </cell>
          <cell r="R178">
            <v>12</v>
          </cell>
          <cell r="S178">
            <v>0</v>
          </cell>
          <cell r="T178" t="str">
            <v xml:space="preserve">Mary Roan Taon
San Miguel, Sto. Tomas, Batangas
0909-211-4798
</v>
          </cell>
          <cell r="U178" t="str">
            <v>2006-01-19</v>
          </cell>
        </row>
        <row r="179">
          <cell r="C179" t="str">
            <v>B080</v>
          </cell>
          <cell r="D179" t="str">
            <v>Arguelles</v>
          </cell>
          <cell r="E179" t="str">
            <v>Romar</v>
          </cell>
          <cell r="F179" t="str">
            <v>Tarayao</v>
          </cell>
          <cell r="G179" t="str">
            <v>Mar</v>
          </cell>
          <cell r="H179" t="str">
            <v>0939-275-6042</v>
          </cell>
          <cell r="I179" t="str">
            <v>1986-08-15</v>
          </cell>
          <cell r="J179">
            <v>1</v>
          </cell>
          <cell r="K179">
            <v>1</v>
          </cell>
          <cell r="M179" t="str">
            <v>04-1543859-7</v>
          </cell>
          <cell r="N179" t="str">
            <v>245-178-145</v>
          </cell>
          <cell r="O179">
            <v>55</v>
          </cell>
          <cell r="P179">
            <v>384</v>
          </cell>
          <cell r="Q179">
            <v>19</v>
          </cell>
          <cell r="R179">
            <v>4</v>
          </cell>
          <cell r="S179">
            <v>0</v>
          </cell>
          <cell r="T179" t="str">
            <v>Maricel b. Butial
San Miguel, Sto. Tomas, batangas
0959-275-6042</v>
          </cell>
          <cell r="U179" t="str">
            <v>2006-04-17</v>
          </cell>
        </row>
        <row r="180">
          <cell r="C180" t="str">
            <v>B109</v>
          </cell>
          <cell r="D180" t="str">
            <v>Marasigan</v>
          </cell>
          <cell r="E180" t="str">
            <v>Jovel</v>
          </cell>
          <cell r="F180" t="str">
            <v>Juacalla</v>
          </cell>
          <cell r="G180" t="str">
            <v>Vhel</v>
          </cell>
          <cell r="I180" t="str">
            <v>1985-08-24</v>
          </cell>
          <cell r="J180">
            <v>1</v>
          </cell>
          <cell r="K180">
            <v>1</v>
          </cell>
          <cell r="M180" t="str">
            <v>04-1603088-4</v>
          </cell>
          <cell r="N180" t="str">
            <v>245-802-812</v>
          </cell>
          <cell r="O180">
            <v>55</v>
          </cell>
          <cell r="P180">
            <v>512</v>
          </cell>
          <cell r="Q180">
            <v>73</v>
          </cell>
          <cell r="R180">
            <v>13</v>
          </cell>
          <cell r="S180">
            <v>0</v>
          </cell>
          <cell r="T180" t="str">
            <v xml:space="preserve">Teresita Marasigan
Brgy. Mapulot, Tagkawayan, Quezon
</v>
          </cell>
          <cell r="U180" t="str">
            <v>2006-05-29</v>
          </cell>
        </row>
        <row r="181">
          <cell r="C181" t="str">
            <v>F025</v>
          </cell>
          <cell r="D181" t="str">
            <v>Grospe</v>
          </cell>
          <cell r="E181" t="str">
            <v>Belen</v>
          </cell>
          <cell r="F181" t="str">
            <v>Diplomo</v>
          </cell>
          <cell r="G181" t="str">
            <v>Blen</v>
          </cell>
          <cell r="I181" t="str">
            <v>1979-07-20</v>
          </cell>
          <cell r="J181">
            <v>2</v>
          </cell>
          <cell r="K181">
            <v>1</v>
          </cell>
          <cell r="M181" t="str">
            <v>33-4700502-4</v>
          </cell>
          <cell r="N181" t="str">
            <v>298-427-772</v>
          </cell>
          <cell r="O181">
            <v>40</v>
          </cell>
          <cell r="P181">
            <v>488</v>
          </cell>
          <cell r="Q181">
            <v>58</v>
          </cell>
          <cell r="R181">
            <v>11</v>
          </cell>
          <cell r="S181">
            <v>0</v>
          </cell>
          <cell r="T181" t="str">
            <v xml:space="preserve">Alma Pelobello
53 F. M.L Quezon St. 
Hagonoy Tagiuig City
09051723136
</v>
          </cell>
          <cell r="U181" t="str">
            <v>2010-09-01</v>
          </cell>
        </row>
        <row r="182">
          <cell r="C182" t="str">
            <v>F027</v>
          </cell>
          <cell r="D182" t="str">
            <v>Ventura</v>
          </cell>
          <cell r="E182" t="str">
            <v>Roselie</v>
          </cell>
          <cell r="F182" t="str">
            <v>Donato</v>
          </cell>
          <cell r="G182" t="str">
            <v>Rozel</v>
          </cell>
          <cell r="H182">
            <v>9098332613</v>
          </cell>
          <cell r="I182" t="str">
            <v>1985-04-08</v>
          </cell>
          <cell r="J182">
            <v>2</v>
          </cell>
          <cell r="K182">
            <v>1</v>
          </cell>
          <cell r="M182" t="str">
            <v>04-1505104-2</v>
          </cell>
          <cell r="N182" t="str">
            <v>298-431-464</v>
          </cell>
          <cell r="O182">
            <v>43</v>
          </cell>
          <cell r="P182">
            <v>502</v>
          </cell>
          <cell r="Q182">
            <v>62</v>
          </cell>
          <cell r="R182">
            <v>12</v>
          </cell>
          <cell r="S182">
            <v>0</v>
          </cell>
          <cell r="T182" t="str">
            <v xml:space="preserve">Arnel E. Solano
92 C Francisco St., Barangka
Marikina City
0922-340-7126
</v>
          </cell>
          <cell r="U182" t="str">
            <v>2010-09-01</v>
          </cell>
        </row>
        <row r="183">
          <cell r="C183" t="str">
            <v>G001</v>
          </cell>
          <cell r="D183" t="str">
            <v>Erasquin</v>
          </cell>
          <cell r="E183" t="str">
            <v>Kevin Jan</v>
          </cell>
          <cell r="F183" t="str">
            <v>Torres</v>
          </cell>
          <cell r="G183" t="str">
            <v>Kevin</v>
          </cell>
          <cell r="H183" t="str">
            <v>(049)502-7083</v>
          </cell>
          <cell r="I183" t="str">
            <v>1987-05-12</v>
          </cell>
          <cell r="J183">
            <v>1</v>
          </cell>
          <cell r="K183">
            <v>1</v>
          </cell>
          <cell r="M183" t="str">
            <v>02-2718128-1</v>
          </cell>
          <cell r="N183" t="str">
            <v>404-745-794</v>
          </cell>
          <cell r="O183">
            <v>114</v>
          </cell>
          <cell r="P183">
            <v>487</v>
          </cell>
          <cell r="Q183">
            <v>61</v>
          </cell>
          <cell r="R183">
            <v>11</v>
          </cell>
          <cell r="S183">
            <v>0</v>
          </cell>
          <cell r="T183" t="str">
            <v xml:space="preserve">Narciso B. Erasquin Jr. 
#9 M. H. del Pilar St. Malasiqui, Pangasinan 
0905-142-4607
</v>
          </cell>
          <cell r="U183" t="str">
            <v>2011-01-13</v>
          </cell>
        </row>
        <row r="184">
          <cell r="C184">
            <v>8043</v>
          </cell>
          <cell r="D184" t="str">
            <v>Sevilla</v>
          </cell>
          <cell r="E184" t="str">
            <v>Claire</v>
          </cell>
          <cell r="F184" t="str">
            <v>Cabrestante</v>
          </cell>
          <cell r="G184" t="str">
            <v>Dimple</v>
          </cell>
          <cell r="H184" t="str">
            <v>0928-282-8133</v>
          </cell>
          <cell r="I184" t="str">
            <v>1982-11-05</v>
          </cell>
          <cell r="J184">
            <v>2</v>
          </cell>
          <cell r="K184">
            <v>2</v>
          </cell>
          <cell r="L184" t="str">
            <v>Jose Sevilla Jr.</v>
          </cell>
          <cell r="M184" t="str">
            <v>33-7597815-2</v>
          </cell>
          <cell r="N184" t="str">
            <v>224-514-524</v>
          </cell>
          <cell r="O184">
            <v>43</v>
          </cell>
          <cell r="P184">
            <v>492</v>
          </cell>
          <cell r="Q184">
            <v>55</v>
          </cell>
          <cell r="R184">
            <v>11</v>
          </cell>
          <cell r="S184">
            <v>0</v>
          </cell>
          <cell r="T184" t="str">
            <v>Jose R. Sevilla Jr.
Manggalang 1, Sitio Laylay Sariaya, Quezon</v>
          </cell>
          <cell r="U184" t="str">
            <v>2003-05-12</v>
          </cell>
        </row>
        <row r="185">
          <cell r="C185">
            <v>8325</v>
          </cell>
          <cell r="D185" t="str">
            <v>Lacerna</v>
          </cell>
          <cell r="E185" t="str">
            <v>Cheirly</v>
          </cell>
          <cell r="F185" t="str">
            <v>Rosales</v>
          </cell>
          <cell r="G185" t="str">
            <v>Chei</v>
          </cell>
          <cell r="I185" t="str">
            <v>1984-02-26</v>
          </cell>
          <cell r="J185">
            <v>2</v>
          </cell>
          <cell r="K185">
            <v>2</v>
          </cell>
          <cell r="L185" t="str">
            <v>Noriel Lacerna</v>
          </cell>
          <cell r="M185" t="str">
            <v>04-1272979-1</v>
          </cell>
          <cell r="N185" t="str">
            <v>227-970-630</v>
          </cell>
          <cell r="O185">
            <v>43</v>
          </cell>
          <cell r="P185">
            <v>493</v>
          </cell>
          <cell r="Q185">
            <v>55</v>
          </cell>
          <cell r="R185">
            <v>11</v>
          </cell>
          <cell r="S185">
            <v>0</v>
          </cell>
          <cell r="T185" t="str">
            <v xml:space="preserve">Noriel Lacerna
Brgy. Buliran San Antonio Quezon
09104488567
</v>
          </cell>
          <cell r="U185" t="str">
            <v>2003-10-03</v>
          </cell>
        </row>
        <row r="186">
          <cell r="C186">
            <v>8619</v>
          </cell>
          <cell r="D186" t="str">
            <v>Ramos</v>
          </cell>
          <cell r="E186" t="str">
            <v>Erwin</v>
          </cell>
          <cell r="F186" t="str">
            <v>Macatangay</v>
          </cell>
          <cell r="G186" t="str">
            <v>Ewin</v>
          </cell>
          <cell r="I186" t="str">
            <v>1980-07-26</v>
          </cell>
          <cell r="J186">
            <v>1</v>
          </cell>
          <cell r="K186">
            <v>2</v>
          </cell>
          <cell r="L186" t="str">
            <v>Janet Clavaton Lesano</v>
          </cell>
          <cell r="M186" t="str">
            <v>04-1471708-6</v>
          </cell>
          <cell r="N186" t="str">
            <v>234-497-032</v>
          </cell>
          <cell r="O186">
            <v>55</v>
          </cell>
          <cell r="P186">
            <v>486</v>
          </cell>
          <cell r="Q186">
            <v>59</v>
          </cell>
          <cell r="R186">
            <v>11</v>
          </cell>
          <cell r="S186">
            <v>0</v>
          </cell>
          <cell r="T186" t="str">
            <v xml:space="preserve">Janet C. Lesano 
Banaba West, Batangas City 
</v>
          </cell>
          <cell r="U186" t="str">
            <v>2004-02-23</v>
          </cell>
        </row>
        <row r="187">
          <cell r="C187">
            <v>8283</v>
          </cell>
          <cell r="D187" t="str">
            <v>Veloria</v>
          </cell>
          <cell r="E187" t="str">
            <v>Marlyn</v>
          </cell>
          <cell r="F187" t="str">
            <v>Palma</v>
          </cell>
          <cell r="G187" t="str">
            <v>Lyn ( Re- Hired)</v>
          </cell>
          <cell r="H187" t="str">
            <v>0995-162-6133</v>
          </cell>
          <cell r="I187" t="str">
            <v>1980-07-10</v>
          </cell>
          <cell r="J187">
            <v>2</v>
          </cell>
          <cell r="K187">
            <v>2</v>
          </cell>
          <cell r="L187" t="str">
            <v>Bernardo Veloria</v>
          </cell>
          <cell r="M187" t="str">
            <v>33-5073383-3</v>
          </cell>
          <cell r="N187" t="str">
            <v>224--267-655</v>
          </cell>
          <cell r="O187">
            <v>43</v>
          </cell>
          <cell r="P187">
            <v>387</v>
          </cell>
          <cell r="Q187">
            <v>20</v>
          </cell>
          <cell r="R187">
            <v>4</v>
          </cell>
          <cell r="S187">
            <v>0</v>
          </cell>
          <cell r="T187" t="str">
            <v xml:space="preserve">Bernie Veloria
B18 L32 St. Joseph Homes I
Brgy. Gulod, Cabuyao, Laguna
0943-546-7696
</v>
          </cell>
          <cell r="U187" t="str">
            <v>2005-03-01</v>
          </cell>
        </row>
        <row r="188">
          <cell r="C188">
            <v>8822</v>
          </cell>
          <cell r="D188" t="str">
            <v>Licuanan</v>
          </cell>
          <cell r="E188" t="str">
            <v>Riena</v>
          </cell>
          <cell r="F188" t="str">
            <v>Sumague</v>
          </cell>
          <cell r="G188" t="str">
            <v>Riena</v>
          </cell>
          <cell r="H188" t="str">
            <v>0908-177-8676</v>
          </cell>
          <cell r="I188" t="str">
            <v>1983-06-10</v>
          </cell>
          <cell r="J188">
            <v>2</v>
          </cell>
          <cell r="K188">
            <v>2</v>
          </cell>
          <cell r="L188" t="str">
            <v>Joji Capote Licuanan</v>
          </cell>
          <cell r="M188" t="str">
            <v>04-1121698-8</v>
          </cell>
          <cell r="N188" t="str">
            <v>211-976-111</v>
          </cell>
          <cell r="O188">
            <v>40</v>
          </cell>
          <cell r="P188">
            <v>500</v>
          </cell>
          <cell r="Q188">
            <v>65</v>
          </cell>
          <cell r="R188">
            <v>12</v>
          </cell>
          <cell r="S188">
            <v>0</v>
          </cell>
          <cell r="T188" t="str">
            <v>Jojie C. Licuanan
Purok 1 Capiz St.
Brgy. Malitlit, Sta. Rosa City
0948-789-7129</v>
          </cell>
          <cell r="U188" t="str">
            <v>2004-05-28</v>
          </cell>
        </row>
        <row r="189">
          <cell r="C189">
            <v>8755</v>
          </cell>
          <cell r="D189" t="str">
            <v>Faller</v>
          </cell>
          <cell r="E189" t="str">
            <v>Jose Mari</v>
          </cell>
          <cell r="F189" t="str">
            <v>Laguador</v>
          </cell>
          <cell r="G189" t="str">
            <v>Mawi</v>
          </cell>
          <cell r="H189" t="str">
            <v>0977-459-4838</v>
          </cell>
          <cell r="I189" t="str">
            <v>1981-05-30</v>
          </cell>
          <cell r="J189">
            <v>1</v>
          </cell>
          <cell r="K189">
            <v>2</v>
          </cell>
          <cell r="L189" t="str">
            <v>Genalyn N. Faller</v>
          </cell>
          <cell r="M189" t="str">
            <v>33-5653269-8</v>
          </cell>
          <cell r="N189" t="str">
            <v>231-462-428</v>
          </cell>
          <cell r="O189">
            <v>41</v>
          </cell>
          <cell r="P189">
            <v>494</v>
          </cell>
          <cell r="Q189">
            <v>57</v>
          </cell>
          <cell r="R189">
            <v>11</v>
          </cell>
          <cell r="S189">
            <v>0</v>
          </cell>
          <cell r="T189" t="str">
            <v xml:space="preserve">Genalyn Faller
B22 L7 Phase 1 Mabuhay City Homes, Brgy. Baclaran, Cabuyao, Laguna
09193777585
</v>
          </cell>
          <cell r="U189" t="str">
            <v>2004-05-12</v>
          </cell>
        </row>
        <row r="190">
          <cell r="C190">
            <v>8591</v>
          </cell>
          <cell r="D190" t="str">
            <v>Balingbing</v>
          </cell>
          <cell r="E190" t="str">
            <v>Jesusa</v>
          </cell>
          <cell r="F190" t="str">
            <v>Santos</v>
          </cell>
          <cell r="G190" t="str">
            <v>Bambie</v>
          </cell>
          <cell r="H190" t="str">
            <v>0915-934-5576</v>
          </cell>
          <cell r="I190" t="str">
            <v>1982-12-17</v>
          </cell>
          <cell r="J190">
            <v>2</v>
          </cell>
          <cell r="K190">
            <v>1</v>
          </cell>
          <cell r="M190" t="str">
            <v>04-3490062-4</v>
          </cell>
          <cell r="N190" t="str">
            <v>208-493-853</v>
          </cell>
          <cell r="O190">
            <v>32</v>
          </cell>
          <cell r="P190">
            <v>495</v>
          </cell>
          <cell r="Q190">
            <v>57</v>
          </cell>
          <cell r="R190">
            <v>11</v>
          </cell>
          <cell r="S190">
            <v>0</v>
          </cell>
          <cell r="T190" t="str">
            <v>Leticia S. Balingbing
# 23 Purok 1 Brgy Puting Lupa 
Calamba City , Laguna
0915-247-0350</v>
          </cell>
          <cell r="U190" t="str">
            <v>2004-02-20</v>
          </cell>
        </row>
        <row r="191">
          <cell r="C191">
            <v>4205</v>
          </cell>
          <cell r="D191" t="str">
            <v>Rivero</v>
          </cell>
          <cell r="E191" t="str">
            <v>Alice</v>
          </cell>
          <cell r="F191" t="str">
            <v>Baggao</v>
          </cell>
          <cell r="G191" t="str">
            <v>Grace</v>
          </cell>
          <cell r="I191" t="str">
            <v>1971-01-07</v>
          </cell>
          <cell r="J191">
            <v>2</v>
          </cell>
          <cell r="K191">
            <v>1</v>
          </cell>
          <cell r="M191" t="str">
            <v>33-2325096-1</v>
          </cell>
          <cell r="N191" t="str">
            <v>183-149-571</v>
          </cell>
          <cell r="O191">
            <v>7</v>
          </cell>
          <cell r="P191">
            <v>146</v>
          </cell>
          <cell r="Q191">
            <v>27</v>
          </cell>
          <cell r="R191">
            <v>6</v>
          </cell>
          <cell r="S191">
            <v>0</v>
          </cell>
          <cell r="T191" t="str">
            <v xml:space="preserve">Annabelle Mamaybar
Roxas City, Isabela
09997281518
</v>
          </cell>
          <cell r="U191" t="str">
            <v>1994-04-19</v>
          </cell>
        </row>
        <row r="192">
          <cell r="C192">
            <v>7623</v>
          </cell>
          <cell r="D192" t="str">
            <v>PeÃ±a</v>
          </cell>
          <cell r="E192" t="str">
            <v>Janilyn</v>
          </cell>
          <cell r="F192" t="str">
            <v>Mamayabay</v>
          </cell>
          <cell r="G192" t="str">
            <v>Jany</v>
          </cell>
          <cell r="H192" t="str">
            <v>0919-440-5988</v>
          </cell>
          <cell r="I192" t="str">
            <v>1981-05-23</v>
          </cell>
          <cell r="J192">
            <v>2</v>
          </cell>
          <cell r="K192">
            <v>2</v>
          </cell>
          <cell r="L192" t="str">
            <v>Larry Quezada PeÃ±a</v>
          </cell>
          <cell r="M192" t="str">
            <v>09-2061912-8</v>
          </cell>
          <cell r="N192" t="str">
            <v>219-327-619</v>
          </cell>
          <cell r="O192">
            <v>43</v>
          </cell>
          <cell r="P192">
            <v>146</v>
          </cell>
          <cell r="Q192">
            <v>27</v>
          </cell>
          <cell r="R192">
            <v>6</v>
          </cell>
          <cell r="S192">
            <v>0</v>
          </cell>
          <cell r="T192" t="str">
            <v>Lary Q. PeÃ±a
Pagbilao, Talipan
Quezon
0919-822-9150</v>
          </cell>
          <cell r="U192" t="str">
            <v>2002-06-27</v>
          </cell>
        </row>
        <row r="193">
          <cell r="C193">
            <v>8254</v>
          </cell>
          <cell r="D193" t="str">
            <v>Osias</v>
          </cell>
          <cell r="E193" t="str">
            <v>Jenilyn</v>
          </cell>
          <cell r="F193" t="str">
            <v>Canales</v>
          </cell>
          <cell r="G193" t="str">
            <v>Jenny (Re-Hired)</v>
          </cell>
          <cell r="I193" t="str">
            <v>1985-03-15</v>
          </cell>
          <cell r="J193">
            <v>2</v>
          </cell>
          <cell r="K193">
            <v>2</v>
          </cell>
          <cell r="L193" t="str">
            <v>Mark Joseph A Osias</v>
          </cell>
          <cell r="M193" t="str">
            <v>33-8307716-8</v>
          </cell>
          <cell r="N193" t="str">
            <v>227-964-205</v>
          </cell>
          <cell r="O193">
            <v>43</v>
          </cell>
          <cell r="P193">
            <v>146</v>
          </cell>
          <cell r="Q193">
            <v>27</v>
          </cell>
          <cell r="R193">
            <v>6</v>
          </cell>
          <cell r="S193">
            <v>0</v>
          </cell>
          <cell r="T193" t="str">
            <v xml:space="preserve">Ronilo Canales
Atimonan, Quezon
09174249312
</v>
          </cell>
          <cell r="U193" t="str">
            <v>2005-03-01</v>
          </cell>
        </row>
        <row r="194">
          <cell r="C194">
            <v>8307</v>
          </cell>
          <cell r="D194" t="str">
            <v>Sayson</v>
          </cell>
          <cell r="E194" t="str">
            <v>Ledia</v>
          </cell>
          <cell r="F194" t="str">
            <v>Panopio</v>
          </cell>
          <cell r="G194" t="str">
            <v>Ledz</v>
          </cell>
          <cell r="H194">
            <v>9094128348</v>
          </cell>
          <cell r="I194" t="str">
            <v>1982-11-30</v>
          </cell>
          <cell r="J194">
            <v>2</v>
          </cell>
          <cell r="K194">
            <v>2</v>
          </cell>
          <cell r="L194" t="str">
            <v>Paul Edward Sayson</v>
          </cell>
          <cell r="M194" t="str">
            <v>33-7207175-1</v>
          </cell>
          <cell r="N194" t="str">
            <v>218-586-886</v>
          </cell>
          <cell r="O194">
            <v>43</v>
          </cell>
          <cell r="P194">
            <v>387</v>
          </cell>
          <cell r="Q194">
            <v>20</v>
          </cell>
          <cell r="R194">
            <v>4</v>
          </cell>
          <cell r="S194">
            <v>0</v>
          </cell>
          <cell r="T194" t="str">
            <v>Paul Edward Sayson
GJC Apartment Magenta St. Goodwill II BF Homes Sucat Paranaque City
0930-329-3543</v>
          </cell>
          <cell r="U194" t="str">
            <v>2003-10-01</v>
          </cell>
        </row>
        <row r="195">
          <cell r="C195">
            <v>8493</v>
          </cell>
          <cell r="D195" t="str">
            <v>PeÃ±amante</v>
          </cell>
          <cell r="E195" t="str">
            <v>Emiliana</v>
          </cell>
          <cell r="F195" t="str">
            <v>Delgado</v>
          </cell>
          <cell r="G195" t="str">
            <v>Emie</v>
          </cell>
          <cell r="I195" t="str">
            <v>1981-01-05</v>
          </cell>
          <cell r="J195">
            <v>2</v>
          </cell>
          <cell r="K195">
            <v>2</v>
          </cell>
          <cell r="L195" t="str">
            <v>Norman PeÃ±amante</v>
          </cell>
          <cell r="M195" t="str">
            <v>04-3359863-9</v>
          </cell>
          <cell r="N195" t="str">
            <v>228-321-517</v>
          </cell>
          <cell r="O195">
            <v>43</v>
          </cell>
          <cell r="P195">
            <v>146</v>
          </cell>
          <cell r="Q195">
            <v>27</v>
          </cell>
          <cell r="R195">
            <v>6</v>
          </cell>
          <cell r="S195">
            <v>0</v>
          </cell>
          <cell r="T195" t="str">
            <v xml:space="preserve">Norman PeÃ±amante
Candelaria, Quezon
0915-445-0710
</v>
          </cell>
          <cell r="U195" t="str">
            <v>2003-12-04</v>
          </cell>
        </row>
        <row r="196">
          <cell r="C196">
            <v>8562</v>
          </cell>
          <cell r="D196" t="str">
            <v>Roxas</v>
          </cell>
          <cell r="E196" t="str">
            <v>Ruth</v>
          </cell>
          <cell r="F196" t="str">
            <v>Cortez</v>
          </cell>
          <cell r="G196" t="str">
            <v>Ruth</v>
          </cell>
          <cell r="H196" t="str">
            <v>0946-493-9011</v>
          </cell>
          <cell r="I196" t="str">
            <v>1981-05-19</v>
          </cell>
          <cell r="J196">
            <v>2</v>
          </cell>
          <cell r="K196">
            <v>2</v>
          </cell>
          <cell r="L196" t="str">
            <v>Dexter Roxas</v>
          </cell>
          <cell r="M196" t="str">
            <v>04-1289550-2</v>
          </cell>
          <cell r="N196" t="str">
            <v>224-827-929</v>
          </cell>
          <cell r="O196">
            <v>41</v>
          </cell>
          <cell r="P196">
            <v>146</v>
          </cell>
          <cell r="Q196">
            <v>27</v>
          </cell>
          <cell r="R196">
            <v>6</v>
          </cell>
          <cell r="S196">
            <v>0</v>
          </cell>
          <cell r="T196" t="str">
            <v xml:space="preserve">Dexter Roxas
San Antonio 1 San Pablo City
09163923135
</v>
          </cell>
          <cell r="U196" t="str">
            <v>2004-02-02</v>
          </cell>
        </row>
        <row r="197">
          <cell r="C197">
            <v>8785</v>
          </cell>
          <cell r="D197" t="str">
            <v>Pagsisihan</v>
          </cell>
          <cell r="E197" t="str">
            <v>Mary Ann</v>
          </cell>
          <cell r="F197" t="str">
            <v>Vale</v>
          </cell>
          <cell r="G197" t="str">
            <v>Ann</v>
          </cell>
          <cell r="I197" t="str">
            <v>1982-08-23</v>
          </cell>
          <cell r="J197">
            <v>2</v>
          </cell>
          <cell r="K197">
            <v>2</v>
          </cell>
          <cell r="L197" t="str">
            <v>Ronaldo H. Pagsisihan</v>
          </cell>
          <cell r="M197" t="str">
            <v>04-1117112-0</v>
          </cell>
          <cell r="N197" t="str">
            <v>215-423-300</v>
          </cell>
          <cell r="O197">
            <v>41</v>
          </cell>
          <cell r="P197">
            <v>146</v>
          </cell>
          <cell r="Q197">
            <v>27</v>
          </cell>
          <cell r="R197">
            <v>6</v>
          </cell>
          <cell r="S197">
            <v>0</v>
          </cell>
          <cell r="T197" t="str">
            <v xml:space="preserve">Ronald Pagsisihan
B22 L17 New Mahogany Village 
San Isidro, Cabuyao, Laguna
09198571295
</v>
          </cell>
          <cell r="U197" t="str">
            <v>2004-05-17</v>
          </cell>
        </row>
        <row r="198">
          <cell r="C198">
            <v>7723</v>
          </cell>
          <cell r="D198" t="str">
            <v>Porcare</v>
          </cell>
          <cell r="E198" t="str">
            <v>Joylyn</v>
          </cell>
          <cell r="F198" t="str">
            <v>Motin</v>
          </cell>
          <cell r="G198" t="str">
            <v>Joy</v>
          </cell>
          <cell r="I198" t="str">
            <v>1981-07-01</v>
          </cell>
          <cell r="J198">
            <v>2</v>
          </cell>
          <cell r="K198">
            <v>2</v>
          </cell>
          <cell r="L198" t="str">
            <v>Baltazar G. Porcare</v>
          </cell>
          <cell r="M198" t="str">
            <v>04-1157417-0</v>
          </cell>
          <cell r="N198" t="str">
            <v>220-448-975</v>
          </cell>
          <cell r="O198">
            <v>80</v>
          </cell>
          <cell r="P198">
            <v>500</v>
          </cell>
          <cell r="Q198">
            <v>65</v>
          </cell>
          <cell r="R198">
            <v>12</v>
          </cell>
          <cell r="S198">
            <v>0</v>
          </cell>
          <cell r="T198" t="str">
            <v xml:space="preserve">Bal Porcare
Blk.11 Lot 7 Buena Rosario,
Mamatid, Cabuyao, Laguna
09064613377
</v>
          </cell>
          <cell r="U198" t="str">
            <v>2002-09-16</v>
          </cell>
        </row>
        <row r="199">
          <cell r="C199">
            <v>7804</v>
          </cell>
          <cell r="D199" t="str">
            <v>Ordinario</v>
          </cell>
          <cell r="E199" t="str">
            <v>Michelle</v>
          </cell>
          <cell r="F199" t="str">
            <v>Gallardo</v>
          </cell>
          <cell r="G199" t="str">
            <v>Mitch</v>
          </cell>
          <cell r="I199" t="str">
            <v>1982-02-24</v>
          </cell>
          <cell r="J199">
            <v>2</v>
          </cell>
          <cell r="K199">
            <v>1</v>
          </cell>
          <cell r="M199" t="str">
            <v>33-7195228-2</v>
          </cell>
          <cell r="N199" t="str">
            <v>215-225-216</v>
          </cell>
          <cell r="O199">
            <v>43</v>
          </cell>
          <cell r="P199">
            <v>472</v>
          </cell>
          <cell r="Q199">
            <v>34</v>
          </cell>
          <cell r="R199">
            <v>8</v>
          </cell>
          <cell r="S199">
            <v>0</v>
          </cell>
          <cell r="T199" t="str">
            <v xml:space="preserve">Marinel Ordinario
Binondo Manila
0947 179 8094
</v>
          </cell>
          <cell r="U199" t="str">
            <v>2002-11-11</v>
          </cell>
        </row>
        <row r="200">
          <cell r="C200">
            <v>8494</v>
          </cell>
          <cell r="D200" t="str">
            <v>Labsan</v>
          </cell>
          <cell r="E200" t="str">
            <v>Airene</v>
          </cell>
          <cell r="F200" t="str">
            <v>Gomez</v>
          </cell>
          <cell r="G200" t="str">
            <v>Poly</v>
          </cell>
          <cell r="H200" t="str">
            <v>0909-295-8176</v>
          </cell>
          <cell r="I200" t="str">
            <v>1984-08-01</v>
          </cell>
          <cell r="J200">
            <v>2</v>
          </cell>
          <cell r="K200">
            <v>2</v>
          </cell>
          <cell r="L200" t="str">
            <v>Lester E. Labsan</v>
          </cell>
          <cell r="M200" t="str">
            <v>04-1253662-5</v>
          </cell>
          <cell r="N200" t="str">
            <v>228-313-123</v>
          </cell>
          <cell r="O200">
            <v>43</v>
          </cell>
          <cell r="P200">
            <v>472</v>
          </cell>
          <cell r="Q200">
            <v>34</v>
          </cell>
          <cell r="R200">
            <v>8</v>
          </cell>
          <cell r="S200">
            <v>0</v>
          </cell>
          <cell r="T200" t="str">
            <v xml:space="preserve">Lester E. Labsan
Blk. 7 Lot 4, Carmelray GK Village, Canlubang, Calamba City
0947 7001 082
</v>
          </cell>
          <cell r="U200" t="str">
            <v>2003-12-04</v>
          </cell>
        </row>
        <row r="201">
          <cell r="C201" t="str">
            <v>I003</v>
          </cell>
          <cell r="D201" t="str">
            <v>Villena</v>
          </cell>
          <cell r="E201" t="str">
            <v>Ronnie</v>
          </cell>
          <cell r="F201" t="str">
            <v>Magdamit</v>
          </cell>
          <cell r="G201" t="str">
            <v>Rhon</v>
          </cell>
          <cell r="H201" t="str">
            <v>0908-223-3013</v>
          </cell>
          <cell r="I201" t="str">
            <v>1987-05-20</v>
          </cell>
          <cell r="J201">
            <v>1</v>
          </cell>
          <cell r="K201">
            <v>2</v>
          </cell>
          <cell r="L201" t="str">
            <v>Precious L. Villena</v>
          </cell>
          <cell r="M201" t="str">
            <v>04-1997007-7</v>
          </cell>
          <cell r="N201" t="str">
            <v>267-445-571</v>
          </cell>
          <cell r="O201">
            <v>55</v>
          </cell>
          <cell r="P201">
            <v>466</v>
          </cell>
          <cell r="Q201">
            <v>33</v>
          </cell>
          <cell r="R201">
            <v>8</v>
          </cell>
          <cell r="S201">
            <v>0</v>
          </cell>
          <cell r="T201" t="str">
            <v>Precious L. Villena
Brgy. 5, Calauag, Quezon
0999-816-0221</v>
          </cell>
          <cell r="U201" t="str">
            <v>2013-10-03</v>
          </cell>
        </row>
        <row r="202">
          <cell r="C202" t="str">
            <v>I007</v>
          </cell>
          <cell r="D202" t="str">
            <v>PeÃ±aflorida</v>
          </cell>
          <cell r="E202" t="str">
            <v>Crizalde</v>
          </cell>
          <cell r="F202" t="str">
            <v>Berador</v>
          </cell>
          <cell r="G202" t="str">
            <v>Criz</v>
          </cell>
          <cell r="H202" t="str">
            <v>0929-325-7086</v>
          </cell>
          <cell r="I202" t="str">
            <v>1988-04-02</v>
          </cell>
          <cell r="J202">
            <v>1</v>
          </cell>
          <cell r="K202">
            <v>2</v>
          </cell>
          <cell r="L202" t="str">
            <v>Jasmin Comia Yao</v>
          </cell>
          <cell r="M202" t="str">
            <v>04-2272530-3</v>
          </cell>
          <cell r="N202" t="str">
            <v>308-751-487</v>
          </cell>
          <cell r="O202">
            <v>113</v>
          </cell>
          <cell r="P202">
            <v>484</v>
          </cell>
          <cell r="Q202">
            <v>60</v>
          </cell>
          <cell r="R202">
            <v>11</v>
          </cell>
          <cell r="S202">
            <v>0</v>
          </cell>
          <cell r="T202" t="str">
            <v>Consorcia Penaflorida
Brgy. Sisi, Guinayangan, Quezon
0909-567-2045</v>
          </cell>
          <cell r="U202" t="str">
            <v>2013-12-02</v>
          </cell>
        </row>
        <row r="203">
          <cell r="C203" t="str">
            <v>K003</v>
          </cell>
          <cell r="D203" t="str">
            <v>Tobias</v>
          </cell>
          <cell r="E203" t="str">
            <v>Ara Mae</v>
          </cell>
          <cell r="F203" t="str">
            <v>San Buenaventura</v>
          </cell>
          <cell r="G203" t="str">
            <v>Ara</v>
          </cell>
          <cell r="H203" t="str">
            <v>0922-847-7503</v>
          </cell>
          <cell r="I203" t="str">
            <v>1993-05-12</v>
          </cell>
          <cell r="J203">
            <v>2</v>
          </cell>
          <cell r="K203">
            <v>2</v>
          </cell>
          <cell r="L203" t="str">
            <v>Ted Jerome Oxina Tobias</v>
          </cell>
          <cell r="M203" t="str">
            <v>04-2808648-6</v>
          </cell>
          <cell r="N203" t="str">
            <v>439-038-707</v>
          </cell>
          <cell r="O203">
            <v>78</v>
          </cell>
          <cell r="P203">
            <v>9</v>
          </cell>
          <cell r="Q203">
            <v>4</v>
          </cell>
          <cell r="R203">
            <v>1</v>
          </cell>
          <cell r="S203">
            <v>0</v>
          </cell>
          <cell r="T203" t="str">
            <v>Seony S. San Buenaventura
B7 L3 Bay Hill Exec.
Palo Alto, Calamba City 
0905-215-4802</v>
          </cell>
          <cell r="U203" t="str">
            <v>2015-02-13</v>
          </cell>
        </row>
        <row r="204">
          <cell r="C204" t="str">
            <v>K004</v>
          </cell>
          <cell r="D204" t="str">
            <v>Mendiola</v>
          </cell>
          <cell r="E204" t="str">
            <v>Jerico</v>
          </cell>
          <cell r="F204" t="str">
            <v>Espero</v>
          </cell>
          <cell r="G204" t="str">
            <v>Ecoh</v>
          </cell>
          <cell r="H204" t="str">
            <v>0933-671-3667</v>
          </cell>
          <cell r="I204" t="str">
            <v>1990-11-14</v>
          </cell>
          <cell r="J204">
            <v>1</v>
          </cell>
          <cell r="K204">
            <v>1</v>
          </cell>
          <cell r="M204" t="str">
            <v>04-2820759-5</v>
          </cell>
          <cell r="N204" t="str">
            <v>275-587-481</v>
          </cell>
          <cell r="O204">
            <v>82</v>
          </cell>
          <cell r="P204">
            <v>485</v>
          </cell>
          <cell r="Q204">
            <v>59</v>
          </cell>
          <cell r="R204">
            <v>11</v>
          </cell>
          <cell r="S204">
            <v>0</v>
          </cell>
          <cell r="T204" t="str">
            <v>Joel Andre E. Mendiola 
Fajardo II St., Lecheria, 
Calamba City
0932-864-8043</v>
          </cell>
          <cell r="U204" t="str">
            <v>2015-03-17</v>
          </cell>
        </row>
        <row r="205">
          <cell r="C205" t="str">
            <v>K010</v>
          </cell>
          <cell r="D205" t="str">
            <v>Sulit</v>
          </cell>
          <cell r="E205" t="str">
            <v>Janessa</v>
          </cell>
          <cell r="F205" t="str">
            <v>Gecolea</v>
          </cell>
          <cell r="G205" t="str">
            <v>Nessa</v>
          </cell>
          <cell r="H205" t="str">
            <v>0906-441-4420</v>
          </cell>
          <cell r="I205" t="str">
            <v>1994-04-20</v>
          </cell>
          <cell r="J205">
            <v>2</v>
          </cell>
          <cell r="K205">
            <v>2</v>
          </cell>
          <cell r="L205" t="str">
            <v>Ryan Pagaspas Sulit</v>
          </cell>
          <cell r="M205" t="str">
            <v>04-2969446-6</v>
          </cell>
          <cell r="N205" t="str">
            <v>473-803-982</v>
          </cell>
          <cell r="O205">
            <v>103</v>
          </cell>
          <cell r="P205">
            <v>406</v>
          </cell>
          <cell r="Q205">
            <v>51</v>
          </cell>
          <cell r="R205">
            <v>1</v>
          </cell>
          <cell r="S205">
            <v>0</v>
          </cell>
          <cell r="T205" t="str">
            <v>Ryan P. Sulit
Blk6 Lot18 Lynville Residences Brgy. Palo Alto Calamba City
0905-49-3675</v>
          </cell>
          <cell r="U205" t="str">
            <v>2015-08-01</v>
          </cell>
        </row>
        <row r="206">
          <cell r="C206" t="str">
            <v>K014</v>
          </cell>
          <cell r="D206" t="str">
            <v>Cahinhinan</v>
          </cell>
          <cell r="E206" t="str">
            <v>Renel</v>
          </cell>
          <cell r="F206" t="str">
            <v>Morilla</v>
          </cell>
          <cell r="G206" t="str">
            <v>Nel</v>
          </cell>
          <cell r="H206" t="str">
            <v>0998-254-7877</v>
          </cell>
          <cell r="I206" t="str">
            <v>1990-09-23</v>
          </cell>
          <cell r="J206">
            <v>1</v>
          </cell>
          <cell r="K206">
            <v>1</v>
          </cell>
          <cell r="M206" t="str">
            <v>34-1550289-9</v>
          </cell>
          <cell r="N206" t="str">
            <v>282-299-606</v>
          </cell>
          <cell r="O206">
            <v>55</v>
          </cell>
          <cell r="P206">
            <v>486</v>
          </cell>
          <cell r="Q206">
            <v>59</v>
          </cell>
          <cell r="R206">
            <v>11</v>
          </cell>
          <cell r="S206">
            <v>0</v>
          </cell>
          <cell r="T206" t="str">
            <v xml:space="preserve">Ricardo S. Cahinhinan
B37 L24 Palao, Canlubang
Calamba City
0921-545-4522 </v>
          </cell>
          <cell r="U206" t="str">
            <v>2015-09-01</v>
          </cell>
        </row>
        <row r="207">
          <cell r="C207" t="str">
            <v>K015</v>
          </cell>
          <cell r="D207" t="str">
            <v>Mayuga</v>
          </cell>
          <cell r="E207" t="str">
            <v>Rollan</v>
          </cell>
          <cell r="F207" t="str">
            <v>Diata</v>
          </cell>
          <cell r="G207" t="str">
            <v>Rollan</v>
          </cell>
          <cell r="H207" t="str">
            <v>0939-232-2230</v>
          </cell>
          <cell r="I207" t="str">
            <v>1988-03-19</v>
          </cell>
          <cell r="J207">
            <v>1</v>
          </cell>
          <cell r="K207">
            <v>2</v>
          </cell>
          <cell r="L207" t="str">
            <v>Sheryleen Albania Dallisay</v>
          </cell>
          <cell r="M207" t="str">
            <v>04-1745832-6</v>
          </cell>
          <cell r="N207" t="str">
            <v>247-479-404</v>
          </cell>
          <cell r="O207">
            <v>55</v>
          </cell>
          <cell r="P207">
            <v>499</v>
          </cell>
          <cell r="Q207">
            <v>66</v>
          </cell>
          <cell r="R207">
            <v>12</v>
          </cell>
          <cell r="S207">
            <v>0</v>
          </cell>
          <cell r="T207" t="str">
            <v xml:space="preserve">Sheryleen D. Mayuga
same as city address
0948-390-5788 </v>
          </cell>
          <cell r="U207" t="str">
            <v>2015-09-01</v>
          </cell>
        </row>
        <row r="208">
          <cell r="C208" t="str">
            <v>K017</v>
          </cell>
          <cell r="D208" t="str">
            <v>Penullar Jr</v>
          </cell>
          <cell r="E208" t="str">
            <v>Teofilo</v>
          </cell>
          <cell r="F208" t="str">
            <v>Curatchea</v>
          </cell>
          <cell r="G208" t="str">
            <v>Jhun</v>
          </cell>
          <cell r="H208" t="str">
            <v>0919-965-5590</v>
          </cell>
          <cell r="I208" t="str">
            <v>1980-04-12</v>
          </cell>
          <cell r="J208">
            <v>1</v>
          </cell>
          <cell r="K208">
            <v>2</v>
          </cell>
          <cell r="M208" t="str">
            <v>02-3136185-1</v>
          </cell>
          <cell r="N208" t="str">
            <v>476-098-498</v>
          </cell>
          <cell r="O208">
            <v>55</v>
          </cell>
          <cell r="P208">
            <v>148</v>
          </cell>
          <cell r="Q208">
            <v>29</v>
          </cell>
          <cell r="R208">
            <v>6</v>
          </cell>
          <cell r="S208">
            <v>0</v>
          </cell>
          <cell r="T208" t="str">
            <v>Line P. Dichoso
B37 L71 Palm Hills, Palo Ato,
Calamba City</v>
          </cell>
          <cell r="U208" t="str">
            <v>2015-10-21</v>
          </cell>
        </row>
        <row r="209">
          <cell r="C209" t="str">
            <v>K016</v>
          </cell>
          <cell r="D209" t="str">
            <v>Velasco</v>
          </cell>
          <cell r="E209" t="str">
            <v>Kayven</v>
          </cell>
          <cell r="F209" t="str">
            <v>Patches</v>
          </cell>
          <cell r="G209" t="str">
            <v>Kevz</v>
          </cell>
          <cell r="H209" t="str">
            <v>0929-423-8059</v>
          </cell>
          <cell r="I209" t="str">
            <v>1989-11-17</v>
          </cell>
          <cell r="J209">
            <v>1</v>
          </cell>
          <cell r="K209">
            <v>1</v>
          </cell>
          <cell r="M209" t="str">
            <v>07-2542954-2</v>
          </cell>
          <cell r="N209" t="str">
            <v>409-625-603</v>
          </cell>
          <cell r="O209">
            <v>55</v>
          </cell>
          <cell r="P209">
            <v>148</v>
          </cell>
          <cell r="Q209">
            <v>29</v>
          </cell>
          <cell r="R209">
            <v>6</v>
          </cell>
          <cell r="S209">
            <v>0</v>
          </cell>
          <cell r="T209" t="str">
            <v>Mae Flor Fatima Velasco
B36 L8 Palao Canlubang
Calamba City 
0998-368-1935</v>
          </cell>
          <cell r="U209" t="str">
            <v>2015-09-01</v>
          </cell>
        </row>
        <row r="210">
          <cell r="C210" t="str">
            <v>K022</v>
          </cell>
          <cell r="D210" t="str">
            <v>Sarmiento</v>
          </cell>
          <cell r="E210" t="str">
            <v>Engelbert</v>
          </cell>
          <cell r="F210" t="str">
            <v>Sosa</v>
          </cell>
          <cell r="G210" t="str">
            <v>Bert</v>
          </cell>
          <cell r="H210" t="str">
            <v>0947-736-79-03</v>
          </cell>
          <cell r="I210" t="str">
            <v>1992-09-22</v>
          </cell>
          <cell r="J210">
            <v>1</v>
          </cell>
          <cell r="K210">
            <v>1</v>
          </cell>
          <cell r="M210" t="str">
            <v>04-2415809-1</v>
          </cell>
          <cell r="N210" t="str">
            <v>414-528-638</v>
          </cell>
          <cell r="O210">
            <v>82</v>
          </cell>
          <cell r="P210">
            <v>466</v>
          </cell>
          <cell r="Q210">
            <v>33</v>
          </cell>
          <cell r="R210">
            <v>8</v>
          </cell>
          <cell r="S210">
            <v>0</v>
          </cell>
          <cell r="T210" t="str">
            <v>Rosita S. Sarmiento 
Guimbonan Gloria
Oriental Mindoro
0921-606-1873</v>
          </cell>
          <cell r="U210" t="str">
            <v>2015-10-05</v>
          </cell>
        </row>
        <row r="211">
          <cell r="C211" t="str">
            <v>K025</v>
          </cell>
          <cell r="D211" t="str">
            <v>De Pedro</v>
          </cell>
          <cell r="E211" t="str">
            <v>Angelito Jr.</v>
          </cell>
          <cell r="F211" t="str">
            <v>Valsorable</v>
          </cell>
          <cell r="G211" t="str">
            <v>Jojo</v>
          </cell>
          <cell r="H211" t="str">
            <v>0918-423-0217</v>
          </cell>
          <cell r="I211" t="str">
            <v>1983-01-31</v>
          </cell>
          <cell r="J211">
            <v>1</v>
          </cell>
          <cell r="K211">
            <v>2</v>
          </cell>
          <cell r="L211" t="str">
            <v>Catherine Villarmil Moya</v>
          </cell>
          <cell r="M211" t="str">
            <v>04-1186974-6</v>
          </cell>
          <cell r="N211" t="str">
            <v>232-611-182</v>
          </cell>
          <cell r="O211">
            <v>82</v>
          </cell>
          <cell r="P211">
            <v>466</v>
          </cell>
          <cell r="Q211">
            <v>33</v>
          </cell>
          <cell r="R211">
            <v>8</v>
          </cell>
          <cell r="S211">
            <v>0</v>
          </cell>
          <cell r="T211" t="str">
            <v>Catherine M. De Pedro
B6 L30 Carlton Residences,
Brgy. Dita, Sta. Rosa City
0929-412-8618</v>
          </cell>
          <cell r="U211" t="str">
            <v>2015-10-26</v>
          </cell>
        </row>
        <row r="212">
          <cell r="C212" t="str">
            <v>L002</v>
          </cell>
          <cell r="D212" t="str">
            <v>Hugo Jr.</v>
          </cell>
          <cell r="E212" t="str">
            <v xml:space="preserve">Jesus </v>
          </cell>
          <cell r="F212" t="str">
            <v xml:space="preserve">Gonzales </v>
          </cell>
          <cell r="G212" t="str">
            <v xml:space="preserve">Jess / Tiboy </v>
          </cell>
          <cell r="H212" t="str">
            <v>0921-964-6591</v>
          </cell>
          <cell r="I212" t="str">
            <v>1981-08-11</v>
          </cell>
          <cell r="J212">
            <v>1</v>
          </cell>
          <cell r="K212">
            <v>1</v>
          </cell>
          <cell r="M212" t="str">
            <v>04-1345104-2</v>
          </cell>
          <cell r="N212" t="str">
            <v>322-898-540</v>
          </cell>
          <cell r="O212">
            <v>97</v>
          </cell>
          <cell r="P212">
            <v>494</v>
          </cell>
          <cell r="Q212">
            <v>57</v>
          </cell>
          <cell r="R212">
            <v>11</v>
          </cell>
          <cell r="S212">
            <v>0</v>
          </cell>
          <cell r="T212" t="str">
            <v>Jeanette H. Madali
Brgy. San Nicolas, San Pablo City, Laguna
0965-703-0717</v>
          </cell>
          <cell r="U212" t="str">
            <v>2016-01-04</v>
          </cell>
        </row>
        <row r="213">
          <cell r="C213" t="str">
            <v>L013</v>
          </cell>
          <cell r="D213" t="str">
            <v>Veloria</v>
          </cell>
          <cell r="E213" t="str">
            <v>Rosebelt</v>
          </cell>
          <cell r="F213" t="str">
            <v>Esteban</v>
          </cell>
          <cell r="G213" t="str">
            <v>Belt</v>
          </cell>
          <cell r="I213" t="str">
            <v>1985-11-24</v>
          </cell>
          <cell r="J213">
            <v>1</v>
          </cell>
          <cell r="K213">
            <v>2</v>
          </cell>
          <cell r="L213" t="str">
            <v>Leneth Saez Sales</v>
          </cell>
          <cell r="M213" t="str">
            <v>33-9627861-1</v>
          </cell>
          <cell r="N213" t="str">
            <v>484-770-360</v>
          </cell>
          <cell r="O213">
            <v>55</v>
          </cell>
          <cell r="P213">
            <v>485</v>
          </cell>
          <cell r="Q213">
            <v>59</v>
          </cell>
          <cell r="R213">
            <v>11</v>
          </cell>
          <cell r="S213">
            <v>0</v>
          </cell>
          <cell r="T213" t="str">
            <v>Leneth S. Veloria 
#0669 Purok 6, Brgy. Sirang Lupa,
Calamba City
0929-284-4539</v>
          </cell>
          <cell r="U213" t="str">
            <v>2016-05-05</v>
          </cell>
        </row>
        <row r="214">
          <cell r="C214" t="str">
            <v>L014</v>
          </cell>
          <cell r="D214" t="str">
            <v>Bautista</v>
          </cell>
          <cell r="E214" t="str">
            <v>Maria Liza</v>
          </cell>
          <cell r="F214" t="str">
            <v>Bergonio</v>
          </cell>
          <cell r="G214" t="str">
            <v>Liza</v>
          </cell>
          <cell r="H214" t="str">
            <v>0928-401-8692</v>
          </cell>
          <cell r="I214" t="str">
            <v>1989-05-11</v>
          </cell>
          <cell r="J214">
            <v>2</v>
          </cell>
          <cell r="K214">
            <v>1</v>
          </cell>
          <cell r="M214" t="str">
            <v>04-1912195-2</v>
          </cell>
          <cell r="N214" t="str">
            <v>484-765-104</v>
          </cell>
          <cell r="O214">
            <v>43</v>
          </cell>
          <cell r="P214">
            <v>493</v>
          </cell>
          <cell r="Q214">
            <v>55</v>
          </cell>
          <cell r="R214">
            <v>11</v>
          </cell>
          <cell r="S214">
            <v>0</v>
          </cell>
          <cell r="T214" t="str">
            <v>Nelia B. Bautista
Purok 5, Brgy. Sucol, 
Calamba City
0925-837-8039</v>
          </cell>
          <cell r="U214" t="str">
            <v>2016-05-05</v>
          </cell>
        </row>
        <row r="215">
          <cell r="C215" t="str">
            <v>L015</v>
          </cell>
          <cell r="D215" t="str">
            <v>Comendador Jr.</v>
          </cell>
          <cell r="E215" t="str">
            <v>Rolando</v>
          </cell>
          <cell r="F215" t="str">
            <v>Joyosa</v>
          </cell>
          <cell r="G215" t="str">
            <v>Lanz</v>
          </cell>
          <cell r="H215" t="str">
            <v>0947-775-1689</v>
          </cell>
          <cell r="I215" t="str">
            <v>1990-08-16</v>
          </cell>
          <cell r="J215">
            <v>1</v>
          </cell>
          <cell r="K215">
            <v>2</v>
          </cell>
          <cell r="L215" t="str">
            <v>Herminiana Atienza Carsocho</v>
          </cell>
          <cell r="M215" t="str">
            <v>04-2378777-7</v>
          </cell>
          <cell r="N215" t="str">
            <v>410-692-007</v>
          </cell>
          <cell r="O215">
            <v>55</v>
          </cell>
          <cell r="P215">
            <v>499</v>
          </cell>
          <cell r="Q215">
            <v>66</v>
          </cell>
          <cell r="R215">
            <v>12</v>
          </cell>
          <cell r="S215">
            <v>0</v>
          </cell>
          <cell r="T215" t="str">
            <v>Teresita J. Comendador
Brgy. Balayong, 
Nagcarlan Laguna
0948-118-6553</v>
          </cell>
          <cell r="U215" t="str">
            <v>2016-05-05</v>
          </cell>
        </row>
        <row r="216">
          <cell r="C216" t="str">
            <v>L016</v>
          </cell>
          <cell r="D216" t="str">
            <v>Cruzado</v>
          </cell>
          <cell r="E216" t="str">
            <v>Janice</v>
          </cell>
          <cell r="F216" t="str">
            <v>Lucero</v>
          </cell>
          <cell r="G216" t="str">
            <v>Ice</v>
          </cell>
          <cell r="H216" t="str">
            <v>0929-537-7502</v>
          </cell>
          <cell r="I216" t="str">
            <v>1985-01-28</v>
          </cell>
          <cell r="J216">
            <v>2</v>
          </cell>
          <cell r="K216">
            <v>1</v>
          </cell>
          <cell r="M216" t="str">
            <v>04-1353673-4</v>
          </cell>
          <cell r="N216" t="str">
            <v>227-711-680</v>
          </cell>
          <cell r="O216">
            <v>43</v>
          </cell>
          <cell r="P216">
            <v>492</v>
          </cell>
          <cell r="Q216">
            <v>55</v>
          </cell>
          <cell r="R216">
            <v>11</v>
          </cell>
          <cell r="S216">
            <v>0</v>
          </cell>
          <cell r="T216" t="str">
            <v>Celistina L. Cruzado
092 Capiz St. Purok 1, 
Brgy. Malitlit, Sta. Rosa City
0930-946-8061</v>
          </cell>
          <cell r="U216" t="str">
            <v>2016-05-05</v>
          </cell>
        </row>
        <row r="217">
          <cell r="C217" t="str">
            <v>L017</v>
          </cell>
          <cell r="D217" t="str">
            <v>Fabunan</v>
          </cell>
          <cell r="E217" t="str">
            <v>Rowena</v>
          </cell>
          <cell r="F217" t="str">
            <v>Layman</v>
          </cell>
          <cell r="G217" t="str">
            <v>Wena</v>
          </cell>
          <cell r="H217">
            <v>9355566012</v>
          </cell>
          <cell r="I217" t="str">
            <v>1989-02-14</v>
          </cell>
          <cell r="J217">
            <v>2</v>
          </cell>
          <cell r="K217">
            <v>1</v>
          </cell>
          <cell r="M217" t="str">
            <v>04-1848790-1</v>
          </cell>
          <cell r="N217" t="str">
            <v>264-258-427</v>
          </cell>
          <cell r="O217">
            <v>43</v>
          </cell>
          <cell r="P217">
            <v>502</v>
          </cell>
          <cell r="Q217">
            <v>62</v>
          </cell>
          <cell r="R217">
            <v>12</v>
          </cell>
          <cell r="S217">
            <v>0</v>
          </cell>
          <cell r="T217" t="str">
            <v>Miadel F. Ambuyoc
Purok Bay-Bay Dagay Brgy. Hondagua Lopez Quezon
09438120152
0906-255-5170</v>
          </cell>
          <cell r="U217" t="str">
            <v>2016-05-05</v>
          </cell>
        </row>
        <row r="218">
          <cell r="C218" t="str">
            <v>L019</v>
          </cell>
          <cell r="D218" t="str">
            <v>Hernandez</v>
          </cell>
          <cell r="E218" t="str">
            <v>Jessie</v>
          </cell>
          <cell r="F218" t="str">
            <v>Orario</v>
          </cell>
          <cell r="G218" t="str">
            <v>Jhes</v>
          </cell>
          <cell r="H218" t="str">
            <v>0912-310-6162</v>
          </cell>
          <cell r="I218" t="str">
            <v>1986-09-10</v>
          </cell>
          <cell r="J218">
            <v>1</v>
          </cell>
          <cell r="K218">
            <v>2</v>
          </cell>
          <cell r="L218" t="str">
            <v>April Montealegre Enriquez</v>
          </cell>
          <cell r="M218" t="str">
            <v>04-1553835-8</v>
          </cell>
          <cell r="N218" t="str">
            <v>240-032-839</v>
          </cell>
          <cell r="O218">
            <v>55</v>
          </cell>
          <cell r="P218">
            <v>486</v>
          </cell>
          <cell r="Q218">
            <v>59</v>
          </cell>
          <cell r="R218">
            <v>11</v>
          </cell>
          <cell r="S218">
            <v>0</v>
          </cell>
          <cell r="T218" t="str">
            <v xml:space="preserve">Joemar Hernandez
Ph IV Innovation Ville,
Brgy. Pooc, Sta. Rosa City
0909-485-9330 </v>
          </cell>
          <cell r="U218" t="str">
            <v>2016-05-05</v>
          </cell>
        </row>
        <row r="219">
          <cell r="C219" t="str">
            <v>L020</v>
          </cell>
          <cell r="D219" t="str">
            <v>Perilla</v>
          </cell>
          <cell r="E219" t="str">
            <v>Laura</v>
          </cell>
          <cell r="F219" t="str">
            <v>Pico</v>
          </cell>
          <cell r="G219" t="str">
            <v>Lhac</v>
          </cell>
          <cell r="H219" t="str">
            <v>0999-491-9469</v>
          </cell>
          <cell r="I219" t="str">
            <v>1986-10-29</v>
          </cell>
          <cell r="J219">
            <v>2</v>
          </cell>
          <cell r="K219">
            <v>2</v>
          </cell>
          <cell r="L219" t="str">
            <v>PJ Cornejo Perilla</v>
          </cell>
          <cell r="M219" t="str">
            <v>33-9224996-1</v>
          </cell>
          <cell r="N219" t="str">
            <v>484-766-939</v>
          </cell>
          <cell r="O219">
            <v>41</v>
          </cell>
          <cell r="P219">
            <v>502</v>
          </cell>
          <cell r="Q219">
            <v>62</v>
          </cell>
          <cell r="R219">
            <v>12</v>
          </cell>
          <cell r="S219">
            <v>0</v>
          </cell>
          <cell r="T219" t="str">
            <v>PJ C. Perilla
B10 L13 Purok 4 On-Site, 
Brgy. Buli, Muntinlupa City
0921-371-5864
0977-385-7827</v>
          </cell>
          <cell r="U219" t="str">
            <v>2016-05-05</v>
          </cell>
        </row>
        <row r="220">
          <cell r="C220" t="str">
            <v>L021</v>
          </cell>
          <cell r="D220" t="str">
            <v>Ramos</v>
          </cell>
          <cell r="E220" t="str">
            <v>Jeffrey</v>
          </cell>
          <cell r="F220" t="str">
            <v>Nale</v>
          </cell>
          <cell r="G220" t="str">
            <v>Jepoy</v>
          </cell>
          <cell r="H220" t="str">
            <v>0930-126-5627</v>
          </cell>
          <cell r="I220" t="str">
            <v>1987-11-12</v>
          </cell>
          <cell r="J220">
            <v>1</v>
          </cell>
          <cell r="K220">
            <v>2</v>
          </cell>
          <cell r="L220" t="str">
            <v>Carla Buendia Peteros</v>
          </cell>
          <cell r="M220" t="str">
            <v>04-2037462-0</v>
          </cell>
          <cell r="N220" t="str">
            <v>484-767-121</v>
          </cell>
          <cell r="O220">
            <v>55</v>
          </cell>
          <cell r="P220">
            <v>485</v>
          </cell>
          <cell r="Q220">
            <v>59</v>
          </cell>
          <cell r="R220">
            <v>11</v>
          </cell>
          <cell r="S220">
            <v>0</v>
          </cell>
          <cell r="T220" t="str">
            <v>Ma. Chona N. Ramos
B14 L6 Ph2 Ext. Mabuhay, 
Brgy. Mamatid, Cabuyao City
0919-883-4252</v>
          </cell>
          <cell r="U220" t="str">
            <v>2016-05-05</v>
          </cell>
        </row>
        <row r="221">
          <cell r="C221" t="str">
            <v>L022</v>
          </cell>
          <cell r="D221" t="str">
            <v>Sison</v>
          </cell>
          <cell r="E221" t="str">
            <v>Marissa</v>
          </cell>
          <cell r="F221" t="str">
            <v>Valenzuela</v>
          </cell>
          <cell r="G221" t="str">
            <v>Rhiez</v>
          </cell>
          <cell r="H221">
            <v>9483168110</v>
          </cell>
          <cell r="I221" t="str">
            <v>1975-12-13</v>
          </cell>
          <cell r="J221">
            <v>2</v>
          </cell>
          <cell r="K221">
            <v>1</v>
          </cell>
          <cell r="M221" t="str">
            <v>33-3391243-5</v>
          </cell>
          <cell r="N221" t="str">
            <v>484-768-768</v>
          </cell>
          <cell r="O221">
            <v>43</v>
          </cell>
          <cell r="P221">
            <v>502</v>
          </cell>
          <cell r="Q221">
            <v>62</v>
          </cell>
          <cell r="R221">
            <v>12</v>
          </cell>
          <cell r="S221">
            <v>0</v>
          </cell>
          <cell r="T221" t="str">
            <v>Grislyn EreÃ±o
B45 L6 Ph6 Mabuhay City, Mamatid Cabuyao City Laguna
09469678354</v>
          </cell>
          <cell r="U221" t="str">
            <v>2016-05-05</v>
          </cell>
        </row>
        <row r="222">
          <cell r="C222" t="str">
            <v>L023</v>
          </cell>
          <cell r="D222" t="str">
            <v>Sustento</v>
          </cell>
          <cell r="E222" t="str">
            <v>Joyce</v>
          </cell>
          <cell r="F222" t="str">
            <v>Peralta</v>
          </cell>
          <cell r="G222" t="str">
            <v>Joy</v>
          </cell>
          <cell r="H222" t="str">
            <v>0949-355-9358</v>
          </cell>
          <cell r="I222" t="str">
            <v>1989-09-30</v>
          </cell>
          <cell r="J222">
            <v>2</v>
          </cell>
          <cell r="K222">
            <v>1</v>
          </cell>
          <cell r="M222" t="str">
            <v>09-3109078-1</v>
          </cell>
          <cell r="N222" t="str">
            <v>484-769-204</v>
          </cell>
          <cell r="O222">
            <v>97</v>
          </cell>
          <cell r="P222">
            <v>488</v>
          </cell>
          <cell r="Q222">
            <v>58</v>
          </cell>
          <cell r="R222">
            <v>11</v>
          </cell>
          <cell r="S222">
            <v>0</v>
          </cell>
          <cell r="T222" t="str">
            <v xml:space="preserve">Ronald P. Sustento
Upper Bicutan, Taguig City
0919-472-2700 </v>
          </cell>
          <cell r="U222" t="str">
            <v>2016-05-05</v>
          </cell>
        </row>
        <row r="223">
          <cell r="C223" t="str">
            <v>L027</v>
          </cell>
          <cell r="D223" t="str">
            <v>Surquia</v>
          </cell>
          <cell r="E223" t="str">
            <v>Ginalyn</v>
          </cell>
          <cell r="F223" t="str">
            <v>Rubion</v>
          </cell>
          <cell r="G223" t="str">
            <v>Gina</v>
          </cell>
          <cell r="H223" t="str">
            <v>0907-145-4536</v>
          </cell>
          <cell r="I223" t="str">
            <v>1992-03-15</v>
          </cell>
          <cell r="J223">
            <v>2</v>
          </cell>
          <cell r="K223">
            <v>1</v>
          </cell>
          <cell r="M223" t="str">
            <v>04-2486158-2</v>
          </cell>
          <cell r="N223" t="str">
            <v>484-768-971</v>
          </cell>
          <cell r="O223">
            <v>40</v>
          </cell>
          <cell r="P223">
            <v>443</v>
          </cell>
          <cell r="Q223">
            <v>21</v>
          </cell>
          <cell r="R223">
            <v>4</v>
          </cell>
          <cell r="S223">
            <v>0</v>
          </cell>
          <cell r="T223" t="str">
            <v xml:space="preserve">Marietta C. Rubion
Bignay II, Sariaya, Quezon
0907-754-5052 </v>
          </cell>
          <cell r="U223" t="str">
            <v>2016-05-05</v>
          </cell>
        </row>
        <row r="224">
          <cell r="C224" t="str">
            <v>L028</v>
          </cell>
          <cell r="D224" t="str">
            <v>De Guzman</v>
          </cell>
          <cell r="E224" t="str">
            <v>Michael</v>
          </cell>
          <cell r="F224" t="str">
            <v>Quiazon</v>
          </cell>
          <cell r="G224" t="str">
            <v>Mike</v>
          </cell>
          <cell r="H224" t="str">
            <v>0916-561-8904</v>
          </cell>
          <cell r="I224" t="str">
            <v>1981-01-26</v>
          </cell>
          <cell r="J224">
            <v>1</v>
          </cell>
          <cell r="K224">
            <v>1</v>
          </cell>
          <cell r="M224" t="str">
            <v>02-1991071-6</v>
          </cell>
          <cell r="N224" t="str">
            <v>240-090-682</v>
          </cell>
          <cell r="O224">
            <v>55</v>
          </cell>
          <cell r="P224">
            <v>512</v>
          </cell>
          <cell r="Q224">
            <v>73</v>
          </cell>
          <cell r="R224">
            <v>13</v>
          </cell>
          <cell r="S224">
            <v>0</v>
          </cell>
          <cell r="T224" t="str">
            <v>Ginalyn R. Surquia
0977-387-0343</v>
          </cell>
          <cell r="U224" t="str">
            <v>2016-05-05</v>
          </cell>
        </row>
        <row r="225">
          <cell r="C225" t="str">
            <v>L029</v>
          </cell>
          <cell r="D225" t="str">
            <v>Flores</v>
          </cell>
          <cell r="E225" t="str">
            <v>Jann Marco</v>
          </cell>
          <cell r="F225" t="str">
            <v>Ramos</v>
          </cell>
          <cell r="G225" t="str">
            <v>Jan-Jan</v>
          </cell>
          <cell r="H225" t="str">
            <v>0939-491-8989</v>
          </cell>
          <cell r="I225" t="str">
            <v>1989-10-07</v>
          </cell>
          <cell r="J225">
            <v>1</v>
          </cell>
          <cell r="K225">
            <v>2</v>
          </cell>
          <cell r="L225" t="str">
            <v>Rochelle Ann Carandang Dela Guardia</v>
          </cell>
          <cell r="M225" t="str">
            <v>04-1851820-7</v>
          </cell>
          <cell r="N225" t="str">
            <v>308-456-766</v>
          </cell>
          <cell r="O225">
            <v>55</v>
          </cell>
          <cell r="P225">
            <v>433</v>
          </cell>
          <cell r="Q225">
            <v>19</v>
          </cell>
          <cell r="R225">
            <v>4</v>
          </cell>
          <cell r="S225">
            <v>0</v>
          </cell>
          <cell r="T225" t="str">
            <v>Janeth R. Flores
B7 L23 Ph2 San Isidro Heights
Brgy. Banlic, Cabuyao City
0999-512-4262</v>
          </cell>
          <cell r="U225" t="str">
            <v>2016-05-05</v>
          </cell>
        </row>
        <row r="226">
          <cell r="C226" t="str">
            <v>L031</v>
          </cell>
          <cell r="D226" t="str">
            <v>Espanol</v>
          </cell>
          <cell r="E226" t="str">
            <v>John Ray</v>
          </cell>
          <cell r="F226" t="str">
            <v>Mangonon</v>
          </cell>
          <cell r="G226" t="str">
            <v>JR</v>
          </cell>
          <cell r="H226" t="str">
            <v>0918-674-2131</v>
          </cell>
          <cell r="I226" t="str">
            <v>1991-01-12</v>
          </cell>
          <cell r="J226">
            <v>1</v>
          </cell>
          <cell r="K226">
            <v>1</v>
          </cell>
          <cell r="M226" t="str">
            <v>04-2144662-5</v>
          </cell>
          <cell r="N226" t="str">
            <v>484-770-722</v>
          </cell>
          <cell r="O226">
            <v>55</v>
          </cell>
          <cell r="P226">
            <v>513</v>
          </cell>
          <cell r="Q226">
            <v>73</v>
          </cell>
          <cell r="R226">
            <v>13</v>
          </cell>
          <cell r="S226">
            <v>0</v>
          </cell>
          <cell r="T226" t="str">
            <v xml:space="preserve">Cherryl Soriano
B52 L33 Ph2 Southville 4,
Brgy. Pooc, Sta. Rosa City
0939-259-2195 </v>
          </cell>
          <cell r="U226" t="str">
            <v>2016-05-05</v>
          </cell>
        </row>
        <row r="227">
          <cell r="C227" t="str">
            <v>L032</v>
          </cell>
          <cell r="D227" t="str">
            <v>De Guzman</v>
          </cell>
          <cell r="E227" t="str">
            <v>Alvin</v>
          </cell>
          <cell r="F227" t="str">
            <v>Cagalingan</v>
          </cell>
          <cell r="G227" t="str">
            <v>Alvin</v>
          </cell>
          <cell r="H227" t="str">
            <v>0927-034-6855</v>
          </cell>
          <cell r="I227" t="str">
            <v>1989-05-16</v>
          </cell>
          <cell r="J227">
            <v>1</v>
          </cell>
          <cell r="K227">
            <v>2</v>
          </cell>
          <cell r="L227" t="str">
            <v>Mary Grace Doctolero Glarce</v>
          </cell>
          <cell r="M227" t="str">
            <v>02-2546512-9</v>
          </cell>
          <cell r="N227" t="str">
            <v>484-771-258</v>
          </cell>
          <cell r="O227">
            <v>43</v>
          </cell>
          <cell r="P227">
            <v>317</v>
          </cell>
          <cell r="Q227">
            <v>20</v>
          </cell>
          <cell r="R227">
            <v>4</v>
          </cell>
          <cell r="S227">
            <v>0</v>
          </cell>
          <cell r="T227" t="str">
            <v>Mary Grace G. De Guzman
B16 L64 Phs 2 Bria Homes,
Brgy. BaÃ±adero, Calamba City
0946-852-5755</v>
          </cell>
          <cell r="U227" t="str">
            <v>2016-05-05</v>
          </cell>
        </row>
        <row r="228">
          <cell r="C228" t="str">
            <v>L042</v>
          </cell>
          <cell r="D228" t="str">
            <v>Tipdas</v>
          </cell>
          <cell r="E228" t="str">
            <v>Darwin</v>
          </cell>
          <cell r="F228" t="str">
            <v>Lajato</v>
          </cell>
          <cell r="G228" t="str">
            <v>Awen</v>
          </cell>
          <cell r="H228" t="str">
            <v>0915-501-5915</v>
          </cell>
          <cell r="I228" t="str">
            <v>1992-08-04</v>
          </cell>
          <cell r="J228">
            <v>1</v>
          </cell>
          <cell r="K228">
            <v>1</v>
          </cell>
          <cell r="M228" t="str">
            <v>34-4725893-3</v>
          </cell>
          <cell r="N228" t="str">
            <v>486-814-923</v>
          </cell>
          <cell r="O228">
            <v>10</v>
          </cell>
          <cell r="P228">
            <v>485</v>
          </cell>
          <cell r="Q228">
            <v>59</v>
          </cell>
          <cell r="R228">
            <v>11</v>
          </cell>
          <cell r="S228">
            <v>0</v>
          </cell>
          <cell r="T228" t="str">
            <v>Ma. Victoria L. Tipdas
B14 L6 Buklod Bahayan, 
Brgy. Tartaria,, Silalng Cavite
0947-223-8196</v>
          </cell>
          <cell r="U228" t="str">
            <v>2016-06-22</v>
          </cell>
        </row>
        <row r="229">
          <cell r="C229" t="str">
            <v>L044</v>
          </cell>
          <cell r="D229" t="str">
            <v>Villegas</v>
          </cell>
          <cell r="E229" t="str">
            <v>Jefferson</v>
          </cell>
          <cell r="F229" t="str">
            <v>Castillo</v>
          </cell>
          <cell r="G229" t="str">
            <v>Jeff</v>
          </cell>
          <cell r="H229" t="str">
            <v>0921-298-4623</v>
          </cell>
          <cell r="I229" t="str">
            <v>1990-08-05</v>
          </cell>
          <cell r="J229">
            <v>1</v>
          </cell>
          <cell r="K229">
            <v>1</v>
          </cell>
          <cell r="M229" t="str">
            <v>04-2284484-4</v>
          </cell>
          <cell r="N229" t="str">
            <v>489-809-654</v>
          </cell>
          <cell r="O229">
            <v>55</v>
          </cell>
          <cell r="P229">
            <v>148</v>
          </cell>
          <cell r="Q229">
            <v>29</v>
          </cell>
          <cell r="R229">
            <v>6</v>
          </cell>
          <cell r="S229">
            <v>0</v>
          </cell>
          <cell r="T229" t="str">
            <v>Leticia C. Villegas
Hawan Ilaya, Virac, Catanduanes
0920-754-6030</v>
          </cell>
          <cell r="U229" t="str">
            <v>2016-09-05</v>
          </cell>
        </row>
        <row r="230">
          <cell r="C230" t="str">
            <v>L049</v>
          </cell>
          <cell r="D230" t="str">
            <v>Torres</v>
          </cell>
          <cell r="E230" t="str">
            <v>Maria Cristina</v>
          </cell>
          <cell r="F230" t="str">
            <v>Alcaraz</v>
          </cell>
          <cell r="G230" t="str">
            <v>Tin-Tin</v>
          </cell>
          <cell r="H230" t="str">
            <v>0907-3736753</v>
          </cell>
          <cell r="I230" t="str">
            <v>1986-01-12</v>
          </cell>
          <cell r="J230">
            <v>2</v>
          </cell>
          <cell r="K230">
            <v>2</v>
          </cell>
          <cell r="L230" t="str">
            <v>Archieval Anaud Torres</v>
          </cell>
          <cell r="M230" t="str">
            <v>04-1457243-8</v>
          </cell>
          <cell r="N230" t="str">
            <v>248-631-276</v>
          </cell>
          <cell r="O230">
            <v>32</v>
          </cell>
          <cell r="P230">
            <v>478</v>
          </cell>
          <cell r="Q230">
            <v>54</v>
          </cell>
          <cell r="R230">
            <v>9</v>
          </cell>
          <cell r="S230">
            <v>0</v>
          </cell>
          <cell r="T230" t="str">
            <v>Lucia D. Alcaraz
Lumbang na Bata, Calaca, Batangas City
0909-6018102</v>
          </cell>
          <cell r="U230" t="str">
            <v>2016-12-08</v>
          </cell>
        </row>
        <row r="231">
          <cell r="C231" t="str">
            <v>M009</v>
          </cell>
          <cell r="D231" t="str">
            <v>Catuburan</v>
          </cell>
          <cell r="E231" t="str">
            <v>Teresa</v>
          </cell>
          <cell r="F231" t="str">
            <v>Medel</v>
          </cell>
          <cell r="G231" t="str">
            <v>Tere</v>
          </cell>
          <cell r="H231" t="str">
            <v>0915-888-3702</v>
          </cell>
          <cell r="I231" t="str">
            <v>1988-03-02</v>
          </cell>
          <cell r="J231">
            <v>2</v>
          </cell>
          <cell r="K231">
            <v>1</v>
          </cell>
          <cell r="M231" t="str">
            <v>34-2331851-2</v>
          </cell>
          <cell r="N231" t="str">
            <v>471-815-445</v>
          </cell>
          <cell r="O231">
            <v>83</v>
          </cell>
          <cell r="P231">
            <v>470</v>
          </cell>
          <cell r="Q231">
            <v>37</v>
          </cell>
          <cell r="R231">
            <v>8</v>
          </cell>
          <cell r="S231">
            <v>0</v>
          </cell>
          <cell r="T231" t="str">
            <v xml:space="preserve">Ronald M. Catuburan
B13 L31 St. Joseph 7 Ph5,
Brgy. Marinig, Cabuyao City
0912-829-5520 </v>
          </cell>
          <cell r="U231" t="str">
            <v>2017-02-01</v>
          </cell>
        </row>
        <row r="232">
          <cell r="C232" t="str">
            <v>M023</v>
          </cell>
          <cell r="D232" t="str">
            <v>Samsaman</v>
          </cell>
          <cell r="E232" t="str">
            <v>Charlie</v>
          </cell>
          <cell r="F232" t="str">
            <v>Diaz</v>
          </cell>
          <cell r="G232" t="str">
            <v>Charles</v>
          </cell>
          <cell r="H232" t="str">
            <v>0946-739-4080</v>
          </cell>
          <cell r="I232" t="str">
            <v>1995-03-18</v>
          </cell>
          <cell r="J232">
            <v>1</v>
          </cell>
          <cell r="K232">
            <v>1</v>
          </cell>
          <cell r="M232" t="str">
            <v>04-3734842-9</v>
          </cell>
          <cell r="N232" t="str">
            <v>337-257-481</v>
          </cell>
          <cell r="O232">
            <v>96</v>
          </cell>
          <cell r="P232">
            <v>470</v>
          </cell>
          <cell r="Q232">
            <v>37</v>
          </cell>
          <cell r="R232">
            <v>8</v>
          </cell>
          <cell r="S232">
            <v>0</v>
          </cell>
          <cell r="T232" t="str">
            <v>Ciriaco M. Samsaman
#0150 Brgy. Sta. Monica, 
San Pablo City, Laguna
0946-739-4080</v>
          </cell>
          <cell r="U232" t="str">
            <v>2017-05-16</v>
          </cell>
        </row>
        <row r="233">
          <cell r="C233" t="str">
            <v>M086</v>
          </cell>
          <cell r="D233" t="str">
            <v>Cruzat</v>
          </cell>
          <cell r="E233" t="str">
            <v>Ria</v>
          </cell>
          <cell r="F233" t="str">
            <v>Abanzado</v>
          </cell>
          <cell r="G233" t="str">
            <v>Ria</v>
          </cell>
          <cell r="I233" t="str">
            <v>1987-08-11</v>
          </cell>
          <cell r="J233">
            <v>2</v>
          </cell>
          <cell r="K233">
            <v>1</v>
          </cell>
          <cell r="M233" t="str">
            <v>04-1872777-1</v>
          </cell>
          <cell r="N233" t="str">
            <v>707-194-094</v>
          </cell>
          <cell r="O233">
            <v>43</v>
          </cell>
          <cell r="P233">
            <v>493</v>
          </cell>
          <cell r="Q233">
            <v>55</v>
          </cell>
          <cell r="R233">
            <v>11</v>
          </cell>
          <cell r="S233">
            <v>0</v>
          </cell>
          <cell r="T233" t="str">
            <v>Yolanda A. Cruzat
Dulangan-I, Baco 
Oriental Mindoro
0928-244-7214</v>
          </cell>
          <cell r="U233" t="str">
            <v>2017-07-04</v>
          </cell>
        </row>
        <row r="234">
          <cell r="C234" t="str">
            <v>M095</v>
          </cell>
          <cell r="D234" t="str">
            <v xml:space="preserve">Consulta </v>
          </cell>
          <cell r="E234" t="str">
            <v xml:space="preserve">Jerome </v>
          </cell>
          <cell r="F234" t="str">
            <v xml:space="preserve">Diaz </v>
          </cell>
          <cell r="G234" t="str">
            <v>Rom</v>
          </cell>
          <cell r="H234" t="str">
            <v xml:space="preserve">0933-686-7612 </v>
          </cell>
          <cell r="I234" t="str">
            <v>1990-11-09</v>
          </cell>
          <cell r="J234">
            <v>1</v>
          </cell>
          <cell r="K234">
            <v>2</v>
          </cell>
          <cell r="L234" t="str">
            <v>Ailyn Chinchontic Magbiray</v>
          </cell>
          <cell r="M234" t="str">
            <v>04-2421870-8</v>
          </cell>
          <cell r="N234" t="str">
            <v>474-314-276</v>
          </cell>
          <cell r="O234">
            <v>43</v>
          </cell>
          <cell r="P234">
            <v>472</v>
          </cell>
          <cell r="Q234">
            <v>34</v>
          </cell>
          <cell r="R234">
            <v>8</v>
          </cell>
          <cell r="S234">
            <v>0</v>
          </cell>
          <cell r="T234" t="str">
            <v>Honelyn C. Yee
Brgy. Lawa, Calamba City
0933-686-7612</v>
          </cell>
          <cell r="U234" t="str">
            <v>2017-07-03</v>
          </cell>
        </row>
        <row r="235">
          <cell r="C235" t="str">
            <v>M073</v>
          </cell>
          <cell r="D235" t="str">
            <v>Sales</v>
          </cell>
          <cell r="E235" t="str">
            <v>Edmon</v>
          </cell>
          <cell r="F235" t="str">
            <v>Regencia</v>
          </cell>
          <cell r="G235" t="str">
            <v>Ino</v>
          </cell>
          <cell r="H235" t="str">
            <v>0946-617-6322</v>
          </cell>
          <cell r="I235" t="str">
            <v>1990-10-28</v>
          </cell>
          <cell r="J235">
            <v>1</v>
          </cell>
          <cell r="K235">
            <v>1</v>
          </cell>
          <cell r="M235" t="str">
            <v>04-2166139-0</v>
          </cell>
          <cell r="N235" t="str">
            <v>313-917-629</v>
          </cell>
          <cell r="O235">
            <v>43</v>
          </cell>
          <cell r="P235">
            <v>363</v>
          </cell>
          <cell r="Q235">
            <v>34</v>
          </cell>
          <cell r="R235">
            <v>8</v>
          </cell>
          <cell r="S235">
            <v>0</v>
          </cell>
          <cell r="T235" t="str">
            <v>Editha S. Boquing
BO Calihan Farconville Subd.
San Pablo City
0930-838-0362</v>
          </cell>
          <cell r="U235" t="str">
            <v>2017-07-01</v>
          </cell>
        </row>
        <row r="236">
          <cell r="C236" t="str">
            <v>M122</v>
          </cell>
          <cell r="D236" t="str">
            <v xml:space="preserve">Payca </v>
          </cell>
          <cell r="E236" t="str">
            <v xml:space="preserve">Arnie </v>
          </cell>
          <cell r="F236" t="str">
            <v>Barrientos</v>
          </cell>
          <cell r="G236" t="str">
            <v xml:space="preserve">Nie </v>
          </cell>
          <cell r="H236" t="str">
            <v xml:space="preserve">0947-972-1801 </v>
          </cell>
          <cell r="I236" t="str">
            <v>1993-07-12</v>
          </cell>
          <cell r="J236">
            <v>2</v>
          </cell>
          <cell r="K236">
            <v>1</v>
          </cell>
          <cell r="M236" t="str">
            <v>04-2857038-7</v>
          </cell>
          <cell r="N236" t="str">
            <v>319-072-351</v>
          </cell>
          <cell r="O236">
            <v>43</v>
          </cell>
          <cell r="P236">
            <v>472</v>
          </cell>
          <cell r="Q236">
            <v>34</v>
          </cell>
          <cell r="R236">
            <v>8</v>
          </cell>
          <cell r="S236">
            <v>0</v>
          </cell>
          <cell r="T236" t="str">
            <v>Regie R. Sarmiento 
B-Uno, Canlubang
Calamba City
0947-972-1801</v>
          </cell>
          <cell r="U236" t="str">
            <v>2017-07-08</v>
          </cell>
        </row>
        <row r="237">
          <cell r="C237" t="str">
            <v>M110</v>
          </cell>
          <cell r="D237" t="str">
            <v>Landicho</v>
          </cell>
          <cell r="E237" t="str">
            <v>Jemark</v>
          </cell>
          <cell r="F237" t="str">
            <v>Macasinag</v>
          </cell>
          <cell r="G237" t="str">
            <v>Mark</v>
          </cell>
          <cell r="H237" t="str">
            <v>0920-100-1730</v>
          </cell>
          <cell r="I237" t="str">
            <v>1992-12-01</v>
          </cell>
          <cell r="J237">
            <v>1</v>
          </cell>
          <cell r="K237">
            <v>2</v>
          </cell>
          <cell r="L237" t="str">
            <v>Romelyn Mandabon Palsahingin</v>
          </cell>
          <cell r="M237" t="str">
            <v>04-1977548-9</v>
          </cell>
          <cell r="N237" t="str">
            <v>456-166-375</v>
          </cell>
          <cell r="O237">
            <v>43</v>
          </cell>
          <cell r="P237">
            <v>472</v>
          </cell>
          <cell r="Q237">
            <v>34</v>
          </cell>
          <cell r="R237">
            <v>8</v>
          </cell>
          <cell r="S237">
            <v>0</v>
          </cell>
          <cell r="T237" t="str">
            <v>Romelyn P. Landicho
Purok Uno Opulencia Compound
Real, Calamba City
0949-130-4198</v>
          </cell>
          <cell r="U237" t="str">
            <v>2017-07-03</v>
          </cell>
        </row>
        <row r="238">
          <cell r="C238" t="str">
            <v>M047</v>
          </cell>
          <cell r="D238" t="str">
            <v>Madra</v>
          </cell>
          <cell r="E238" t="str">
            <v>Sharon</v>
          </cell>
          <cell r="F238" t="str">
            <v>Indencio</v>
          </cell>
          <cell r="G238" t="str">
            <v>Sha</v>
          </cell>
          <cell r="H238" t="str">
            <v>0936-440-1031</v>
          </cell>
          <cell r="I238" t="str">
            <v>1991-05-18</v>
          </cell>
          <cell r="J238">
            <v>2</v>
          </cell>
          <cell r="K238">
            <v>1</v>
          </cell>
          <cell r="M238" t="str">
            <v>04-2599656-6</v>
          </cell>
          <cell r="N238" t="str">
            <v>313-627-643</v>
          </cell>
          <cell r="O238">
            <v>43</v>
          </cell>
          <cell r="P238">
            <v>472</v>
          </cell>
          <cell r="Q238">
            <v>34</v>
          </cell>
          <cell r="R238">
            <v>8</v>
          </cell>
          <cell r="S238">
            <v>0</v>
          </cell>
          <cell r="T238" t="str">
            <v>Sheryl M. Vitug 
B75 L39 Ph1 Mabuhay Subd.
Brgy. Baclaran, Cabuyao City
0922-949-9195</v>
          </cell>
          <cell r="U238" t="str">
            <v>2017-07-01</v>
          </cell>
        </row>
        <row r="239">
          <cell r="C239" t="str">
            <v>M113</v>
          </cell>
          <cell r="D239" t="str">
            <v>Balmes</v>
          </cell>
          <cell r="E239" t="str">
            <v>Jojo</v>
          </cell>
          <cell r="F239" t="str">
            <v>Abacan</v>
          </cell>
          <cell r="G239" t="str">
            <v>Jojo</v>
          </cell>
          <cell r="I239" t="str">
            <v>1993-11-13</v>
          </cell>
          <cell r="J239">
            <v>1</v>
          </cell>
          <cell r="K239">
            <v>1</v>
          </cell>
          <cell r="M239" t="str">
            <v>04-2493081-1</v>
          </cell>
          <cell r="N239" t="str">
            <v>425-232-449</v>
          </cell>
          <cell r="O239">
            <v>55</v>
          </cell>
          <cell r="P239">
            <v>435</v>
          </cell>
          <cell r="Q239">
            <v>19</v>
          </cell>
          <cell r="R239">
            <v>4</v>
          </cell>
          <cell r="S239">
            <v>0</v>
          </cell>
          <cell r="T239" t="str">
            <v>Lizel Esguerra
San Rafel, Sto. Tomas,
Batangas
0906-740-1708</v>
          </cell>
          <cell r="U239" t="str">
            <v>2017-07-05</v>
          </cell>
        </row>
        <row r="240">
          <cell r="C240" t="str">
            <v>M067</v>
          </cell>
          <cell r="D240" t="str">
            <v>Novilla</v>
          </cell>
          <cell r="E240" t="str">
            <v>Edwin</v>
          </cell>
          <cell r="F240" t="str">
            <v>Gayas</v>
          </cell>
          <cell r="G240" t="str">
            <v>Dwyns</v>
          </cell>
          <cell r="I240" t="str">
            <v>1974-09-24</v>
          </cell>
          <cell r="J240">
            <v>1</v>
          </cell>
          <cell r="K240">
            <v>2</v>
          </cell>
          <cell r="M240" t="str">
            <v>33-4018088-1</v>
          </cell>
          <cell r="N240" t="str">
            <v>705-643-123</v>
          </cell>
          <cell r="O240">
            <v>31</v>
          </cell>
          <cell r="P240">
            <v>403</v>
          </cell>
          <cell r="Q240">
            <v>51</v>
          </cell>
          <cell r="R240">
            <v>1</v>
          </cell>
          <cell r="S240">
            <v>0</v>
          </cell>
          <cell r="T240" t="str">
            <v>Pablita R. Novilla
B22 L45 Ph4 Southville,
Brgy. Marinig, Cabuyao City
0921-918-9586</v>
          </cell>
          <cell r="U240" t="str">
            <v>2017-07-01</v>
          </cell>
        </row>
        <row r="241">
          <cell r="C241" t="str">
            <v>M076</v>
          </cell>
          <cell r="D241" t="str">
            <v>Gamboa</v>
          </cell>
          <cell r="E241" t="str">
            <v>Raymart</v>
          </cell>
          <cell r="F241" t="str">
            <v>Pasciolco</v>
          </cell>
          <cell r="G241" t="str">
            <v>Emart</v>
          </cell>
          <cell r="I241" t="str">
            <v>1994-10-23</v>
          </cell>
          <cell r="J241">
            <v>1</v>
          </cell>
          <cell r="K241">
            <v>1</v>
          </cell>
          <cell r="M241" t="str">
            <v>04-2695625-9</v>
          </cell>
          <cell r="N241" t="str">
            <v>321-734-374</v>
          </cell>
          <cell r="O241">
            <v>55</v>
          </cell>
          <cell r="P241">
            <v>466</v>
          </cell>
          <cell r="Q241">
            <v>33</v>
          </cell>
          <cell r="R241">
            <v>8</v>
          </cell>
          <cell r="S241">
            <v>0</v>
          </cell>
          <cell r="T241" t="str">
            <v xml:space="preserve">Myline Sicoy
Purok 2 Brgy. Banlic
Cabuyao City
0936-441-0313 </v>
          </cell>
          <cell r="U241" t="str">
            <v>2017-07-01</v>
          </cell>
        </row>
        <row r="242">
          <cell r="C242" t="str">
            <v>M075</v>
          </cell>
          <cell r="D242" t="str">
            <v>Balanag</v>
          </cell>
          <cell r="E242" t="str">
            <v>Allysavin</v>
          </cell>
          <cell r="F242" t="str">
            <v>Adelante</v>
          </cell>
          <cell r="G242" t="str">
            <v>Allysa</v>
          </cell>
          <cell r="I242" t="str">
            <v>1997-10-18</v>
          </cell>
          <cell r="J242">
            <v>2</v>
          </cell>
          <cell r="K242">
            <v>2</v>
          </cell>
          <cell r="L242" t="str">
            <v>John Kenneth Balanag (NMN)</v>
          </cell>
          <cell r="M242" t="str">
            <v>04-3698079-4</v>
          </cell>
          <cell r="N242" t="str">
            <v>328-721-251</v>
          </cell>
          <cell r="O242">
            <v>43</v>
          </cell>
          <cell r="P242">
            <v>363</v>
          </cell>
          <cell r="Q242">
            <v>34</v>
          </cell>
          <cell r="R242">
            <v>8</v>
          </cell>
          <cell r="S242">
            <v>0</v>
          </cell>
          <cell r="T242" t="str">
            <v>John Kenneth Balanag
B18 L52 Lynville Residences, Palo Alto, Calamba City Laguna
0918-385-8361</v>
          </cell>
          <cell r="U242" t="str">
            <v>2017-07-01</v>
          </cell>
        </row>
        <row r="243">
          <cell r="C243" t="str">
            <v>M040</v>
          </cell>
          <cell r="D243" t="str">
            <v>Sumaoang</v>
          </cell>
          <cell r="E243" t="str">
            <v>Jerone</v>
          </cell>
          <cell r="F243" t="str">
            <v>Teofilo</v>
          </cell>
          <cell r="G243" t="str">
            <v>Ryan</v>
          </cell>
          <cell r="H243">
            <v>9450967323</v>
          </cell>
          <cell r="I243" t="str">
            <v>1992-10-16</v>
          </cell>
          <cell r="J243">
            <v>1</v>
          </cell>
          <cell r="K243">
            <v>1</v>
          </cell>
          <cell r="M243" t="str">
            <v>02-3373737-3</v>
          </cell>
          <cell r="N243" t="str">
            <v>707-206-867</v>
          </cell>
          <cell r="O243">
            <v>43</v>
          </cell>
          <cell r="P243">
            <v>502</v>
          </cell>
          <cell r="Q243">
            <v>62</v>
          </cell>
          <cell r="R243">
            <v>12</v>
          </cell>
          <cell r="S243">
            <v>0</v>
          </cell>
          <cell r="T243" t="str">
            <v>Domilyn Maningas
B20 L22 Pueblo Del Rio Subd. BaÃ±adero, Calamba Laguna
09754366044</v>
          </cell>
          <cell r="U243" t="str">
            <v>2017-07-01</v>
          </cell>
        </row>
        <row r="244">
          <cell r="C244" t="str">
            <v>M094</v>
          </cell>
          <cell r="D244" t="str">
            <v>DueÃ±as</v>
          </cell>
          <cell r="E244" t="str">
            <v>Mark Jay</v>
          </cell>
          <cell r="F244" t="str">
            <v>Magbuhos</v>
          </cell>
          <cell r="G244" t="str">
            <v>MJ</v>
          </cell>
          <cell r="I244" t="str">
            <v>1990-02-20</v>
          </cell>
          <cell r="J244">
            <v>1</v>
          </cell>
          <cell r="K244">
            <v>2</v>
          </cell>
          <cell r="M244" t="str">
            <v>34-0994223-2</v>
          </cell>
          <cell r="N244" t="str">
            <v>279-942-669</v>
          </cell>
          <cell r="O244">
            <v>55</v>
          </cell>
          <cell r="P244">
            <v>485</v>
          </cell>
          <cell r="Q244">
            <v>59</v>
          </cell>
          <cell r="R244">
            <v>11</v>
          </cell>
          <cell r="S244">
            <v>0</v>
          </cell>
          <cell r="U244" t="str">
            <v>2017-07-01</v>
          </cell>
        </row>
        <row r="245">
          <cell r="C245" t="str">
            <v>M064</v>
          </cell>
          <cell r="D245" t="str">
            <v>Sarmiento</v>
          </cell>
          <cell r="E245" t="str">
            <v>Jaymar</v>
          </cell>
          <cell r="F245" t="str">
            <v>De Villa</v>
          </cell>
          <cell r="G245" t="str">
            <v>Jmar</v>
          </cell>
          <cell r="H245" t="str">
            <v>0948-190-5447</v>
          </cell>
          <cell r="I245" t="str">
            <v>1990-05-02</v>
          </cell>
          <cell r="J245">
            <v>1</v>
          </cell>
          <cell r="K245">
            <v>2</v>
          </cell>
          <cell r="L245" t="str">
            <v>Jela Llobit Aquino</v>
          </cell>
          <cell r="M245" t="str">
            <v>04-2245043-2</v>
          </cell>
          <cell r="N245" t="str">
            <v>707-195-173</v>
          </cell>
          <cell r="O245">
            <v>43</v>
          </cell>
          <cell r="P245">
            <v>146</v>
          </cell>
          <cell r="Q245">
            <v>27</v>
          </cell>
          <cell r="R245">
            <v>6</v>
          </cell>
          <cell r="S245">
            <v>0</v>
          </cell>
          <cell r="T245" t="str">
            <v>Jela A. Sarmiento
Brgy. San Cristobal, 
Calamba City
0948-190-5447</v>
          </cell>
          <cell r="U245" t="str">
            <v>2017-07-01</v>
          </cell>
        </row>
        <row r="246">
          <cell r="C246" t="str">
            <v>M084</v>
          </cell>
          <cell r="D246" t="str">
            <v>Sulit</v>
          </cell>
          <cell r="E246" t="str">
            <v>Dulce Corazon</v>
          </cell>
          <cell r="F246" t="str">
            <v>Reginio</v>
          </cell>
          <cell r="G246" t="str">
            <v>Dulce</v>
          </cell>
          <cell r="H246">
            <v>9359376052</v>
          </cell>
          <cell r="I246" t="str">
            <v>1982-01-16</v>
          </cell>
          <cell r="J246">
            <v>2</v>
          </cell>
          <cell r="K246">
            <v>1</v>
          </cell>
          <cell r="M246" t="str">
            <v>33-8317159-8</v>
          </cell>
          <cell r="N246" t="str">
            <v>266-316-700</v>
          </cell>
          <cell r="O246">
            <v>43</v>
          </cell>
          <cell r="P246">
            <v>502</v>
          </cell>
          <cell r="Q246">
            <v>62</v>
          </cell>
          <cell r="R246">
            <v>12</v>
          </cell>
          <cell r="S246">
            <v>0</v>
          </cell>
          <cell r="T246" t="str">
            <v>Ramel N. Cabuhal
San Jose Sico Batangas
09557348795</v>
          </cell>
          <cell r="U246" t="str">
            <v>2017-07-01</v>
          </cell>
        </row>
        <row r="247">
          <cell r="C247" t="str">
            <v>M101</v>
          </cell>
          <cell r="D247" t="str">
            <v>Layug</v>
          </cell>
          <cell r="E247" t="str">
            <v>Glenn</v>
          </cell>
          <cell r="F247" t="str">
            <v>Quilloy</v>
          </cell>
          <cell r="G247" t="str">
            <v>Glenn</v>
          </cell>
          <cell r="H247" t="str">
            <v>0909-383-8381</v>
          </cell>
          <cell r="I247" t="str">
            <v>1989-12-12</v>
          </cell>
          <cell r="J247">
            <v>1</v>
          </cell>
          <cell r="K247">
            <v>2</v>
          </cell>
          <cell r="L247" t="str">
            <v>Arrah Jaries Teodoro Sto. Domingo</v>
          </cell>
          <cell r="M247" t="str">
            <v>04-2024705-8</v>
          </cell>
          <cell r="N247" t="str">
            <v>268-099-333</v>
          </cell>
          <cell r="O247">
            <v>43</v>
          </cell>
          <cell r="P247">
            <v>472</v>
          </cell>
          <cell r="Q247">
            <v>34</v>
          </cell>
          <cell r="R247">
            <v>8</v>
          </cell>
          <cell r="S247">
            <v>0</v>
          </cell>
          <cell r="T247" t="str">
            <v>Gorgonia Q. Layug
#559 Parian Mabulo St.
Brgy. Parian, Calamba City
0908-628-2724</v>
          </cell>
          <cell r="U247" t="str">
            <v>2017-07-01</v>
          </cell>
        </row>
        <row r="248">
          <cell r="C248" t="str">
            <v>M080</v>
          </cell>
          <cell r="D248" t="str">
            <v>Barbin</v>
          </cell>
          <cell r="E248" t="str">
            <v>Hergelen</v>
          </cell>
          <cell r="F248" t="str">
            <v>Imperial</v>
          </cell>
          <cell r="G248" t="str">
            <v>Gelyn</v>
          </cell>
          <cell r="H248" t="str">
            <v>0918-441-0011</v>
          </cell>
          <cell r="I248" t="str">
            <v>1994-06-12</v>
          </cell>
          <cell r="J248">
            <v>2</v>
          </cell>
          <cell r="K248">
            <v>1</v>
          </cell>
          <cell r="M248" t="str">
            <v>04-2594944-5</v>
          </cell>
          <cell r="N248" t="str">
            <v>328-732-117</v>
          </cell>
          <cell r="O248">
            <v>43</v>
          </cell>
          <cell r="P248">
            <v>363</v>
          </cell>
          <cell r="Q248">
            <v>34</v>
          </cell>
          <cell r="R248">
            <v>8</v>
          </cell>
          <cell r="S248">
            <v>0</v>
          </cell>
          <cell r="T248" t="str">
            <v>Maricris I. Barbin
135 Sto. NiÃ±o Executive Homes,
Brgy. 3, Cabuyao City
0922-264-4626</v>
          </cell>
          <cell r="U248" t="str">
            <v>2017-07-01</v>
          </cell>
        </row>
        <row r="249">
          <cell r="C249" t="str">
            <v>M120</v>
          </cell>
          <cell r="D249" t="str">
            <v>Rafer</v>
          </cell>
          <cell r="E249" t="str">
            <v>Jenneth</v>
          </cell>
          <cell r="F249" t="str">
            <v>Valles</v>
          </cell>
          <cell r="G249" t="str">
            <v>Jen</v>
          </cell>
          <cell r="H249">
            <v>9317464251</v>
          </cell>
          <cell r="I249" t="str">
            <v>1987-12-30</v>
          </cell>
          <cell r="J249">
            <v>2</v>
          </cell>
          <cell r="K249">
            <v>1</v>
          </cell>
          <cell r="M249" t="str">
            <v>04-2277220-4</v>
          </cell>
          <cell r="N249" t="str">
            <v>707-194-930</v>
          </cell>
          <cell r="O249">
            <v>43</v>
          </cell>
          <cell r="P249">
            <v>493</v>
          </cell>
          <cell r="Q249">
            <v>55</v>
          </cell>
          <cell r="R249">
            <v>11</v>
          </cell>
          <cell r="S249">
            <v>0</v>
          </cell>
          <cell r="T249" t="str">
            <v>Ernanie N. Tala
B28, Lot 57 PH 5 Mabuhay Subd.Brgy. Mamatid,Cabuyao City
0928-981-6830</v>
          </cell>
          <cell r="U249" t="str">
            <v>2017-07-06</v>
          </cell>
        </row>
        <row r="250">
          <cell r="C250" t="str">
            <v>M118</v>
          </cell>
          <cell r="D250" t="str">
            <v>Cabiles</v>
          </cell>
          <cell r="E250" t="str">
            <v>Jacinth</v>
          </cell>
          <cell r="F250" t="str">
            <v>Padua</v>
          </cell>
          <cell r="G250" t="str">
            <v>Jhei</v>
          </cell>
          <cell r="I250" t="str">
            <v>1990-06-22</v>
          </cell>
          <cell r="J250">
            <v>2</v>
          </cell>
          <cell r="K250">
            <v>1</v>
          </cell>
          <cell r="M250" t="str">
            <v>04-2003760-8</v>
          </cell>
          <cell r="N250" t="str">
            <v>264-350-499</v>
          </cell>
          <cell r="O250">
            <v>41</v>
          </cell>
          <cell r="P250">
            <v>493</v>
          </cell>
          <cell r="Q250">
            <v>55</v>
          </cell>
          <cell r="R250">
            <v>11</v>
          </cell>
          <cell r="S250">
            <v>0</v>
          </cell>
          <cell r="T250" t="str">
            <v>Norma P. Cabiles
B55 L15 Palao Kapayapaan Village
Brgy. Canlubang, Calamba City
0907-362-6802</v>
          </cell>
          <cell r="U250" t="str">
            <v>2017-07-06</v>
          </cell>
        </row>
        <row r="251">
          <cell r="C251" t="str">
            <v>M104</v>
          </cell>
          <cell r="D251" t="str">
            <v>Reforma</v>
          </cell>
          <cell r="E251" t="str">
            <v>Kate</v>
          </cell>
          <cell r="F251" t="str">
            <v>Alvarez</v>
          </cell>
          <cell r="G251" t="str">
            <v>Kate</v>
          </cell>
          <cell r="H251" t="str">
            <v>0928-524-5632</v>
          </cell>
          <cell r="I251" t="str">
            <v>1992-07-06</v>
          </cell>
          <cell r="J251">
            <v>2</v>
          </cell>
          <cell r="K251">
            <v>1</v>
          </cell>
          <cell r="M251" t="str">
            <v>04-2236998-9</v>
          </cell>
          <cell r="N251" t="str">
            <v>415-985-248</v>
          </cell>
          <cell r="O251">
            <v>32</v>
          </cell>
          <cell r="P251">
            <v>503</v>
          </cell>
          <cell r="Q251">
            <v>64</v>
          </cell>
          <cell r="R251">
            <v>12</v>
          </cell>
          <cell r="S251">
            <v>0</v>
          </cell>
          <cell r="T251" t="str">
            <v>Karen A. Reforma
87 Banay Banay Cabuyao City, Laguna</v>
          </cell>
          <cell r="U251" t="str">
            <v>2017-07-01</v>
          </cell>
        </row>
        <row r="252">
          <cell r="C252" t="str">
            <v>M055</v>
          </cell>
          <cell r="D252" t="str">
            <v>Magtoto</v>
          </cell>
          <cell r="E252" t="str">
            <v>Reymalyn</v>
          </cell>
          <cell r="F252" t="str">
            <v>Aldaca</v>
          </cell>
          <cell r="G252" t="str">
            <v>Mhalyn</v>
          </cell>
          <cell r="I252" t="str">
            <v>1990-08-14</v>
          </cell>
          <cell r="J252">
            <v>2</v>
          </cell>
          <cell r="K252">
            <v>2</v>
          </cell>
          <cell r="L252" t="str">
            <v>June Cordero Magtoto</v>
          </cell>
          <cell r="M252" t="str">
            <v>04-2092602-3</v>
          </cell>
          <cell r="N252" t="str">
            <v>287-192-967</v>
          </cell>
          <cell r="O252">
            <v>43</v>
          </cell>
          <cell r="P252">
            <v>363</v>
          </cell>
          <cell r="Q252">
            <v>34</v>
          </cell>
          <cell r="R252">
            <v>8</v>
          </cell>
          <cell r="S252">
            <v>0</v>
          </cell>
          <cell r="T252" t="str">
            <v>June C. Magtoto
Mabulo St. Purok 3
Brgy. Parian, Calamba City
0928-322-3104</v>
          </cell>
          <cell r="U252" t="str">
            <v>2017-07-01</v>
          </cell>
        </row>
        <row r="253">
          <cell r="C253" t="str">
            <v>M117</v>
          </cell>
          <cell r="D253" t="str">
            <v>Alamo</v>
          </cell>
          <cell r="E253" t="str">
            <v>Mark Joseph</v>
          </cell>
          <cell r="F253" t="str">
            <v>Corpuz</v>
          </cell>
          <cell r="G253" t="str">
            <v>Macko</v>
          </cell>
          <cell r="I253" t="str">
            <v>1990-04-22</v>
          </cell>
          <cell r="J253">
            <v>1</v>
          </cell>
          <cell r="K253">
            <v>1</v>
          </cell>
          <cell r="M253" t="str">
            <v>04-2052020-9</v>
          </cell>
          <cell r="N253" t="str">
            <v>403-651-104</v>
          </cell>
          <cell r="O253">
            <v>55</v>
          </cell>
          <cell r="P253">
            <v>433</v>
          </cell>
          <cell r="Q253">
            <v>19</v>
          </cell>
          <cell r="R253">
            <v>4</v>
          </cell>
          <cell r="S253">
            <v>0</v>
          </cell>
          <cell r="U253" t="str">
            <v>2017-07-06</v>
          </cell>
        </row>
        <row r="254">
          <cell r="C254" t="str">
            <v>M053</v>
          </cell>
          <cell r="D254" t="str">
            <v>Dela PeÃ±a</v>
          </cell>
          <cell r="E254" t="str">
            <v>Ruperto</v>
          </cell>
          <cell r="F254" t="str">
            <v>Camral</v>
          </cell>
          <cell r="G254" t="str">
            <v>Rupert</v>
          </cell>
          <cell r="H254" t="str">
            <v>0907-082-3398</v>
          </cell>
          <cell r="I254" t="str">
            <v>1993-03-03</v>
          </cell>
          <cell r="J254">
            <v>1</v>
          </cell>
          <cell r="K254">
            <v>1</v>
          </cell>
          <cell r="M254" t="str">
            <v>04-2772817-2</v>
          </cell>
          <cell r="N254" t="str">
            <v>446-259-973</v>
          </cell>
          <cell r="O254">
            <v>43</v>
          </cell>
          <cell r="P254">
            <v>472</v>
          </cell>
          <cell r="Q254">
            <v>34</v>
          </cell>
          <cell r="R254">
            <v>8</v>
          </cell>
          <cell r="S254">
            <v>0</v>
          </cell>
          <cell r="T254" t="str">
            <v>Rochelle D. Abayon
B35 L92 Mabuhay City,
Brgy. Mamatid, Cabuyao City
0909-715-4800</v>
          </cell>
          <cell r="U254" t="str">
            <v>2017-07-01</v>
          </cell>
        </row>
        <row r="255">
          <cell r="C255" t="str">
            <v>M119</v>
          </cell>
          <cell r="D255" t="str">
            <v>Hernandez</v>
          </cell>
          <cell r="E255" t="str">
            <v>Jenelyn</v>
          </cell>
          <cell r="F255" t="str">
            <v>Alolor</v>
          </cell>
          <cell r="G255" t="str">
            <v>Jhen</v>
          </cell>
          <cell r="H255" t="str">
            <v>0910-839-1497</v>
          </cell>
          <cell r="I255" t="str">
            <v>1993-01-06</v>
          </cell>
          <cell r="J255">
            <v>2</v>
          </cell>
          <cell r="K255">
            <v>1</v>
          </cell>
          <cell r="M255" t="str">
            <v>04-2568689-2</v>
          </cell>
          <cell r="N255" t="str">
            <v>707-195-923</v>
          </cell>
          <cell r="O255">
            <v>43</v>
          </cell>
          <cell r="P255">
            <v>493</v>
          </cell>
          <cell r="Q255">
            <v>55</v>
          </cell>
          <cell r="R255">
            <v>11</v>
          </cell>
          <cell r="S255">
            <v>0</v>
          </cell>
          <cell r="T255" t="str">
            <v>Nestor F. Hernandez
Brgy. Durungao, San Luis, Batangas
0906-853-2165</v>
          </cell>
          <cell r="U255" t="str">
            <v>2017-07-06</v>
          </cell>
        </row>
        <row r="256">
          <cell r="C256" t="str">
            <v>M050</v>
          </cell>
          <cell r="D256" t="str">
            <v>Genova</v>
          </cell>
          <cell r="E256" t="str">
            <v>Florenda</v>
          </cell>
          <cell r="F256" t="str">
            <v>Celestial</v>
          </cell>
          <cell r="G256" t="str">
            <v>Floren</v>
          </cell>
          <cell r="H256" t="str">
            <v>0912-884-0196</v>
          </cell>
          <cell r="I256" t="str">
            <v>1990-04-25</v>
          </cell>
          <cell r="J256">
            <v>2</v>
          </cell>
          <cell r="K256">
            <v>1</v>
          </cell>
          <cell r="M256" t="str">
            <v>04-2139181-9</v>
          </cell>
          <cell r="N256" t="str">
            <v>286-750-817</v>
          </cell>
          <cell r="O256">
            <v>43</v>
          </cell>
          <cell r="P256">
            <v>472</v>
          </cell>
          <cell r="Q256">
            <v>34</v>
          </cell>
          <cell r="R256">
            <v>8</v>
          </cell>
          <cell r="S256">
            <v>0</v>
          </cell>
          <cell r="T256" t="str">
            <v>Estrella C. Genova
Brgy. Candato, Libmanan,
Camarines Sur
0939-833-2274</v>
          </cell>
          <cell r="U256" t="str">
            <v>2017-07-01</v>
          </cell>
        </row>
        <row r="257">
          <cell r="C257" t="str">
            <v>M072</v>
          </cell>
          <cell r="D257" t="str">
            <v>Mendoza</v>
          </cell>
          <cell r="E257" t="str">
            <v>Daisy</v>
          </cell>
          <cell r="F257" t="str">
            <v>Delas Alas</v>
          </cell>
          <cell r="G257" t="str">
            <v>Daisy</v>
          </cell>
          <cell r="H257" t="str">
            <v>0918-579-5939</v>
          </cell>
          <cell r="I257" t="str">
            <v>1989-05-28</v>
          </cell>
          <cell r="J257">
            <v>2</v>
          </cell>
          <cell r="K257">
            <v>1</v>
          </cell>
          <cell r="M257" t="str">
            <v>04-1905678-4</v>
          </cell>
          <cell r="N257" t="str">
            <v>265-678-157</v>
          </cell>
          <cell r="O257">
            <v>43</v>
          </cell>
          <cell r="P257">
            <v>472</v>
          </cell>
          <cell r="Q257">
            <v>34</v>
          </cell>
          <cell r="R257">
            <v>8</v>
          </cell>
          <cell r="S257">
            <v>0</v>
          </cell>
          <cell r="T257" t="str">
            <v>Carla Mendoza
Sta. Anastacia, Sto. Tomas, Batangas
0909-769-4880</v>
          </cell>
          <cell r="U257" t="str">
            <v>2017-07-01</v>
          </cell>
        </row>
        <row r="258">
          <cell r="C258" t="str">
            <v>M054</v>
          </cell>
          <cell r="D258" t="str">
            <v>Garay</v>
          </cell>
          <cell r="E258" t="str">
            <v>Joel</v>
          </cell>
          <cell r="F258" t="str">
            <v>Buison</v>
          </cell>
          <cell r="G258" t="str">
            <v>Joel</v>
          </cell>
          <cell r="H258" t="str">
            <v>0921-429-2555</v>
          </cell>
          <cell r="I258" t="str">
            <v>1990-02-02</v>
          </cell>
          <cell r="J258">
            <v>1</v>
          </cell>
          <cell r="K258">
            <v>2</v>
          </cell>
          <cell r="L258" t="str">
            <v>Rosby Ardales Daria</v>
          </cell>
          <cell r="M258" t="str">
            <v>04-2410703-9</v>
          </cell>
          <cell r="N258" t="str">
            <v>329-347-168</v>
          </cell>
          <cell r="O258">
            <v>55</v>
          </cell>
          <cell r="P258">
            <v>466</v>
          </cell>
          <cell r="Q258">
            <v>33</v>
          </cell>
          <cell r="R258">
            <v>8</v>
          </cell>
          <cell r="S258">
            <v>0</v>
          </cell>
          <cell r="T258" t="str">
            <v>Presentacion B. Garay
Jamboree Site, Brgy. Batong Malake,
Los BaÃ±os, Laguna
0921-429-2555</v>
          </cell>
          <cell r="U258" t="str">
            <v>2017-07-01</v>
          </cell>
        </row>
        <row r="259">
          <cell r="C259" t="str">
            <v>M061</v>
          </cell>
          <cell r="D259" t="str">
            <v>Dinglasan</v>
          </cell>
          <cell r="E259" t="str">
            <v>Jishon</v>
          </cell>
          <cell r="F259" t="str">
            <v>Lina</v>
          </cell>
          <cell r="G259" t="str">
            <v>Shon</v>
          </cell>
          <cell r="H259" t="str">
            <v>0948-738-7548</v>
          </cell>
          <cell r="I259" t="str">
            <v>1989-05-30</v>
          </cell>
          <cell r="J259">
            <v>1</v>
          </cell>
          <cell r="K259">
            <v>2</v>
          </cell>
          <cell r="M259" t="str">
            <v>04-1880189-1</v>
          </cell>
          <cell r="N259" t="str">
            <v>705-614-984</v>
          </cell>
          <cell r="O259">
            <v>43</v>
          </cell>
          <cell r="P259">
            <v>146</v>
          </cell>
          <cell r="Q259">
            <v>27</v>
          </cell>
          <cell r="R259">
            <v>6</v>
          </cell>
          <cell r="S259">
            <v>0</v>
          </cell>
          <cell r="T259" t="str">
            <v>Jennifer Dinglasan
#1047 Purok 6 Belflor Subd.
Brgy. San Cristobal, Calamba City
0909-119-9653</v>
          </cell>
          <cell r="U259" t="str">
            <v>2017-07-01</v>
          </cell>
        </row>
        <row r="260">
          <cell r="C260" t="str">
            <v>M093</v>
          </cell>
          <cell r="D260" t="str">
            <v>Odon Jr.</v>
          </cell>
          <cell r="E260" t="str">
            <v xml:space="preserve">Reynaldo </v>
          </cell>
          <cell r="F260" t="str">
            <v>Jalimao</v>
          </cell>
          <cell r="G260" t="str">
            <v>Rey</v>
          </cell>
          <cell r="H260" t="str">
            <v>0920-257-4538</v>
          </cell>
          <cell r="I260" t="str">
            <v>1994-03-07</v>
          </cell>
          <cell r="J260">
            <v>1</v>
          </cell>
          <cell r="K260">
            <v>1</v>
          </cell>
          <cell r="L260" t="str">
            <v>Via Lucida Guma</v>
          </cell>
          <cell r="M260" t="str">
            <v>05-1137103-7</v>
          </cell>
          <cell r="N260" t="str">
            <v>440-035-124</v>
          </cell>
          <cell r="O260">
            <v>55</v>
          </cell>
          <cell r="P260">
            <v>485</v>
          </cell>
          <cell r="Q260">
            <v>59</v>
          </cell>
          <cell r="R260">
            <v>11</v>
          </cell>
          <cell r="S260">
            <v>0</v>
          </cell>
          <cell r="T260" t="str">
            <v>Via Guma
Lourdes St. Salcedo Subd.
Brgy. Mayapa, Calamba City
0929-720-3709</v>
          </cell>
          <cell r="U260" t="str">
            <v>2017-07-01</v>
          </cell>
        </row>
        <row r="261">
          <cell r="C261" t="str">
            <v>M089</v>
          </cell>
          <cell r="D261" t="str">
            <v>Elomina</v>
          </cell>
          <cell r="E261" t="str">
            <v>Monica</v>
          </cell>
          <cell r="F261" t="str">
            <v>Raro</v>
          </cell>
          <cell r="G261" t="str">
            <v>Nhika</v>
          </cell>
          <cell r="H261" t="str">
            <v>0920-803-9241</v>
          </cell>
          <cell r="I261" t="str">
            <v>1989-01-06</v>
          </cell>
          <cell r="J261">
            <v>2</v>
          </cell>
          <cell r="K261">
            <v>1</v>
          </cell>
          <cell r="M261" t="str">
            <v>04-1732749-9</v>
          </cell>
          <cell r="N261" t="str">
            <v>249-569-941</v>
          </cell>
          <cell r="O261">
            <v>43</v>
          </cell>
          <cell r="P261">
            <v>492</v>
          </cell>
          <cell r="Q261">
            <v>55</v>
          </cell>
          <cell r="R261">
            <v>11</v>
          </cell>
          <cell r="S261">
            <v>0</v>
          </cell>
          <cell r="T261" t="str">
            <v>Monette Elomina
0422 Brgy. Butong, Cabuyao City
0915-771-5026</v>
          </cell>
          <cell r="U261" t="str">
            <v>2017-07-01</v>
          </cell>
        </row>
        <row r="262">
          <cell r="C262" t="str">
            <v>M092</v>
          </cell>
          <cell r="D262" t="str">
            <v>Tutor</v>
          </cell>
          <cell r="E262" t="str">
            <v>Juditha</v>
          </cell>
          <cell r="F262" t="str">
            <v>Enot</v>
          </cell>
          <cell r="G262" t="str">
            <v>Judai</v>
          </cell>
          <cell r="H262" t="str">
            <v>0946-274-4673</v>
          </cell>
          <cell r="I262" t="str">
            <v>1990-01-18</v>
          </cell>
          <cell r="J262">
            <v>2</v>
          </cell>
          <cell r="K262">
            <v>1</v>
          </cell>
          <cell r="M262" t="str">
            <v>02-3509299-3</v>
          </cell>
          <cell r="N262" t="str">
            <v>400-288-865</v>
          </cell>
          <cell r="O262">
            <v>43</v>
          </cell>
          <cell r="P262">
            <v>492</v>
          </cell>
          <cell r="Q262">
            <v>55</v>
          </cell>
          <cell r="R262">
            <v>11</v>
          </cell>
          <cell r="S262">
            <v>0</v>
          </cell>
          <cell r="U262" t="str">
            <v>2017-07-01</v>
          </cell>
        </row>
        <row r="263">
          <cell r="C263" t="str">
            <v>M041</v>
          </cell>
          <cell r="D263" t="str">
            <v>Fabroa</v>
          </cell>
          <cell r="E263" t="str">
            <v>Maricel</v>
          </cell>
          <cell r="F263" t="str">
            <v>Iquin</v>
          </cell>
          <cell r="G263" t="str">
            <v>Cel</v>
          </cell>
          <cell r="H263" t="str">
            <v>0907-078-6619</v>
          </cell>
          <cell r="I263" t="str">
            <v>1988-03-01</v>
          </cell>
          <cell r="J263">
            <v>2</v>
          </cell>
          <cell r="K263">
            <v>1</v>
          </cell>
          <cell r="M263" t="str">
            <v>34-0054100-1</v>
          </cell>
          <cell r="N263" t="str">
            <v>414-198-866</v>
          </cell>
          <cell r="O263">
            <v>43</v>
          </cell>
          <cell r="P263">
            <v>502</v>
          </cell>
          <cell r="Q263">
            <v>62</v>
          </cell>
          <cell r="R263">
            <v>12</v>
          </cell>
          <cell r="S263">
            <v>0</v>
          </cell>
          <cell r="T263" t="str">
            <v>Lilibeth R. Ubanan
B22 L141 Ph6 Mabuhay City, 
Brgy. Mamatid, Cabuyao City
0907-372-0709</v>
          </cell>
          <cell r="U263" t="str">
            <v>2017-07-01</v>
          </cell>
        </row>
        <row r="264">
          <cell r="C264" t="str">
            <v>M058</v>
          </cell>
          <cell r="D264" t="str">
            <v>Medrana</v>
          </cell>
          <cell r="E264" t="str">
            <v>Joan</v>
          </cell>
          <cell r="F264" t="str">
            <v>Canaria</v>
          </cell>
          <cell r="G264" t="str">
            <v>Jho</v>
          </cell>
          <cell r="H264" t="str">
            <v>0998-946-6896</v>
          </cell>
          <cell r="I264" t="str">
            <v>1992-07-14</v>
          </cell>
          <cell r="J264">
            <v>2</v>
          </cell>
          <cell r="K264">
            <v>1</v>
          </cell>
          <cell r="M264" t="str">
            <v>04-2710592-8</v>
          </cell>
          <cell r="N264" t="str">
            <v>466-034-171</v>
          </cell>
          <cell r="O264">
            <v>43</v>
          </cell>
          <cell r="P264">
            <v>472</v>
          </cell>
          <cell r="Q264">
            <v>34</v>
          </cell>
          <cell r="R264">
            <v>8</v>
          </cell>
          <cell r="S264">
            <v>0</v>
          </cell>
          <cell r="T264" t="str">
            <v>Richard C. Medrana
San Pablo City
0930-885-4252</v>
          </cell>
          <cell r="U264" t="str">
            <v>2017-07-01</v>
          </cell>
        </row>
        <row r="265">
          <cell r="C265" t="str">
            <v>M046</v>
          </cell>
          <cell r="D265" t="str">
            <v>Alarcon</v>
          </cell>
          <cell r="E265" t="str">
            <v>Jan Eric</v>
          </cell>
          <cell r="F265" t="str">
            <v>Faustino</v>
          </cell>
          <cell r="G265" t="str">
            <v>Jec</v>
          </cell>
          <cell r="H265" t="str">
            <v>0909-692-2111</v>
          </cell>
          <cell r="I265" t="str">
            <v>1991-01-26</v>
          </cell>
          <cell r="J265">
            <v>1</v>
          </cell>
          <cell r="K265">
            <v>1</v>
          </cell>
          <cell r="M265" t="str">
            <v>04-2243580-0</v>
          </cell>
          <cell r="N265" t="str">
            <v>314-932-427</v>
          </cell>
          <cell r="O265">
            <v>55</v>
          </cell>
          <cell r="P265">
            <v>466</v>
          </cell>
          <cell r="Q265">
            <v>33</v>
          </cell>
          <cell r="R265">
            <v>8</v>
          </cell>
          <cell r="S265">
            <v>0</v>
          </cell>
          <cell r="T265" t="str">
            <v>Juanito Alarcon
Brgy. 4 Quinale, Paete, Laguna
0921-374-9340</v>
          </cell>
          <cell r="U265" t="str">
            <v>2017-07-01</v>
          </cell>
        </row>
        <row r="266">
          <cell r="C266" t="str">
            <v>M114</v>
          </cell>
          <cell r="D266" t="str">
            <v>Borres</v>
          </cell>
          <cell r="E266" t="str">
            <v>Sandy</v>
          </cell>
          <cell r="F266" t="str">
            <v>Rellores</v>
          </cell>
          <cell r="G266" t="str">
            <v>Sandz</v>
          </cell>
          <cell r="H266" t="str">
            <v>0950-399-0111</v>
          </cell>
          <cell r="I266" t="str">
            <v>1990-04-08</v>
          </cell>
          <cell r="J266">
            <v>1</v>
          </cell>
          <cell r="K266">
            <v>1</v>
          </cell>
          <cell r="M266" t="str">
            <v>34-1289522-4</v>
          </cell>
          <cell r="N266" t="str">
            <v>324-370-686</v>
          </cell>
          <cell r="O266">
            <v>55</v>
          </cell>
          <cell r="P266">
            <v>466</v>
          </cell>
          <cell r="Q266">
            <v>33</v>
          </cell>
          <cell r="R266">
            <v>8</v>
          </cell>
          <cell r="S266">
            <v>0</v>
          </cell>
          <cell r="T266" t="str">
            <v>Kristine Mae Montecillo
B41 L4 Ph1 Lumina Homes
Brgy. San Vicente, Sto. Tomas Batangas
0950-399-0111</v>
          </cell>
          <cell r="U266" t="str">
            <v>2017-07-01</v>
          </cell>
        </row>
        <row r="267">
          <cell r="C267" t="str">
            <v>M106</v>
          </cell>
          <cell r="D267" t="str">
            <v>Neones</v>
          </cell>
          <cell r="E267" t="str">
            <v>Reymond</v>
          </cell>
          <cell r="F267" t="str">
            <v>Bon</v>
          </cell>
          <cell r="G267" t="str">
            <v>Mhond</v>
          </cell>
          <cell r="H267" t="str">
            <v>0907-147-7973</v>
          </cell>
          <cell r="I267" t="str">
            <v>1994-05-24</v>
          </cell>
          <cell r="J267">
            <v>1</v>
          </cell>
          <cell r="K267">
            <v>1</v>
          </cell>
          <cell r="M267" t="str">
            <v>04-2852948-0</v>
          </cell>
          <cell r="N267" t="str">
            <v>707-208-689</v>
          </cell>
          <cell r="O267">
            <v>43</v>
          </cell>
          <cell r="P267">
            <v>452</v>
          </cell>
          <cell r="Q267">
            <v>20</v>
          </cell>
          <cell r="R267">
            <v>4</v>
          </cell>
          <cell r="S267">
            <v>0</v>
          </cell>
          <cell r="T267" t="str">
            <v>Virginia Neones
Brgy. Natasan, Libon, Albay
0939-949-6993</v>
          </cell>
          <cell r="U267" t="str">
            <v>2017-07-01</v>
          </cell>
        </row>
        <row r="268">
          <cell r="C268" t="str">
            <v>M082</v>
          </cell>
          <cell r="D268" t="str">
            <v>Mercado</v>
          </cell>
          <cell r="E268" t="str">
            <v>Marlon</v>
          </cell>
          <cell r="F268" t="str">
            <v>Alvarez</v>
          </cell>
          <cell r="G268" t="str">
            <v>Lhon</v>
          </cell>
          <cell r="H268">
            <v>9472540698</v>
          </cell>
          <cell r="I268" t="str">
            <v>1990-08-08</v>
          </cell>
          <cell r="J268">
            <v>1</v>
          </cell>
          <cell r="K268">
            <v>1</v>
          </cell>
          <cell r="M268" t="str">
            <v>04-2213650-7</v>
          </cell>
          <cell r="N268" t="str">
            <v>293-364-260</v>
          </cell>
          <cell r="O268">
            <v>43</v>
          </cell>
          <cell r="P268">
            <v>502</v>
          </cell>
          <cell r="Q268">
            <v>62</v>
          </cell>
          <cell r="R268">
            <v>12</v>
          </cell>
          <cell r="S268">
            <v>0</v>
          </cell>
          <cell r="T268" t="str">
            <v>Jocelyn Lucrida
B3 L34 Terelay Subd. Brgy. Pittland, Cabuyao City
09295103227</v>
          </cell>
          <cell r="U268" t="str">
            <v>2017-07-01</v>
          </cell>
        </row>
        <row r="269">
          <cell r="C269" t="str">
            <v>M091</v>
          </cell>
          <cell r="D269" t="str">
            <v>Bacamante</v>
          </cell>
          <cell r="E269" t="str">
            <v>Angelica Joy</v>
          </cell>
          <cell r="F269" t="str">
            <v>Melitante</v>
          </cell>
          <cell r="G269" t="str">
            <v>Joy</v>
          </cell>
          <cell r="H269" t="str">
            <v>0921-800-3170</v>
          </cell>
          <cell r="I269" t="str">
            <v>1996-07-08</v>
          </cell>
          <cell r="J269">
            <v>2</v>
          </cell>
          <cell r="K269">
            <v>1</v>
          </cell>
          <cell r="M269" t="str">
            <v>04-2950833-2</v>
          </cell>
          <cell r="N269" t="str">
            <v>323-318-513</v>
          </cell>
          <cell r="O269">
            <v>43</v>
          </cell>
          <cell r="P269">
            <v>492</v>
          </cell>
          <cell r="Q269">
            <v>55</v>
          </cell>
          <cell r="R269">
            <v>11</v>
          </cell>
          <cell r="S269">
            <v>0</v>
          </cell>
          <cell r="T269" t="str">
            <v>Renzo D. Gonzales
Brgy. Tuy, Rizal, Laguna
0908-603-3949</v>
          </cell>
          <cell r="U269" t="str">
            <v>2017-07-01</v>
          </cell>
        </row>
        <row r="270">
          <cell r="C270" t="str">
            <v>M077</v>
          </cell>
          <cell r="D270" t="str">
            <v>Abaja</v>
          </cell>
          <cell r="E270" t="str">
            <v>Mylene</v>
          </cell>
          <cell r="F270" t="str">
            <v>Balangatan</v>
          </cell>
          <cell r="G270" t="str">
            <v>Mai</v>
          </cell>
          <cell r="I270" t="str">
            <v>1997-11-12</v>
          </cell>
          <cell r="J270">
            <v>2</v>
          </cell>
          <cell r="K270">
            <v>1</v>
          </cell>
          <cell r="M270" t="str">
            <v>04-3691282-7</v>
          </cell>
          <cell r="N270" t="str">
            <v>707-180-168</v>
          </cell>
          <cell r="O270">
            <v>43</v>
          </cell>
          <cell r="P270">
            <v>393</v>
          </cell>
          <cell r="Q270">
            <v>34</v>
          </cell>
          <cell r="R270">
            <v>8</v>
          </cell>
          <cell r="S270">
            <v>0</v>
          </cell>
          <cell r="T270" t="str">
            <v>Mylene B. Yap
#246Mabolo St., Brgy. Parian,
Calamba City
0921-646-2850</v>
          </cell>
          <cell r="U270" t="str">
            <v>2017-07-01</v>
          </cell>
        </row>
        <row r="271">
          <cell r="C271" t="str">
            <v>M090</v>
          </cell>
          <cell r="D271" t="str">
            <v>Reyes</v>
          </cell>
          <cell r="E271" t="str">
            <v>Maria Eva</v>
          </cell>
          <cell r="F271" t="str">
            <v>Manis</v>
          </cell>
          <cell r="G271" t="str">
            <v>Eva</v>
          </cell>
          <cell r="H271" t="str">
            <v>0907-589-8943</v>
          </cell>
          <cell r="I271" t="str">
            <v>1992-08-02</v>
          </cell>
          <cell r="J271">
            <v>2</v>
          </cell>
          <cell r="K271">
            <v>1</v>
          </cell>
          <cell r="M271" t="str">
            <v>06-3058776-0</v>
          </cell>
          <cell r="N271" t="str">
            <v>309-104-121</v>
          </cell>
          <cell r="O271">
            <v>43</v>
          </cell>
          <cell r="P271">
            <v>492</v>
          </cell>
          <cell r="Q271">
            <v>55</v>
          </cell>
          <cell r="R271">
            <v>11</v>
          </cell>
          <cell r="S271">
            <v>0</v>
          </cell>
          <cell r="T271" t="str">
            <v>Marc Peeyjay Raza
B8 L26 Centennial Townhomes 2, Brgy. Pulo, Cabuyao, Laguna
0907-583-8943</v>
          </cell>
          <cell r="U271" t="str">
            <v>2017-07-01</v>
          </cell>
        </row>
        <row r="272">
          <cell r="C272" t="str">
            <v>M059</v>
          </cell>
          <cell r="D272" t="str">
            <v>Dela Cruz</v>
          </cell>
          <cell r="E272" t="str">
            <v>Maryanne</v>
          </cell>
          <cell r="F272" t="str">
            <v>Lazarte</v>
          </cell>
          <cell r="G272" t="str">
            <v>Maryan</v>
          </cell>
          <cell r="H272" t="str">
            <v>0912-878-6971</v>
          </cell>
          <cell r="I272" t="str">
            <v>1989-01-12</v>
          </cell>
          <cell r="J272">
            <v>2</v>
          </cell>
          <cell r="K272">
            <v>1</v>
          </cell>
          <cell r="M272" t="str">
            <v>04-1943241-8</v>
          </cell>
          <cell r="N272" t="str">
            <v>312-696-359</v>
          </cell>
          <cell r="O272">
            <v>43</v>
          </cell>
          <cell r="P272">
            <v>363</v>
          </cell>
          <cell r="Q272">
            <v>34</v>
          </cell>
          <cell r="R272">
            <v>8</v>
          </cell>
          <cell r="S272">
            <v>0</v>
          </cell>
          <cell r="T272" t="str">
            <v>Joshua A. Alitagtag
Rizal Village, Paciano,
Calamba City, laguna
0912-999-4893</v>
          </cell>
          <cell r="U272" t="str">
            <v>2017-07-01</v>
          </cell>
        </row>
        <row r="273">
          <cell r="C273" t="str">
            <v>M105</v>
          </cell>
          <cell r="D273" t="str">
            <v>Dinglasan</v>
          </cell>
          <cell r="E273" t="str">
            <v>Jeffrey</v>
          </cell>
          <cell r="F273" t="str">
            <v>Rivera</v>
          </cell>
          <cell r="G273" t="str">
            <v>Jeff</v>
          </cell>
          <cell r="H273" t="str">
            <v>0938-772-5604</v>
          </cell>
          <cell r="I273" t="str">
            <v>1993-09-04</v>
          </cell>
          <cell r="J273">
            <v>1</v>
          </cell>
          <cell r="K273">
            <v>1</v>
          </cell>
          <cell r="M273" t="str">
            <v>04-2883581-5</v>
          </cell>
          <cell r="N273" t="str">
            <v>323-417-833</v>
          </cell>
          <cell r="O273">
            <v>43</v>
          </cell>
          <cell r="P273">
            <v>317</v>
          </cell>
          <cell r="Q273">
            <v>20</v>
          </cell>
          <cell r="R273">
            <v>4</v>
          </cell>
          <cell r="S273">
            <v>0</v>
          </cell>
          <cell r="T273" t="str">
            <v>Sweetheart R. Realisan
Paiisa, Tiaong, Quezon
0930-691-4471</v>
          </cell>
          <cell r="U273" t="str">
            <v>2017-07-01</v>
          </cell>
        </row>
        <row r="274">
          <cell r="C274" t="str">
            <v>M036</v>
          </cell>
          <cell r="D274" t="str">
            <v>Llanes</v>
          </cell>
          <cell r="E274" t="str">
            <v>Aiza</v>
          </cell>
          <cell r="F274" t="str">
            <v>Calma</v>
          </cell>
          <cell r="G274" t="str">
            <v>Aiza</v>
          </cell>
          <cell r="H274" t="str">
            <v>0946-443-7698</v>
          </cell>
          <cell r="I274" t="str">
            <v>1993-03-06</v>
          </cell>
          <cell r="J274">
            <v>2</v>
          </cell>
          <cell r="K274">
            <v>2</v>
          </cell>
          <cell r="L274" t="str">
            <v>Errald Paulete Llanes</v>
          </cell>
          <cell r="M274" t="str">
            <v>04-2555408-9</v>
          </cell>
          <cell r="N274" t="str">
            <v>459-261-197</v>
          </cell>
          <cell r="O274">
            <v>40</v>
          </cell>
          <cell r="P274">
            <v>147</v>
          </cell>
          <cell r="Q274">
            <v>28</v>
          </cell>
          <cell r="R274">
            <v>6</v>
          </cell>
          <cell r="S274">
            <v>0</v>
          </cell>
          <cell r="T274" t="str">
            <v>Arlene C. Onte
Purok 1, Brgy. Turbina,
Calamba City
0912-646-0661</v>
          </cell>
          <cell r="U274" t="str">
            <v>2017-07-01</v>
          </cell>
        </row>
        <row r="275">
          <cell r="C275" t="str">
            <v>M071</v>
          </cell>
          <cell r="D275" t="str">
            <v>Enriquez</v>
          </cell>
          <cell r="E275" t="str">
            <v>Charie</v>
          </cell>
          <cell r="F275" t="str">
            <v>Buaya</v>
          </cell>
          <cell r="G275" t="str">
            <v>Cha</v>
          </cell>
          <cell r="H275" t="str">
            <v>0948-890-8274</v>
          </cell>
          <cell r="I275" t="str">
            <v>1994-11-24</v>
          </cell>
          <cell r="J275">
            <v>2</v>
          </cell>
          <cell r="K275">
            <v>1</v>
          </cell>
          <cell r="M275" t="str">
            <v>04-2672503-7</v>
          </cell>
          <cell r="N275" t="str">
            <v>494-111-614</v>
          </cell>
          <cell r="O275">
            <v>43</v>
          </cell>
          <cell r="P275">
            <v>472</v>
          </cell>
          <cell r="Q275">
            <v>34</v>
          </cell>
          <cell r="R275">
            <v>8</v>
          </cell>
          <cell r="S275">
            <v>0</v>
          </cell>
          <cell r="T275" t="str">
            <v>Charmil Enriquez
B13 L10 Ph3 Executive Mabuhay City
Brgy. Mamatid, Cabuyao City
0912-445-4968</v>
          </cell>
          <cell r="U275" t="str">
            <v>2017-07-01</v>
          </cell>
        </row>
        <row r="276">
          <cell r="C276" t="str">
            <v>M068</v>
          </cell>
          <cell r="D276" t="str">
            <v>Frondoza</v>
          </cell>
          <cell r="E276" t="str">
            <v>Michael</v>
          </cell>
          <cell r="F276" t="str">
            <v>Rioveros</v>
          </cell>
          <cell r="G276" t="str">
            <v>Mike</v>
          </cell>
          <cell r="H276" t="str">
            <v>0918-756-77-47</v>
          </cell>
          <cell r="I276" t="str">
            <v>1987-12-11</v>
          </cell>
          <cell r="J276">
            <v>1</v>
          </cell>
          <cell r="K276">
            <v>1</v>
          </cell>
          <cell r="M276" t="str">
            <v>04-1823316-8</v>
          </cell>
          <cell r="N276" t="str">
            <v>305-608-900</v>
          </cell>
          <cell r="O276">
            <v>55</v>
          </cell>
          <cell r="P276">
            <v>466</v>
          </cell>
          <cell r="Q276">
            <v>33</v>
          </cell>
          <cell r="R276">
            <v>8</v>
          </cell>
          <cell r="S276">
            <v>0</v>
          </cell>
          <cell r="T276" t="str">
            <v>Sheena May Arostique
147 Dalia St. Christopher II
Brgy. Mayapa, Calamba City
0910-329-5348</v>
          </cell>
          <cell r="U276" t="str">
            <v>2017-07-01</v>
          </cell>
        </row>
        <row r="277">
          <cell r="C277" t="str">
            <v>M039</v>
          </cell>
          <cell r="D277" t="str">
            <v>Camus</v>
          </cell>
          <cell r="E277" t="str">
            <v>Erneil</v>
          </cell>
          <cell r="F277" t="str">
            <v>CaÃ±ete</v>
          </cell>
          <cell r="G277" t="str">
            <v>Neil</v>
          </cell>
          <cell r="I277" t="str">
            <v>1993-12-07</v>
          </cell>
          <cell r="J277">
            <v>1</v>
          </cell>
          <cell r="K277">
            <v>2</v>
          </cell>
          <cell r="L277" t="str">
            <v>Diosa Escabillas Mendoza</v>
          </cell>
          <cell r="M277" t="str">
            <v>34-4059553-8</v>
          </cell>
          <cell r="N277" t="str">
            <v>316-646-954</v>
          </cell>
          <cell r="O277">
            <v>97</v>
          </cell>
          <cell r="P277">
            <v>349</v>
          </cell>
          <cell r="Q277">
            <v>35</v>
          </cell>
          <cell r="R277">
            <v>8</v>
          </cell>
          <cell r="S277">
            <v>0</v>
          </cell>
          <cell r="T277" t="str">
            <v>Diosa M. Camus
Santan St. Farconville Subc.
Brgy. Parian, Calamba City
0910-723-5908</v>
          </cell>
          <cell r="U277" t="str">
            <v>2017-07-01</v>
          </cell>
        </row>
        <row r="278">
          <cell r="C278" t="str">
            <v>M099</v>
          </cell>
          <cell r="D278" t="str">
            <v>Magtibay</v>
          </cell>
          <cell r="E278" t="str">
            <v>Maybell</v>
          </cell>
          <cell r="F278" t="str">
            <v>PaÃ±er</v>
          </cell>
          <cell r="G278" t="str">
            <v>Maybell</v>
          </cell>
          <cell r="I278" t="str">
            <v>1990-05-05</v>
          </cell>
          <cell r="J278">
            <v>2</v>
          </cell>
          <cell r="K278">
            <v>2</v>
          </cell>
          <cell r="L278" t="str">
            <v>Adrian Tarray Magtibay</v>
          </cell>
          <cell r="M278" t="str">
            <v>04-2184978-5</v>
          </cell>
          <cell r="N278" t="str">
            <v>293-593-742</v>
          </cell>
          <cell r="O278">
            <v>41</v>
          </cell>
          <cell r="P278">
            <v>472</v>
          </cell>
          <cell r="Q278">
            <v>34</v>
          </cell>
          <cell r="R278">
            <v>8</v>
          </cell>
          <cell r="S278">
            <v>0</v>
          </cell>
          <cell r="U278" t="str">
            <v>2017-07-01</v>
          </cell>
        </row>
        <row r="279">
          <cell r="C279" t="str">
            <v>M035</v>
          </cell>
          <cell r="D279" t="str">
            <v>Haro</v>
          </cell>
          <cell r="E279" t="str">
            <v>Ma. Lyn</v>
          </cell>
          <cell r="F279" t="str">
            <v>Miguel</v>
          </cell>
          <cell r="G279" t="str">
            <v>Lyn</v>
          </cell>
          <cell r="I279" t="str">
            <v>1993-03-24</v>
          </cell>
          <cell r="J279">
            <v>2</v>
          </cell>
          <cell r="K279">
            <v>2</v>
          </cell>
          <cell r="L279" t="str">
            <v>Mark Christian Larumbi Haro</v>
          </cell>
          <cell r="M279" t="str">
            <v>04-2545537-9</v>
          </cell>
          <cell r="N279" t="str">
            <v>422-095-246</v>
          </cell>
          <cell r="O279">
            <v>97</v>
          </cell>
          <cell r="P279">
            <v>468</v>
          </cell>
          <cell r="Q279">
            <v>35</v>
          </cell>
          <cell r="R279">
            <v>8</v>
          </cell>
          <cell r="S279">
            <v>0</v>
          </cell>
          <cell r="T279" t="str">
            <v>Mark Christian L. Haro
Blk 11 Lot 12 Ph1 St. Joseph 6,
Bgy. Butong, Cabuyao, Laguna
0991-846-6432</v>
          </cell>
          <cell r="U279" t="str">
            <v>2017-07-01</v>
          </cell>
        </row>
        <row r="280">
          <cell r="C280" t="str">
            <v>M060</v>
          </cell>
          <cell r="D280" t="str">
            <v>Prado</v>
          </cell>
          <cell r="E280" t="str">
            <v>Carel Ann</v>
          </cell>
          <cell r="F280" t="str">
            <v>Biscocho</v>
          </cell>
          <cell r="G280" t="str">
            <v>Carel</v>
          </cell>
          <cell r="H280" t="str">
            <v>0920-627-0207</v>
          </cell>
          <cell r="I280" t="str">
            <v>1993-07-17</v>
          </cell>
          <cell r="J280">
            <v>2</v>
          </cell>
          <cell r="K280">
            <v>1</v>
          </cell>
          <cell r="M280" t="str">
            <v>04-2352456-1</v>
          </cell>
          <cell r="N280" t="str">
            <v>314-245-969</v>
          </cell>
          <cell r="O280">
            <v>43</v>
          </cell>
          <cell r="P280">
            <v>472</v>
          </cell>
          <cell r="Q280">
            <v>34</v>
          </cell>
          <cell r="R280">
            <v>8</v>
          </cell>
          <cell r="S280">
            <v>0</v>
          </cell>
          <cell r="T280" t="str">
            <v>Evelyn Prado
B13 L93 Ph2 Ext. Mabuhay City,
Bgry. Mamatid, Cabuyao City</v>
          </cell>
          <cell r="U280" t="str">
            <v>2017-07-01</v>
          </cell>
        </row>
        <row r="281">
          <cell r="C281" t="str">
            <v>M033</v>
          </cell>
          <cell r="D281" t="str">
            <v>Pascua</v>
          </cell>
          <cell r="E281" t="str">
            <v>Baby Grace</v>
          </cell>
          <cell r="F281" t="str">
            <v>Biay</v>
          </cell>
          <cell r="G281" t="str">
            <v>Grace</v>
          </cell>
          <cell r="I281" t="str">
            <v>1991-02-12</v>
          </cell>
          <cell r="J281">
            <v>2</v>
          </cell>
          <cell r="K281">
            <v>1</v>
          </cell>
          <cell r="M281" t="str">
            <v>04-2128372-3</v>
          </cell>
          <cell r="N281" t="str">
            <v>310-150-665</v>
          </cell>
          <cell r="O281">
            <v>40</v>
          </cell>
          <cell r="P281">
            <v>488</v>
          </cell>
          <cell r="Q281">
            <v>58</v>
          </cell>
          <cell r="R281">
            <v>11</v>
          </cell>
          <cell r="S281">
            <v>0</v>
          </cell>
          <cell r="T281" t="str">
            <v xml:space="preserve">Carmencho Pascua
Brgy. Parian, Calamba City
0948-426-9880 </v>
          </cell>
          <cell r="U281" t="str">
            <v>2017-07-01</v>
          </cell>
        </row>
        <row r="282">
          <cell r="C282" t="str">
            <v>M126</v>
          </cell>
          <cell r="D282" t="str">
            <v>Villaver</v>
          </cell>
          <cell r="E282" t="str">
            <v>Ryan</v>
          </cell>
          <cell r="F282" t="str">
            <v>Salvador</v>
          </cell>
          <cell r="G282" t="str">
            <v>Yan</v>
          </cell>
          <cell r="I282" t="str">
            <v>1991-08-22</v>
          </cell>
          <cell r="J282">
            <v>1</v>
          </cell>
          <cell r="K282">
            <v>2</v>
          </cell>
          <cell r="L282" t="str">
            <v>Marjory Sosa Soriano</v>
          </cell>
          <cell r="M282" t="str">
            <v>10-0810037-0</v>
          </cell>
          <cell r="N282" t="str">
            <v>461-212-450</v>
          </cell>
          <cell r="O282">
            <v>41</v>
          </cell>
          <cell r="P282">
            <v>363</v>
          </cell>
          <cell r="Q282">
            <v>34</v>
          </cell>
          <cell r="R282">
            <v>8</v>
          </cell>
          <cell r="S282">
            <v>0</v>
          </cell>
          <cell r="T282" t="str">
            <v xml:space="preserve">Rynan Villaver
Antipolo City
0930-520-2070 </v>
          </cell>
          <cell r="U282" t="str">
            <v>2017-07-14</v>
          </cell>
        </row>
        <row r="283">
          <cell r="C283" t="str">
            <v>M138</v>
          </cell>
          <cell r="D283" t="str">
            <v>Antonio</v>
          </cell>
          <cell r="E283" t="str">
            <v>Angelito</v>
          </cell>
          <cell r="F283" t="str">
            <v>Bebania</v>
          </cell>
          <cell r="G283" t="str">
            <v>Angel</v>
          </cell>
          <cell r="H283" t="str">
            <v>0963-899-6519</v>
          </cell>
          <cell r="I283" t="str">
            <v>1996-09-07</v>
          </cell>
          <cell r="J283">
            <v>1</v>
          </cell>
          <cell r="K283">
            <v>1</v>
          </cell>
          <cell r="M283" t="str">
            <v>34-7165167-4</v>
          </cell>
          <cell r="N283" t="str">
            <v>422-010-246</v>
          </cell>
          <cell r="O283">
            <v>101</v>
          </cell>
          <cell r="P283">
            <v>406</v>
          </cell>
          <cell r="Q283">
            <v>51</v>
          </cell>
          <cell r="R283">
            <v>1</v>
          </cell>
          <cell r="S283">
            <v>0</v>
          </cell>
          <cell r="T283" t="str">
            <v>Margarett Tolentino
Blk 22, Lot 4 Manfil, Kapayapaan Ville Subd.
Canlubang, Calamba City Laguna
0950-337-8849</v>
          </cell>
          <cell r="U283" t="str">
            <v>2017-10-27</v>
          </cell>
        </row>
        <row r="284">
          <cell r="C284" t="str">
            <v>M139</v>
          </cell>
          <cell r="D284" t="str">
            <v>Belangel</v>
          </cell>
          <cell r="E284" t="str">
            <v>Arjey</v>
          </cell>
          <cell r="F284" t="str">
            <v>Clamar</v>
          </cell>
          <cell r="G284" t="str">
            <v>Arjey</v>
          </cell>
          <cell r="H284" t="str">
            <v>0908-988-6913</v>
          </cell>
          <cell r="I284" t="str">
            <v>1993-08-10</v>
          </cell>
          <cell r="J284">
            <v>1</v>
          </cell>
          <cell r="K284">
            <v>1</v>
          </cell>
          <cell r="M284" t="str">
            <v>04-3441683-3</v>
          </cell>
          <cell r="N284" t="str">
            <v>329-424-464</v>
          </cell>
          <cell r="O284">
            <v>55</v>
          </cell>
          <cell r="P284">
            <v>466</v>
          </cell>
          <cell r="Q284">
            <v>33</v>
          </cell>
          <cell r="R284">
            <v>8</v>
          </cell>
          <cell r="S284">
            <v>0</v>
          </cell>
          <cell r="T284" t="str">
            <v xml:space="preserve">Jesus Belangel
Brgy. Sta. Cruz, Malilipot, Albay
0930-141-6235
</v>
          </cell>
          <cell r="U284" t="str">
            <v>2017-12-26</v>
          </cell>
        </row>
        <row r="285">
          <cell r="C285" t="str">
            <v>N003</v>
          </cell>
          <cell r="D285" t="str">
            <v>Nazareth</v>
          </cell>
          <cell r="E285" t="str">
            <v>Mark John</v>
          </cell>
          <cell r="F285" t="str">
            <v>Tacla</v>
          </cell>
          <cell r="G285" t="str">
            <v>MJ</v>
          </cell>
          <cell r="I285" t="str">
            <v>1993-06-13</v>
          </cell>
          <cell r="J285">
            <v>1</v>
          </cell>
          <cell r="K285">
            <v>2</v>
          </cell>
          <cell r="L285" t="str">
            <v>Marites Ramos Blanco</v>
          </cell>
          <cell r="M285" t="str">
            <v>04-2895154-0</v>
          </cell>
          <cell r="N285" t="str">
            <v>458-270-340</v>
          </cell>
          <cell r="O285">
            <v>100</v>
          </cell>
          <cell r="P285">
            <v>484</v>
          </cell>
          <cell r="Q285">
            <v>60</v>
          </cell>
          <cell r="R285">
            <v>11</v>
          </cell>
          <cell r="S285">
            <v>0</v>
          </cell>
          <cell r="T285" t="str">
            <v>Marites Nazareth
B24 L48 Centennial Townhomes, San Isidro, Cabuyao, Laguna
0966-524-2553</v>
          </cell>
          <cell r="U285" t="str">
            <v>2018-01-18</v>
          </cell>
        </row>
        <row r="286">
          <cell r="C286" t="str">
            <v>N004</v>
          </cell>
          <cell r="D286" t="str">
            <v>Celomine</v>
          </cell>
          <cell r="E286" t="str">
            <v>Glennor</v>
          </cell>
          <cell r="F286" t="str">
            <v>Geonzon</v>
          </cell>
          <cell r="G286" t="str">
            <v>Glenn</v>
          </cell>
          <cell r="H286" t="str">
            <v>0909-840-9789</v>
          </cell>
          <cell r="I286" t="str">
            <v>1989-04-30</v>
          </cell>
          <cell r="J286">
            <v>1</v>
          </cell>
          <cell r="K286">
            <v>2</v>
          </cell>
          <cell r="L286" t="str">
            <v>Eddielyn NuÃ±ez DeÃ±ega</v>
          </cell>
          <cell r="M286" t="str">
            <v>04-1979729-2</v>
          </cell>
          <cell r="N286" t="str">
            <v>273-538-076</v>
          </cell>
          <cell r="O286">
            <v>100</v>
          </cell>
          <cell r="P286">
            <v>484</v>
          </cell>
          <cell r="Q286">
            <v>60</v>
          </cell>
          <cell r="R286">
            <v>11</v>
          </cell>
          <cell r="S286">
            <v>0</v>
          </cell>
          <cell r="T286" t="str">
            <v>Eddielyn DeÃ±ega
B8 L57 Villa Palao, Banlic Calamba City
0912-984-8092</v>
          </cell>
          <cell r="U286" t="str">
            <v>2018-01-19</v>
          </cell>
        </row>
        <row r="287">
          <cell r="C287" t="str">
            <v>N007</v>
          </cell>
          <cell r="D287" t="str">
            <v>Lucilla</v>
          </cell>
          <cell r="E287" t="str">
            <v>Valerie</v>
          </cell>
          <cell r="F287" t="str">
            <v>Vergara</v>
          </cell>
          <cell r="G287" t="str">
            <v>Val</v>
          </cell>
          <cell r="I287" t="str">
            <v>1994-07-15</v>
          </cell>
          <cell r="J287">
            <v>2</v>
          </cell>
          <cell r="K287">
            <v>1</v>
          </cell>
          <cell r="M287" t="str">
            <v>05-1387199-1</v>
          </cell>
          <cell r="N287" t="str">
            <v>339-451-217</v>
          </cell>
          <cell r="O287">
            <v>52</v>
          </cell>
          <cell r="P287">
            <v>472</v>
          </cell>
          <cell r="Q287">
            <v>34</v>
          </cell>
          <cell r="R287">
            <v>8</v>
          </cell>
          <cell r="S287">
            <v>0</v>
          </cell>
          <cell r="T287" t="str">
            <v>Rosario V. Lucilla
Brgy. Dela Paz, Daraga, Albay
0905-310-9104</v>
          </cell>
          <cell r="U287" t="str">
            <v>2018-02-06</v>
          </cell>
        </row>
        <row r="288">
          <cell r="C288" t="str">
            <v>N009</v>
          </cell>
          <cell r="D288" t="str">
            <v>De Guzman</v>
          </cell>
          <cell r="E288" t="str">
            <v>Henry</v>
          </cell>
          <cell r="F288" t="str">
            <v>Dela Cruz</v>
          </cell>
          <cell r="G288" t="str">
            <v>Henry</v>
          </cell>
          <cell r="H288" t="str">
            <v>0905-262-5546</v>
          </cell>
          <cell r="I288" t="str">
            <v>1987-03-11</v>
          </cell>
          <cell r="J288">
            <v>1</v>
          </cell>
          <cell r="K288">
            <v>1</v>
          </cell>
          <cell r="M288" t="str">
            <v>01-1912690-1</v>
          </cell>
          <cell r="N288" t="str">
            <v>276-938-014</v>
          </cell>
          <cell r="O288">
            <v>82</v>
          </cell>
          <cell r="P288">
            <v>512</v>
          </cell>
          <cell r="Q288">
            <v>73</v>
          </cell>
          <cell r="R288">
            <v>13</v>
          </cell>
          <cell r="S288">
            <v>0</v>
          </cell>
          <cell r="T288" t="str">
            <v>Ivy Joyce C. Paramio
Manes Compound Apt. C, Ph3E, Golden City
Brgy. Dila, Sta. Rosa City
0998-447-7904</v>
          </cell>
          <cell r="U288" t="str">
            <v>2018-02-20</v>
          </cell>
        </row>
        <row r="289">
          <cell r="C289" t="str">
            <v>N094</v>
          </cell>
          <cell r="D289" t="str">
            <v>Vesagas Jr.</v>
          </cell>
          <cell r="E289" t="str">
            <v>Rodrigo</v>
          </cell>
          <cell r="F289" t="str">
            <v>Dy</v>
          </cell>
          <cell r="G289" t="str">
            <v>Toto</v>
          </cell>
          <cell r="I289" t="str">
            <v>1993-08-21</v>
          </cell>
          <cell r="J289">
            <v>1</v>
          </cell>
          <cell r="K289">
            <v>1</v>
          </cell>
          <cell r="M289" t="str">
            <v>07-2800923-1</v>
          </cell>
          <cell r="N289" t="str">
            <v>332-314-680</v>
          </cell>
          <cell r="O289">
            <v>41</v>
          </cell>
          <cell r="P289">
            <v>472</v>
          </cell>
          <cell r="Q289">
            <v>34</v>
          </cell>
          <cell r="R289">
            <v>8</v>
          </cell>
          <cell r="S289">
            <v>0</v>
          </cell>
          <cell r="T289" t="str">
            <v>Jenny D. Vesagas
L11 B22 Bougainvilla Homes Subd.
Brgy. BaÃ±adero, Calamba City
0935-741-8774</v>
          </cell>
          <cell r="U289" t="str">
            <v>2018-04-02</v>
          </cell>
        </row>
        <row r="290">
          <cell r="C290" t="str">
            <v>N011</v>
          </cell>
          <cell r="D290" t="str">
            <v>Abella</v>
          </cell>
          <cell r="E290" t="str">
            <v>Leah</v>
          </cell>
          <cell r="F290" t="str">
            <v>Brandiz</v>
          </cell>
          <cell r="G290" t="str">
            <v>Lei</v>
          </cell>
          <cell r="H290">
            <v>9179436100</v>
          </cell>
          <cell r="I290" t="str">
            <v>1979-08-23</v>
          </cell>
          <cell r="J290">
            <v>2</v>
          </cell>
          <cell r="K290">
            <v>1</v>
          </cell>
          <cell r="M290" t="str">
            <v>04-1426241-8</v>
          </cell>
          <cell r="N290" t="str">
            <v>227-961-437</v>
          </cell>
          <cell r="O290">
            <v>41</v>
          </cell>
          <cell r="P290">
            <v>502</v>
          </cell>
          <cell r="Q290">
            <v>62</v>
          </cell>
          <cell r="R290">
            <v>12</v>
          </cell>
          <cell r="S290">
            <v>0</v>
          </cell>
          <cell r="T290" t="str">
            <v>Ella Doria
Silangan, Lazaan, Nagcarlan, Laguna
0917-626-4652</v>
          </cell>
          <cell r="U290" t="str">
            <v>2018-04-02</v>
          </cell>
        </row>
        <row r="291">
          <cell r="C291" t="str">
            <v>N017</v>
          </cell>
          <cell r="D291" t="str">
            <v>Antonio</v>
          </cell>
          <cell r="E291" t="str">
            <v>Angielyn</v>
          </cell>
          <cell r="F291" t="str">
            <v>Tagle</v>
          </cell>
          <cell r="G291" t="str">
            <v>Angie</v>
          </cell>
          <cell r="H291">
            <v>9188064327</v>
          </cell>
          <cell r="I291" t="str">
            <v>1988-12-31</v>
          </cell>
          <cell r="J291">
            <v>2</v>
          </cell>
          <cell r="K291">
            <v>2</v>
          </cell>
          <cell r="L291" t="str">
            <v>Jay Ar Gamido Antonio</v>
          </cell>
          <cell r="M291" t="str">
            <v>04-1798681-4</v>
          </cell>
          <cell r="N291" t="str">
            <v>254-252-062</v>
          </cell>
          <cell r="O291">
            <v>43</v>
          </cell>
          <cell r="P291">
            <v>493</v>
          </cell>
          <cell r="Q291">
            <v>55</v>
          </cell>
          <cell r="R291">
            <v>11</v>
          </cell>
          <cell r="S291">
            <v>0</v>
          </cell>
          <cell r="T291" t="str">
            <v>Jay Ar Antonio
B12 L3 Mayor Homes Subd.
Brgy. Bigaa, Cabuyao City
0908-714-0746</v>
          </cell>
          <cell r="U291" t="str">
            <v>2018-04-02</v>
          </cell>
        </row>
        <row r="292">
          <cell r="C292" t="str">
            <v>N055</v>
          </cell>
          <cell r="D292" t="str">
            <v>Hernandez</v>
          </cell>
          <cell r="E292" t="str">
            <v>Meldred</v>
          </cell>
          <cell r="F292" t="str">
            <v>Mejedana</v>
          </cell>
          <cell r="G292" t="str">
            <v>Dred</v>
          </cell>
          <cell r="H292" t="str">
            <v>0912-859-1460</v>
          </cell>
          <cell r="I292" t="str">
            <v>1986-02-07</v>
          </cell>
          <cell r="J292">
            <v>2</v>
          </cell>
          <cell r="K292">
            <v>2</v>
          </cell>
          <cell r="L292" t="str">
            <v>Jerwin M. Hernandez</v>
          </cell>
          <cell r="M292" t="str">
            <v>33-9371091-0</v>
          </cell>
          <cell r="N292" t="str">
            <v>272-153-651</v>
          </cell>
          <cell r="O292">
            <v>43</v>
          </cell>
          <cell r="P292">
            <v>493</v>
          </cell>
          <cell r="Q292">
            <v>55</v>
          </cell>
          <cell r="R292">
            <v>11</v>
          </cell>
          <cell r="S292">
            <v>0</v>
          </cell>
          <cell r="T292" t="str">
            <v>Jerwin Hernandez
Bgy. Tuy, Baanan, Liliw, Laguna
(0947) 385-5052</v>
          </cell>
          <cell r="U292" t="str">
            <v>2018-04-02</v>
          </cell>
        </row>
        <row r="293">
          <cell r="C293" t="str">
            <v>N034</v>
          </cell>
          <cell r="D293" t="str">
            <v>Calisin</v>
          </cell>
          <cell r="E293" t="str">
            <v>Randy</v>
          </cell>
          <cell r="F293" t="str">
            <v>Calimag</v>
          </cell>
          <cell r="G293" t="str">
            <v>Randy</v>
          </cell>
          <cell r="I293" t="str">
            <v>1992-02-11</v>
          </cell>
          <cell r="J293">
            <v>1</v>
          </cell>
          <cell r="K293">
            <v>1</v>
          </cell>
          <cell r="M293" t="str">
            <v>04-2780029-4</v>
          </cell>
          <cell r="N293" t="str">
            <v>457-231-160</v>
          </cell>
          <cell r="O293">
            <v>97</v>
          </cell>
          <cell r="P293">
            <v>500</v>
          </cell>
          <cell r="Q293">
            <v>65</v>
          </cell>
          <cell r="R293">
            <v>12</v>
          </cell>
          <cell r="S293">
            <v>0</v>
          </cell>
          <cell r="T293" t="str">
            <v>Alejandro C. Calisin
Bgy. San Jose, Sta. Cruz, Laguna
(0907) 086-6757</v>
          </cell>
          <cell r="U293" t="str">
            <v>2018-04-02</v>
          </cell>
        </row>
        <row r="294">
          <cell r="C294" t="str">
            <v>N091</v>
          </cell>
          <cell r="D294" t="str">
            <v xml:space="preserve">Ticman </v>
          </cell>
          <cell r="E294" t="str">
            <v xml:space="preserve">John Ray </v>
          </cell>
          <cell r="F294" t="str">
            <v xml:space="preserve">Aquino </v>
          </cell>
          <cell r="G294" t="str">
            <v xml:space="preserve">Jhe Ar </v>
          </cell>
          <cell r="I294" t="str">
            <v>1993-12-28</v>
          </cell>
          <cell r="J294">
            <v>1</v>
          </cell>
          <cell r="K294">
            <v>1</v>
          </cell>
          <cell r="M294" t="str">
            <v>04-2670918-9</v>
          </cell>
          <cell r="N294" t="str">
            <v xml:space="preserve">335-579-027 </v>
          </cell>
          <cell r="O294">
            <v>55</v>
          </cell>
          <cell r="P294">
            <v>435</v>
          </cell>
          <cell r="Q294">
            <v>19</v>
          </cell>
          <cell r="R294">
            <v>4</v>
          </cell>
          <cell r="S294">
            <v>0</v>
          </cell>
          <cell r="T294" t="str">
            <v>Nenita Ticman
Blk 10 Lot 20 Majada In, Vesta Plain,
Canlubang, Calamba City, Laguna
0947-318-1110</v>
          </cell>
          <cell r="U294" t="str">
            <v>2018-04-02</v>
          </cell>
        </row>
        <row r="295">
          <cell r="C295" t="str">
            <v>N053</v>
          </cell>
          <cell r="D295" t="str">
            <v xml:space="preserve">Gutierrez </v>
          </cell>
          <cell r="E295" t="str">
            <v xml:space="preserve">Aljohn </v>
          </cell>
          <cell r="F295" t="str">
            <v xml:space="preserve">Cedalla </v>
          </cell>
          <cell r="G295" t="str">
            <v xml:space="preserve">John </v>
          </cell>
          <cell r="H295" t="str">
            <v>0910-736-3275</v>
          </cell>
          <cell r="I295" t="str">
            <v>1982-03-14</v>
          </cell>
          <cell r="J295">
            <v>1</v>
          </cell>
          <cell r="K295">
            <v>2</v>
          </cell>
          <cell r="L295" t="str">
            <v>Jepaline L. Gutierrez</v>
          </cell>
          <cell r="M295" t="str">
            <v>04-3491379-2</v>
          </cell>
          <cell r="N295" t="str">
            <v>210-363-314</v>
          </cell>
          <cell r="O295">
            <v>55</v>
          </cell>
          <cell r="P295">
            <v>433</v>
          </cell>
          <cell r="Q295">
            <v>19</v>
          </cell>
          <cell r="R295">
            <v>4</v>
          </cell>
          <cell r="S295">
            <v>0</v>
          </cell>
          <cell r="T295" t="str">
            <v>Jepaline L. Gutierrez
Blk 2 Lot 4 Pittland, Cabuyao, Laguna
(0910) 736-3275</v>
          </cell>
          <cell r="U295" t="str">
            <v>2018-04-02</v>
          </cell>
        </row>
        <row r="296">
          <cell r="C296" t="str">
            <v>N033</v>
          </cell>
          <cell r="D296" t="str">
            <v xml:space="preserve">Briones Jr. </v>
          </cell>
          <cell r="E296" t="str">
            <v xml:space="preserve">Jorge </v>
          </cell>
          <cell r="F296" t="str">
            <v xml:space="preserve">PeÃ±a </v>
          </cell>
          <cell r="G296" t="str">
            <v xml:space="preserve">Dodz </v>
          </cell>
          <cell r="H296" t="str">
            <v>0955-920-5066</v>
          </cell>
          <cell r="I296" t="str">
            <v>1991-07-31</v>
          </cell>
          <cell r="J296">
            <v>1</v>
          </cell>
          <cell r="K296">
            <v>1</v>
          </cell>
          <cell r="M296" t="str">
            <v>04-2679419-4</v>
          </cell>
          <cell r="N296" t="str">
            <v xml:space="preserve">313-755-450 </v>
          </cell>
          <cell r="O296">
            <v>55</v>
          </cell>
          <cell r="P296">
            <v>435</v>
          </cell>
          <cell r="Q296">
            <v>19</v>
          </cell>
          <cell r="R296">
            <v>4</v>
          </cell>
          <cell r="S296">
            <v>0</v>
          </cell>
          <cell r="T296" t="str">
            <v>Salvador PeÃ±a
Zone 4, Sagurong, Pili, Cam. Sur
(0927) 866-1282</v>
          </cell>
          <cell r="U296" t="str">
            <v>2018-04-02</v>
          </cell>
        </row>
        <row r="297">
          <cell r="C297" t="str">
            <v>N029</v>
          </cell>
          <cell r="D297" t="str">
            <v xml:space="preserve">Belen </v>
          </cell>
          <cell r="E297" t="str">
            <v xml:space="preserve">Bobbie </v>
          </cell>
          <cell r="F297" t="str">
            <v xml:space="preserve">Cosico </v>
          </cell>
          <cell r="G297" t="str">
            <v xml:space="preserve">Bob </v>
          </cell>
          <cell r="H297" t="str">
            <v>0917-258-5860</v>
          </cell>
          <cell r="I297" t="str">
            <v>1991-01-21</v>
          </cell>
          <cell r="J297">
            <v>1</v>
          </cell>
          <cell r="K297">
            <v>1</v>
          </cell>
          <cell r="M297" t="str">
            <v xml:space="preserve">04-2453469-9 </v>
          </cell>
          <cell r="N297" t="str">
            <v xml:space="preserve">426-707-200 </v>
          </cell>
          <cell r="O297">
            <v>55</v>
          </cell>
          <cell r="P297">
            <v>433</v>
          </cell>
          <cell r="Q297">
            <v>19</v>
          </cell>
          <cell r="R297">
            <v>4</v>
          </cell>
          <cell r="S297">
            <v>0</v>
          </cell>
          <cell r="T297" t="str">
            <v>Marissa C. Belen
Sta. Maria Magdalena, San Pablo City, Laguna
(0918) 210-9581</v>
          </cell>
          <cell r="U297" t="str">
            <v>2018-04-02</v>
          </cell>
        </row>
        <row r="298">
          <cell r="C298" t="str">
            <v>N027</v>
          </cell>
          <cell r="D298" t="str">
            <v>Basmayor</v>
          </cell>
          <cell r="E298" t="str">
            <v>Marites</v>
          </cell>
          <cell r="F298" t="str">
            <v xml:space="preserve">Monreal </v>
          </cell>
          <cell r="G298" t="str">
            <v xml:space="preserve">Thess </v>
          </cell>
          <cell r="H298" t="str">
            <v>0995-665-6774</v>
          </cell>
          <cell r="I298" t="str">
            <v>1985-09-20</v>
          </cell>
          <cell r="J298">
            <v>2</v>
          </cell>
          <cell r="K298">
            <v>1</v>
          </cell>
          <cell r="M298" t="str">
            <v>04-1698096-3</v>
          </cell>
          <cell r="N298" t="str">
            <v xml:space="preserve">305-101-452 </v>
          </cell>
          <cell r="O298">
            <v>43</v>
          </cell>
          <cell r="P298">
            <v>387</v>
          </cell>
          <cell r="Q298">
            <v>20</v>
          </cell>
          <cell r="R298">
            <v>4</v>
          </cell>
          <cell r="S298">
            <v>0</v>
          </cell>
          <cell r="T298" t="str">
            <v>Loreta M. Basmayor
0036 Unit 3 Block 6 Camella Bermuda Ph 2 Banlic, Cabuyao, Laguna</v>
          </cell>
          <cell r="U298" t="str">
            <v>2018-04-02</v>
          </cell>
        </row>
        <row r="299">
          <cell r="C299" t="str">
            <v>N021</v>
          </cell>
          <cell r="D299" t="str">
            <v xml:space="preserve">Bailon </v>
          </cell>
          <cell r="E299" t="str">
            <v xml:space="preserve">Marlon </v>
          </cell>
          <cell r="F299" t="str">
            <v xml:space="preserve">Dellava </v>
          </cell>
          <cell r="G299" t="str">
            <v>Mar</v>
          </cell>
          <cell r="H299" t="str">
            <v>0933-922-0932</v>
          </cell>
          <cell r="I299" t="str">
            <v>1987-07-07</v>
          </cell>
          <cell r="J299">
            <v>1</v>
          </cell>
          <cell r="K299">
            <v>1</v>
          </cell>
          <cell r="M299" t="str">
            <v>04-1672793-5</v>
          </cell>
          <cell r="N299" t="str">
            <v xml:space="preserve">257-096-455 </v>
          </cell>
          <cell r="O299">
            <v>43</v>
          </cell>
          <cell r="P299">
            <v>453</v>
          </cell>
          <cell r="Q299">
            <v>20</v>
          </cell>
          <cell r="R299">
            <v>4</v>
          </cell>
          <cell r="S299">
            <v>0</v>
          </cell>
          <cell r="T299" t="str">
            <v>Imelda D. Bailon
Purok II-064 San Cristobal. Calamba City, Laguna
(0923) 953-6723.</v>
          </cell>
          <cell r="U299" t="str">
            <v>2018-04-02</v>
          </cell>
        </row>
        <row r="300">
          <cell r="C300" t="str">
            <v>N012</v>
          </cell>
          <cell r="D300" t="str">
            <v xml:space="preserve">Aguilar </v>
          </cell>
          <cell r="E300" t="str">
            <v xml:space="preserve">Nomer </v>
          </cell>
          <cell r="F300" t="str">
            <v xml:space="preserve">Distrito </v>
          </cell>
          <cell r="G300" t="str">
            <v>Nhoms</v>
          </cell>
          <cell r="H300" t="str">
            <v>0938-098-6111</v>
          </cell>
          <cell r="I300" t="str">
            <v>1990-05-01</v>
          </cell>
          <cell r="J300">
            <v>1</v>
          </cell>
          <cell r="K300">
            <v>2</v>
          </cell>
          <cell r="L300" t="str">
            <v>Aiko Del Mundo Regulto</v>
          </cell>
          <cell r="M300" t="str">
            <v>34-0240204-1</v>
          </cell>
          <cell r="N300" t="str">
            <v xml:space="preserve">265-356-068 </v>
          </cell>
          <cell r="O300">
            <v>55</v>
          </cell>
          <cell r="P300">
            <v>384</v>
          </cell>
          <cell r="Q300">
            <v>19</v>
          </cell>
          <cell r="R300">
            <v>4</v>
          </cell>
          <cell r="S300">
            <v>0</v>
          </cell>
          <cell r="T300" t="str">
            <v>Aiko regulto
Purok 2 Brgy Turbina, Calamba City</v>
          </cell>
          <cell r="U300" t="str">
            <v>2018-04-02</v>
          </cell>
        </row>
        <row r="301">
          <cell r="C301" t="str">
            <v>N054</v>
          </cell>
          <cell r="D301" t="str">
            <v>Harina</v>
          </cell>
          <cell r="E301" t="str">
            <v>Myla</v>
          </cell>
          <cell r="F301" t="str">
            <v>Manalo</v>
          </cell>
          <cell r="G301" t="str">
            <v>Mila</v>
          </cell>
          <cell r="H301" t="str">
            <v>00930-709-6041</v>
          </cell>
          <cell r="I301" t="str">
            <v>1992-04-06</v>
          </cell>
          <cell r="J301">
            <v>2</v>
          </cell>
          <cell r="K301">
            <v>1</v>
          </cell>
          <cell r="M301" t="str">
            <v>04-2228080-6</v>
          </cell>
          <cell r="N301" t="str">
            <v>327-369-663</v>
          </cell>
          <cell r="O301">
            <v>43</v>
          </cell>
          <cell r="P301">
            <v>492</v>
          </cell>
          <cell r="Q301">
            <v>55</v>
          </cell>
          <cell r="R301">
            <v>11</v>
          </cell>
          <cell r="S301">
            <v>0</v>
          </cell>
          <cell r="T301" t="str">
            <v>Marites Rodel
Bgy. Lalig, Tiaong, Quezon
(0908) 362-7870</v>
          </cell>
          <cell r="U301" t="str">
            <v>2018-04-02</v>
          </cell>
        </row>
        <row r="302">
          <cell r="C302" t="str">
            <v>N081</v>
          </cell>
          <cell r="D302" t="str">
            <v xml:space="preserve">Racasa </v>
          </cell>
          <cell r="E302" t="str">
            <v>Annalyn</v>
          </cell>
          <cell r="F302" t="str">
            <v xml:space="preserve">Parayan </v>
          </cell>
          <cell r="G302" t="str">
            <v xml:space="preserve">Nha </v>
          </cell>
          <cell r="H302" t="str">
            <v>0948-547-2961</v>
          </cell>
          <cell r="I302" t="str">
            <v>1990-01-27</v>
          </cell>
          <cell r="J302">
            <v>2</v>
          </cell>
          <cell r="K302">
            <v>1</v>
          </cell>
          <cell r="M302" t="str">
            <v>04-2002785-4</v>
          </cell>
          <cell r="N302" t="str">
            <v xml:space="preserve">403-176-450 </v>
          </cell>
          <cell r="O302">
            <v>43</v>
          </cell>
          <cell r="P302">
            <v>502</v>
          </cell>
          <cell r="Q302">
            <v>62</v>
          </cell>
          <cell r="R302">
            <v>12</v>
          </cell>
          <cell r="S302">
            <v>0</v>
          </cell>
          <cell r="T302" t="str">
            <v>Miriam P. Racasa
Looc, Calamba City, Laguna
(0942) 962-0039</v>
          </cell>
          <cell r="U302" t="str">
            <v>2018-04-02</v>
          </cell>
        </row>
        <row r="303">
          <cell r="C303" t="str">
            <v>N079</v>
          </cell>
          <cell r="D303" t="str">
            <v>Punzalan</v>
          </cell>
          <cell r="E303" t="str">
            <v>Gerald</v>
          </cell>
          <cell r="F303" t="str">
            <v>Briones</v>
          </cell>
          <cell r="G303" t="str">
            <v>Erad</v>
          </cell>
          <cell r="H303" t="str">
            <v>0938-457-0062</v>
          </cell>
          <cell r="I303" t="str">
            <v>1994-01-01</v>
          </cell>
          <cell r="J303">
            <v>1</v>
          </cell>
          <cell r="K303">
            <v>1</v>
          </cell>
          <cell r="M303" t="str">
            <v>04-2486679-4</v>
          </cell>
          <cell r="N303" t="str">
            <v>708-725-050</v>
          </cell>
          <cell r="O303">
            <v>41</v>
          </cell>
          <cell r="P303">
            <v>503</v>
          </cell>
          <cell r="Q303">
            <v>64</v>
          </cell>
          <cell r="R303">
            <v>12</v>
          </cell>
          <cell r="S303">
            <v>0</v>
          </cell>
          <cell r="T303" t="str">
            <v>Lorna Mendoza
006 Purok 3 Barangay Lawa Calamba City</v>
          </cell>
          <cell r="U303" t="str">
            <v>2018-04-02</v>
          </cell>
        </row>
        <row r="304">
          <cell r="C304" t="str">
            <v>N060</v>
          </cell>
          <cell r="D304" t="str">
            <v>Latayan</v>
          </cell>
          <cell r="E304" t="str">
            <v xml:space="preserve">Carlo </v>
          </cell>
          <cell r="F304" t="str">
            <v xml:space="preserve">Morcilla </v>
          </cell>
          <cell r="G304" t="str">
            <v>Carlo</v>
          </cell>
          <cell r="H304" t="str">
            <v>0930-647-0914</v>
          </cell>
          <cell r="I304" t="str">
            <v>1990-12-16</v>
          </cell>
          <cell r="J304">
            <v>1</v>
          </cell>
          <cell r="K304">
            <v>2</v>
          </cell>
          <cell r="L304" t="str">
            <v>Desiree Ventura Perez</v>
          </cell>
          <cell r="M304" t="str">
            <v xml:space="preserve">04-2310870-9 </v>
          </cell>
          <cell r="N304" t="str">
            <v xml:space="preserve">323-510-760 </v>
          </cell>
          <cell r="O304">
            <v>43</v>
          </cell>
          <cell r="P304">
            <v>492</v>
          </cell>
          <cell r="Q304">
            <v>55</v>
          </cell>
          <cell r="R304">
            <v>11</v>
          </cell>
          <cell r="S304">
            <v>0</v>
          </cell>
          <cell r="T304" t="str">
            <v>Desiree Perez
Blk 11 Lot 1 Brgy. Banay Banay, Calamba City, Laguna
0938-667-4177</v>
          </cell>
          <cell r="U304" t="str">
            <v>2018-04-02</v>
          </cell>
        </row>
        <row r="305">
          <cell r="C305" t="str">
            <v>N056</v>
          </cell>
          <cell r="D305" t="str">
            <v xml:space="preserve">Ilagan </v>
          </cell>
          <cell r="E305" t="str">
            <v xml:space="preserve">Rose Ann </v>
          </cell>
          <cell r="F305" t="str">
            <v xml:space="preserve">Brutas </v>
          </cell>
          <cell r="G305" t="str">
            <v xml:space="preserve">Rose </v>
          </cell>
          <cell r="H305">
            <v>9512911531</v>
          </cell>
          <cell r="I305" t="str">
            <v>1988-10-09</v>
          </cell>
          <cell r="J305">
            <v>2</v>
          </cell>
          <cell r="K305">
            <v>1</v>
          </cell>
          <cell r="M305" t="str">
            <v>34-1453851-8</v>
          </cell>
          <cell r="N305" t="str">
            <v>725-365-060</v>
          </cell>
          <cell r="O305">
            <v>43</v>
          </cell>
          <cell r="P305">
            <v>502</v>
          </cell>
          <cell r="Q305">
            <v>62</v>
          </cell>
          <cell r="R305">
            <v>12</v>
          </cell>
          <cell r="S305">
            <v>0</v>
          </cell>
          <cell r="T305" t="str">
            <v>Raul Ilagan
Bgy. Wawa, Pinamalayan, Oriental Mindoro
(0948) 404-8169</v>
          </cell>
          <cell r="U305" t="str">
            <v>2018-04-02</v>
          </cell>
        </row>
        <row r="306">
          <cell r="C306" t="str">
            <v>N080</v>
          </cell>
          <cell r="D306" t="str">
            <v xml:space="preserve">Quismundo </v>
          </cell>
          <cell r="E306" t="str">
            <v xml:space="preserve">Albie </v>
          </cell>
          <cell r="F306" t="str">
            <v xml:space="preserve">Nuestro </v>
          </cell>
          <cell r="G306" t="str">
            <v>Albie</v>
          </cell>
          <cell r="H306" t="str">
            <v>0929-795-3849</v>
          </cell>
          <cell r="I306" t="str">
            <v>1986-08-20</v>
          </cell>
          <cell r="J306">
            <v>1</v>
          </cell>
          <cell r="K306">
            <v>2</v>
          </cell>
          <cell r="L306" t="str">
            <v>Ruth Quismundo</v>
          </cell>
          <cell r="M306" t="str">
            <v>04-1636316-6</v>
          </cell>
          <cell r="N306" t="str">
            <v xml:space="preserve">332-312-131 </v>
          </cell>
          <cell r="O306">
            <v>55</v>
          </cell>
          <cell r="P306">
            <v>517</v>
          </cell>
          <cell r="Q306">
            <v>77</v>
          </cell>
          <cell r="R306">
            <v>14</v>
          </cell>
          <cell r="S306">
            <v>0</v>
          </cell>
          <cell r="T306" t="str">
            <v>Ruth Quismundo
B19 L10 Ph2 Ext Mabuhay Subd, Mamatid,
Cabuyao, Laguna
(0948) 721-4192</v>
          </cell>
          <cell r="U306" t="str">
            <v>2018-04-02</v>
          </cell>
        </row>
        <row r="307">
          <cell r="C307" t="str">
            <v>N085</v>
          </cell>
          <cell r="D307" t="str">
            <v xml:space="preserve">Rivera </v>
          </cell>
          <cell r="E307" t="str">
            <v xml:space="preserve">Rubie Quinn </v>
          </cell>
          <cell r="F307" t="str">
            <v xml:space="preserve">Malapitan </v>
          </cell>
          <cell r="G307" t="str">
            <v>Rubie</v>
          </cell>
          <cell r="H307" t="str">
            <v>0905-464-1469</v>
          </cell>
          <cell r="I307" t="str">
            <v>1994-01-31</v>
          </cell>
          <cell r="J307">
            <v>2</v>
          </cell>
          <cell r="K307">
            <v>1</v>
          </cell>
          <cell r="M307" t="str">
            <v>04-2510733-9</v>
          </cell>
          <cell r="N307" t="str">
            <v>324-281-058</v>
          </cell>
          <cell r="O307">
            <v>43</v>
          </cell>
          <cell r="P307">
            <v>502</v>
          </cell>
          <cell r="Q307">
            <v>62</v>
          </cell>
          <cell r="R307">
            <v>12</v>
          </cell>
          <cell r="S307">
            <v>0</v>
          </cell>
          <cell r="T307" t="str">
            <v>Bernadette Rivera
Lumbang na Matanda, Calaca, Batangas
(0930) 003-2187</v>
          </cell>
          <cell r="U307" t="str">
            <v>2018-04-02</v>
          </cell>
        </row>
        <row r="308">
          <cell r="C308" t="str">
            <v>N061</v>
          </cell>
          <cell r="D308" t="str">
            <v xml:space="preserve">Lenihan </v>
          </cell>
          <cell r="E308" t="str">
            <v xml:space="preserve">Benjay </v>
          </cell>
          <cell r="F308" t="str">
            <v xml:space="preserve">Basubas </v>
          </cell>
          <cell r="G308" t="str">
            <v xml:space="preserve">Jay </v>
          </cell>
          <cell r="I308" t="str">
            <v>1993-01-04</v>
          </cell>
          <cell r="J308">
            <v>1</v>
          </cell>
          <cell r="K308">
            <v>1</v>
          </cell>
          <cell r="M308" t="str">
            <v>04-2491660-2</v>
          </cell>
          <cell r="N308" t="str">
            <v xml:space="preserve">319-106-147 </v>
          </cell>
          <cell r="O308">
            <v>43</v>
          </cell>
          <cell r="P308">
            <v>451</v>
          </cell>
          <cell r="Q308">
            <v>20</v>
          </cell>
          <cell r="R308">
            <v>4</v>
          </cell>
          <cell r="S308">
            <v>0</v>
          </cell>
          <cell r="T308" t="str">
            <v>Delia Lenihan
Olutanga, Zamboanga del Sur
(0905) 190-7523</v>
          </cell>
          <cell r="U308" t="str">
            <v>2018-04-02</v>
          </cell>
        </row>
        <row r="309">
          <cell r="C309" t="str">
            <v>N022</v>
          </cell>
          <cell r="D309" t="str">
            <v>Balanay</v>
          </cell>
          <cell r="E309" t="str">
            <v>Jedena</v>
          </cell>
          <cell r="F309" t="str">
            <v>Magnaye</v>
          </cell>
          <cell r="G309" t="str">
            <v>Jedena</v>
          </cell>
          <cell r="H309">
            <v>9094700667</v>
          </cell>
          <cell r="I309" t="str">
            <v>1992-08-02</v>
          </cell>
          <cell r="J309">
            <v>2</v>
          </cell>
          <cell r="K309">
            <v>1</v>
          </cell>
          <cell r="M309" t="str">
            <v>04-2941900-7</v>
          </cell>
          <cell r="N309" t="str">
            <v>473-634-020</v>
          </cell>
          <cell r="O309">
            <v>43</v>
          </cell>
          <cell r="P309">
            <v>493</v>
          </cell>
          <cell r="Q309">
            <v>55</v>
          </cell>
          <cell r="R309">
            <v>11</v>
          </cell>
          <cell r="S309">
            <v>0</v>
          </cell>
          <cell r="T309" t="str">
            <v>Jayson Malabanan
Blk 14 Lot 97 Majada In, Canlubang, Calamba City
09308356944</v>
          </cell>
          <cell r="U309" t="str">
            <v>2018-04-02</v>
          </cell>
        </row>
        <row r="310">
          <cell r="C310" t="str">
            <v>N071</v>
          </cell>
          <cell r="D310" t="str">
            <v xml:space="preserve">Mendoza </v>
          </cell>
          <cell r="E310" t="str">
            <v>Virnaliza Mae</v>
          </cell>
          <cell r="F310" t="str">
            <v>Palermo</v>
          </cell>
          <cell r="G310" t="str">
            <v>Virna</v>
          </cell>
          <cell r="H310" t="str">
            <v>0909-005-6078</v>
          </cell>
          <cell r="I310" t="str">
            <v>1991-10-28</v>
          </cell>
          <cell r="J310">
            <v>2</v>
          </cell>
          <cell r="K310">
            <v>1</v>
          </cell>
          <cell r="M310" t="str">
            <v>04-2282977-5</v>
          </cell>
          <cell r="N310" t="str">
            <v>326-556-257</v>
          </cell>
          <cell r="O310">
            <v>43</v>
          </cell>
          <cell r="P310">
            <v>493</v>
          </cell>
          <cell r="Q310">
            <v>55</v>
          </cell>
          <cell r="R310">
            <v>11</v>
          </cell>
          <cell r="S310">
            <v>0</v>
          </cell>
          <cell r="T310" t="str">
            <v>Alicia D. Garcia
542 L. A. Subd.,San Jose, Calamba City, Laguna
(0910) 492-7242</v>
          </cell>
          <cell r="U310" t="str">
            <v>2018-04-02</v>
          </cell>
        </row>
        <row r="311">
          <cell r="C311" t="str">
            <v>N076</v>
          </cell>
          <cell r="D311" t="str">
            <v>Oxiano</v>
          </cell>
          <cell r="E311" t="str">
            <v>Mary Joy</v>
          </cell>
          <cell r="F311" t="str">
            <v>Amalia</v>
          </cell>
          <cell r="G311" t="str">
            <v>Jhoy</v>
          </cell>
          <cell r="I311" t="str">
            <v>1992-05-18</v>
          </cell>
          <cell r="J311">
            <v>2</v>
          </cell>
          <cell r="K311">
            <v>1</v>
          </cell>
          <cell r="M311" t="str">
            <v>04-2492505-9</v>
          </cell>
          <cell r="N311" t="str">
            <v>312-879-759</v>
          </cell>
          <cell r="O311">
            <v>43</v>
          </cell>
          <cell r="P311">
            <v>393</v>
          </cell>
          <cell r="Q311">
            <v>34</v>
          </cell>
          <cell r="R311">
            <v>8</v>
          </cell>
          <cell r="S311">
            <v>0</v>
          </cell>
          <cell r="T311" t="str">
            <v>Mary Rose Oxiano
Blk 21 Lot 13 Jasmin St. TS Cruz Subd, Las Pinas City
(0909) 779-5809</v>
          </cell>
          <cell r="U311" t="str">
            <v>2018-04-02</v>
          </cell>
        </row>
        <row r="312">
          <cell r="C312" t="str">
            <v>N048</v>
          </cell>
          <cell r="D312" t="str">
            <v>Gamala</v>
          </cell>
          <cell r="E312" t="str">
            <v>Rina</v>
          </cell>
          <cell r="F312" t="str">
            <v>Garolacan</v>
          </cell>
          <cell r="G312" t="str">
            <v>Rina</v>
          </cell>
          <cell r="H312" t="str">
            <v>0907-618-3498</v>
          </cell>
          <cell r="I312" t="str">
            <v>1991-11-05</v>
          </cell>
          <cell r="J312">
            <v>2</v>
          </cell>
          <cell r="K312">
            <v>1</v>
          </cell>
          <cell r="M312" t="str">
            <v>07-2694169-2</v>
          </cell>
          <cell r="N312" t="str">
            <v>469-590-445</v>
          </cell>
          <cell r="O312">
            <v>43</v>
          </cell>
          <cell r="P312">
            <v>502</v>
          </cell>
          <cell r="Q312">
            <v>62</v>
          </cell>
          <cell r="R312">
            <v>12</v>
          </cell>
          <cell r="S312">
            <v>0</v>
          </cell>
          <cell r="T312" t="str">
            <v>Pearlie Estacion
Cabuyao, Laguna
(0909) 378-0998</v>
          </cell>
          <cell r="U312" t="str">
            <v>2018-04-02</v>
          </cell>
        </row>
        <row r="313">
          <cell r="C313" t="str">
            <v>N049</v>
          </cell>
          <cell r="D313" t="str">
            <v>Garcia</v>
          </cell>
          <cell r="E313" t="str">
            <v>Madel</v>
          </cell>
          <cell r="F313" t="str">
            <v>Llorca</v>
          </cell>
          <cell r="G313" t="str">
            <v>Mhadz</v>
          </cell>
          <cell r="H313">
            <v>9464500515</v>
          </cell>
          <cell r="I313" t="str">
            <v>1990-12-31</v>
          </cell>
          <cell r="J313">
            <v>2</v>
          </cell>
          <cell r="K313">
            <v>1</v>
          </cell>
          <cell r="M313" t="str">
            <v>04-2094230-8</v>
          </cell>
          <cell r="N313" t="str">
            <v>708-723-292</v>
          </cell>
          <cell r="O313">
            <v>43</v>
          </cell>
          <cell r="P313">
            <v>502</v>
          </cell>
          <cell r="Q313">
            <v>62</v>
          </cell>
          <cell r="R313">
            <v>12</v>
          </cell>
          <cell r="S313">
            <v>0</v>
          </cell>
          <cell r="T313" t="str">
            <v>Ma.Luisa L. Garcia
Luta Sur, Malvar, Batangas
09500163740</v>
          </cell>
          <cell r="U313" t="str">
            <v>2018-04-02</v>
          </cell>
        </row>
        <row r="314">
          <cell r="C314" t="str">
            <v>N064</v>
          </cell>
          <cell r="D314" t="str">
            <v>Macanlalay</v>
          </cell>
          <cell r="E314" t="str">
            <v>Jocella Marie</v>
          </cell>
          <cell r="F314" t="str">
            <v>Celis</v>
          </cell>
          <cell r="G314" t="str">
            <v>Jocella</v>
          </cell>
          <cell r="H314" t="str">
            <v>0938-772-4448</v>
          </cell>
          <cell r="I314" t="str">
            <v>1993-07-01</v>
          </cell>
          <cell r="J314">
            <v>2</v>
          </cell>
          <cell r="K314">
            <v>1</v>
          </cell>
          <cell r="M314" t="str">
            <v>04-2613038-9</v>
          </cell>
          <cell r="N314" t="str">
            <v>428-311-229</v>
          </cell>
          <cell r="O314">
            <v>43</v>
          </cell>
          <cell r="P314">
            <v>492</v>
          </cell>
          <cell r="Q314">
            <v>55</v>
          </cell>
          <cell r="R314">
            <v>11</v>
          </cell>
          <cell r="S314">
            <v>0</v>
          </cell>
          <cell r="T314" t="str">
            <v>Ma. Cecilia C. Macanlalay
Blk 85 Lot 4 P4 Villa de Calamba, Calamba City, Laguna
(0917) 108-6480</v>
          </cell>
          <cell r="U314" t="str">
            <v>2018-04-02</v>
          </cell>
        </row>
        <row r="315">
          <cell r="C315" t="str">
            <v>N066</v>
          </cell>
          <cell r="D315" t="str">
            <v>Mahaguay</v>
          </cell>
          <cell r="E315" t="str">
            <v>Dollan</v>
          </cell>
          <cell r="F315" t="str">
            <v>Jabat</v>
          </cell>
          <cell r="G315" t="str">
            <v>Dollan</v>
          </cell>
          <cell r="H315" t="str">
            <v>0950-516-5101</v>
          </cell>
          <cell r="I315" t="str">
            <v>1989-05-17</v>
          </cell>
          <cell r="J315">
            <v>1</v>
          </cell>
          <cell r="K315">
            <v>2</v>
          </cell>
          <cell r="M315" t="str">
            <v>34-0179156-2</v>
          </cell>
          <cell r="N315" t="str">
            <v>257-492-344</v>
          </cell>
          <cell r="O315">
            <v>43</v>
          </cell>
          <cell r="P315">
            <v>452</v>
          </cell>
          <cell r="Q315">
            <v>20</v>
          </cell>
          <cell r="R315">
            <v>4</v>
          </cell>
          <cell r="S315">
            <v>0</v>
          </cell>
          <cell r="T315" t="str">
            <v>Dianne G. Mahaguay
Blk32 Lot33 Birmingham,
Bgy. Pulo, Cabuyao, Laguna
0916-331-1497</v>
          </cell>
          <cell r="U315" t="str">
            <v>2018-04-02</v>
          </cell>
        </row>
        <row r="316">
          <cell r="C316" t="str">
            <v>N077</v>
          </cell>
          <cell r="D316" t="str">
            <v>Domino</v>
          </cell>
          <cell r="E316" t="str">
            <v>Arlene</v>
          </cell>
          <cell r="F316" t="str">
            <v>Paraiso</v>
          </cell>
          <cell r="G316" t="str">
            <v>Lene</v>
          </cell>
          <cell r="H316" t="str">
            <v>0977-268-3924</v>
          </cell>
          <cell r="I316" t="str">
            <v>1996-05-23</v>
          </cell>
          <cell r="J316">
            <v>2</v>
          </cell>
          <cell r="K316">
            <v>2</v>
          </cell>
          <cell r="L316" t="str">
            <v>Christian Lawrence Pallen Domino</v>
          </cell>
          <cell r="M316" t="str">
            <v>04-2934187-4</v>
          </cell>
          <cell r="N316" t="str">
            <v>324-368-431</v>
          </cell>
          <cell r="O316">
            <v>43</v>
          </cell>
          <cell r="P316">
            <v>492</v>
          </cell>
          <cell r="Q316">
            <v>55</v>
          </cell>
          <cell r="R316">
            <v>11</v>
          </cell>
          <cell r="S316">
            <v>0</v>
          </cell>
          <cell r="T316" t="str">
            <v>Christian Lawrence P. Domino
Brgy. Uno, Bagong Silang, Alaminos Laguna
0927-126-8165</v>
          </cell>
          <cell r="U316" t="str">
            <v>2018-04-02</v>
          </cell>
        </row>
        <row r="317">
          <cell r="C317" t="str">
            <v>N051</v>
          </cell>
          <cell r="D317" t="str">
            <v>Tubay</v>
          </cell>
          <cell r="E317" t="str">
            <v>Sharmen</v>
          </cell>
          <cell r="F317" t="str">
            <v>Gabiandan</v>
          </cell>
          <cell r="G317" t="str">
            <v>Sha-Sha</v>
          </cell>
          <cell r="H317">
            <v>9203894587</v>
          </cell>
          <cell r="I317" t="str">
            <v>1994-04-16</v>
          </cell>
          <cell r="J317">
            <v>2</v>
          </cell>
          <cell r="K317">
            <v>2</v>
          </cell>
          <cell r="L317" t="str">
            <v>Carlito Abaca Tubay</v>
          </cell>
          <cell r="M317" t="str">
            <v>04-2660726-5</v>
          </cell>
          <cell r="N317" t="str">
            <v>346-303-877</v>
          </cell>
          <cell r="O317">
            <v>43</v>
          </cell>
          <cell r="P317">
            <v>493</v>
          </cell>
          <cell r="Q317">
            <v>55</v>
          </cell>
          <cell r="R317">
            <v>11</v>
          </cell>
          <cell r="S317">
            <v>0</v>
          </cell>
          <cell r="T317" t="str">
            <v>Joseph G. Cortas
135 Purok 3 Brgy. San Cristobal, Calamba City, Laguna
09656332276
(0939)298-2105</v>
          </cell>
          <cell r="U317" t="str">
            <v>2018-04-02</v>
          </cell>
        </row>
        <row r="318">
          <cell r="C318" t="str">
            <v>N045</v>
          </cell>
          <cell r="D318" t="str">
            <v>Federico</v>
          </cell>
          <cell r="E318" t="str">
            <v>Janice</v>
          </cell>
          <cell r="F318" t="str">
            <v>Ropeta</v>
          </cell>
          <cell r="G318" t="str">
            <v>Jha</v>
          </cell>
          <cell r="H318" t="str">
            <v>0929-379-5107</v>
          </cell>
          <cell r="I318" t="str">
            <v>1989-07-16</v>
          </cell>
          <cell r="J318">
            <v>2</v>
          </cell>
          <cell r="K318">
            <v>1</v>
          </cell>
          <cell r="M318" t="str">
            <v>04-2173773-2</v>
          </cell>
          <cell r="N318" t="str">
            <v>308-110-857</v>
          </cell>
          <cell r="O318">
            <v>43</v>
          </cell>
          <cell r="P318">
            <v>492</v>
          </cell>
          <cell r="Q318">
            <v>55</v>
          </cell>
          <cell r="R318">
            <v>11</v>
          </cell>
          <cell r="S318">
            <v>0</v>
          </cell>
          <cell r="T318" t="str">
            <v>Joel R. Federico
Imus, Cavite
(0946) 700-0446</v>
          </cell>
          <cell r="U318" t="str">
            <v>2018-04-02</v>
          </cell>
        </row>
        <row r="319">
          <cell r="C319" t="str">
            <v>N095</v>
          </cell>
          <cell r="D319" t="str">
            <v>Villa</v>
          </cell>
          <cell r="E319" t="str">
            <v>Merry Ann</v>
          </cell>
          <cell r="F319" t="str">
            <v>Layones</v>
          </cell>
          <cell r="G319" t="str">
            <v>Meann</v>
          </cell>
          <cell r="I319" t="str">
            <v>1994-01-17</v>
          </cell>
          <cell r="J319">
            <v>2</v>
          </cell>
          <cell r="K319">
            <v>1</v>
          </cell>
          <cell r="M319" t="str">
            <v>02-3473909-5</v>
          </cell>
          <cell r="N319" t="str">
            <v>327-075-757</v>
          </cell>
          <cell r="O319">
            <v>43</v>
          </cell>
          <cell r="P319">
            <v>472</v>
          </cell>
          <cell r="Q319">
            <v>34</v>
          </cell>
          <cell r="R319">
            <v>8</v>
          </cell>
          <cell r="S319">
            <v>0</v>
          </cell>
          <cell r="T319" t="str">
            <v>Michelle V. Dimailig
Calaca, Batangas
(0909) 797-9415</v>
          </cell>
          <cell r="U319" t="str">
            <v>2018-04-02</v>
          </cell>
        </row>
        <row r="320">
          <cell r="C320" t="str">
            <v>N078</v>
          </cell>
          <cell r="D320" t="str">
            <v>Sawali</v>
          </cell>
          <cell r="E320" t="str">
            <v>Manilyn</v>
          </cell>
          <cell r="F320" t="str">
            <v>Pentinio</v>
          </cell>
          <cell r="G320" t="str">
            <v>Manie</v>
          </cell>
          <cell r="H320" t="str">
            <v>0946-377-4653</v>
          </cell>
          <cell r="I320" t="str">
            <v>1994-09-09</v>
          </cell>
          <cell r="J320">
            <v>2</v>
          </cell>
          <cell r="K320">
            <v>2</v>
          </cell>
          <cell r="L320" t="str">
            <v>Joseph Castillo Sawali</v>
          </cell>
          <cell r="M320" t="str">
            <v>04-2861005-6</v>
          </cell>
          <cell r="N320" t="str">
            <v>326-798-238</v>
          </cell>
          <cell r="O320">
            <v>43</v>
          </cell>
          <cell r="P320">
            <v>504</v>
          </cell>
          <cell r="Q320">
            <v>69</v>
          </cell>
          <cell r="R320">
            <v>13</v>
          </cell>
          <cell r="S320">
            <v>0</v>
          </cell>
          <cell r="T320" t="str">
            <v>Joseph C. Sawali
Munting Tubig, Ibaab, Batangas</v>
          </cell>
          <cell r="U320" t="str">
            <v>2018-04-02</v>
          </cell>
        </row>
        <row r="321">
          <cell r="C321" t="str">
            <v>N023</v>
          </cell>
          <cell r="D321" t="str">
            <v>Colona</v>
          </cell>
          <cell r="E321" t="str">
            <v>Lissel</v>
          </cell>
          <cell r="F321" t="str">
            <v>Balderama</v>
          </cell>
          <cell r="G321" t="str">
            <v>Zheil</v>
          </cell>
          <cell r="H321" t="str">
            <v>0929-379-4737</v>
          </cell>
          <cell r="I321" t="str">
            <v>1995-05-09</v>
          </cell>
          <cell r="J321">
            <v>2</v>
          </cell>
          <cell r="K321">
            <v>2</v>
          </cell>
          <cell r="L321" t="str">
            <v>Allen Adrian Del Mundo Colona</v>
          </cell>
          <cell r="M321" t="str">
            <v>04-2730708-5</v>
          </cell>
          <cell r="N321" t="str">
            <v>447-408-370</v>
          </cell>
          <cell r="O321">
            <v>41</v>
          </cell>
          <cell r="P321">
            <v>472</v>
          </cell>
          <cell r="Q321">
            <v>34</v>
          </cell>
          <cell r="R321">
            <v>8</v>
          </cell>
          <cell r="S321">
            <v>0</v>
          </cell>
          <cell r="T321" t="str">
            <v>Salome B. Balderama
Purok 3 Bagong Tubig, San Luis, Batangas
(0928) 355-1688</v>
          </cell>
          <cell r="U321" t="str">
            <v>2018-04-02</v>
          </cell>
        </row>
        <row r="322">
          <cell r="C322" t="str">
            <v>N035</v>
          </cell>
          <cell r="D322" t="str">
            <v>Mella</v>
          </cell>
          <cell r="E322" t="str">
            <v>Carina</v>
          </cell>
          <cell r="F322" t="str">
            <v>Caringal</v>
          </cell>
          <cell r="G322" t="str">
            <v>Carina</v>
          </cell>
          <cell r="H322" t="str">
            <v>0947-889-0091</v>
          </cell>
          <cell r="I322" t="str">
            <v>1995-10-17</v>
          </cell>
          <cell r="J322">
            <v>2</v>
          </cell>
          <cell r="K322">
            <v>2</v>
          </cell>
          <cell r="L322" t="str">
            <v>Juan Paulo Umbao Mella</v>
          </cell>
          <cell r="M322" t="str">
            <v>04-2889194-3</v>
          </cell>
          <cell r="N322" t="str">
            <v>464-722-319</v>
          </cell>
          <cell r="O322">
            <v>40</v>
          </cell>
          <cell r="P322">
            <v>349</v>
          </cell>
          <cell r="Q322">
            <v>35</v>
          </cell>
          <cell r="R322">
            <v>8</v>
          </cell>
          <cell r="S322">
            <v>0</v>
          </cell>
          <cell r="T322" t="str">
            <v>Juan Paulo U. Mella
Blk 21, Lot 51 Maagap St. Bria HOmes
Bgy. BaÃ±adero, Calamba City, Laguna
0947-889-0091</v>
          </cell>
          <cell r="U322" t="str">
            <v>2018-04-02</v>
          </cell>
        </row>
        <row r="323">
          <cell r="C323" t="str">
            <v>N018</v>
          </cell>
          <cell r="D323" t="str">
            <v>Arroyo</v>
          </cell>
          <cell r="E323" t="str">
            <v>Von Andrew</v>
          </cell>
          <cell r="F323" t="str">
            <v>Guia</v>
          </cell>
          <cell r="G323" t="str">
            <v>Von</v>
          </cell>
          <cell r="H323" t="str">
            <v>0910-128-2823</v>
          </cell>
          <cell r="I323" t="str">
            <v>1989-11-30</v>
          </cell>
          <cell r="J323">
            <v>1</v>
          </cell>
          <cell r="K323">
            <v>1</v>
          </cell>
          <cell r="M323" t="str">
            <v>04-3514526-8</v>
          </cell>
          <cell r="N323" t="str">
            <v>329-151-966</v>
          </cell>
          <cell r="O323">
            <v>43</v>
          </cell>
          <cell r="P323">
            <v>472</v>
          </cell>
          <cell r="Q323">
            <v>34</v>
          </cell>
          <cell r="R323">
            <v>8</v>
          </cell>
          <cell r="S323">
            <v>0</v>
          </cell>
          <cell r="T323" t="str">
            <v>Anita G. Arroyo
Taban, Libmanan, Camarines Sur
(0907) 176-2121</v>
          </cell>
          <cell r="U323" t="str">
            <v>2018-04-02</v>
          </cell>
        </row>
        <row r="324">
          <cell r="C324" t="str">
            <v>N019</v>
          </cell>
          <cell r="D324" t="str">
            <v>Asia</v>
          </cell>
          <cell r="E324" t="str">
            <v>Gemar</v>
          </cell>
          <cell r="F324" t="str">
            <v>Gutierrez</v>
          </cell>
          <cell r="G324" t="str">
            <v>Gemara</v>
          </cell>
          <cell r="H324" t="str">
            <v>0912-925-3370</v>
          </cell>
          <cell r="I324" t="str">
            <v>1995-09-29</v>
          </cell>
          <cell r="J324">
            <v>1</v>
          </cell>
          <cell r="K324">
            <v>1</v>
          </cell>
          <cell r="M324" t="str">
            <v>04-3376681-4</v>
          </cell>
          <cell r="N324" t="str">
            <v>321-731-477</v>
          </cell>
          <cell r="O324">
            <v>43</v>
          </cell>
          <cell r="P324">
            <v>363</v>
          </cell>
          <cell r="Q324">
            <v>34</v>
          </cell>
          <cell r="R324">
            <v>8</v>
          </cell>
          <cell r="S324">
            <v>0</v>
          </cell>
          <cell r="T324" t="str">
            <v>Geezil Asia
Bgy. Parian, Calamba City, Laguna
(0907) 078-1269</v>
          </cell>
          <cell r="U324" t="str">
            <v>2018-04-02</v>
          </cell>
        </row>
        <row r="325">
          <cell r="C325" t="str">
            <v>N028</v>
          </cell>
          <cell r="D325" t="str">
            <v>Batalla</v>
          </cell>
          <cell r="E325" t="str">
            <v>Ralyn</v>
          </cell>
          <cell r="F325" t="str">
            <v>CardeÃ±o</v>
          </cell>
          <cell r="G325" t="str">
            <v>Lhyn</v>
          </cell>
          <cell r="H325" t="str">
            <v>0929-258-5219</v>
          </cell>
          <cell r="I325" t="str">
            <v>1997-04-18</v>
          </cell>
          <cell r="J325">
            <v>2</v>
          </cell>
          <cell r="K325">
            <v>1</v>
          </cell>
          <cell r="M325" t="str">
            <v>04-3577571-9</v>
          </cell>
          <cell r="N325" t="str">
            <v>472-339-653</v>
          </cell>
          <cell r="O325">
            <v>43</v>
          </cell>
          <cell r="P325">
            <v>363</v>
          </cell>
          <cell r="Q325">
            <v>34</v>
          </cell>
          <cell r="R325">
            <v>8</v>
          </cell>
          <cell r="S325">
            <v>0</v>
          </cell>
          <cell r="T325" t="str">
            <v>Razen Batalla
Santa Rosa City, Laguna
(0999) 685-4213</v>
          </cell>
          <cell r="U325" t="str">
            <v>2018-04-02</v>
          </cell>
        </row>
        <row r="326">
          <cell r="C326" t="str">
            <v>N038</v>
          </cell>
          <cell r="D326" t="str">
            <v>Catalan</v>
          </cell>
          <cell r="E326" t="str">
            <v>Jhonatan</v>
          </cell>
          <cell r="F326" t="str">
            <v>Albao</v>
          </cell>
          <cell r="G326" t="str">
            <v>Tan</v>
          </cell>
          <cell r="I326" t="str">
            <v>1988-07-23</v>
          </cell>
          <cell r="J326">
            <v>1</v>
          </cell>
          <cell r="K326">
            <v>1</v>
          </cell>
          <cell r="M326" t="str">
            <v>34-1534541-2</v>
          </cell>
          <cell r="N326" t="str">
            <v>421-953-768</v>
          </cell>
          <cell r="O326">
            <v>43</v>
          </cell>
          <cell r="P326">
            <v>363</v>
          </cell>
          <cell r="Q326">
            <v>34</v>
          </cell>
          <cell r="R326">
            <v>8</v>
          </cell>
          <cell r="S326">
            <v>0</v>
          </cell>
          <cell r="T326" t="str">
            <v>Vilma A. Karungan
262 Tagapo, Sta. Rosa City, Laguna
(0921) 585-3050</v>
          </cell>
          <cell r="U326" t="str">
            <v>2018-04-02</v>
          </cell>
        </row>
        <row r="327">
          <cell r="C327" t="str">
            <v>N043</v>
          </cell>
          <cell r="D327" t="str">
            <v>Dela Cruz</v>
          </cell>
          <cell r="E327" t="str">
            <v>Jennalyn</v>
          </cell>
          <cell r="F327" t="str">
            <v>Cabugoy</v>
          </cell>
          <cell r="G327" t="str">
            <v>Jenna</v>
          </cell>
          <cell r="H327" t="str">
            <v>0930-808-1937</v>
          </cell>
          <cell r="I327" t="str">
            <v>1994-04-10</v>
          </cell>
          <cell r="J327">
            <v>2</v>
          </cell>
          <cell r="K327">
            <v>1</v>
          </cell>
          <cell r="M327" t="str">
            <v>34-3152998-2</v>
          </cell>
          <cell r="N327" t="str">
            <v>471-397-996</v>
          </cell>
          <cell r="O327">
            <v>43</v>
          </cell>
          <cell r="P327">
            <v>363</v>
          </cell>
          <cell r="Q327">
            <v>34</v>
          </cell>
          <cell r="R327">
            <v>8</v>
          </cell>
          <cell r="S327">
            <v>0</v>
          </cell>
          <cell r="T327" t="str">
            <v>Bryan C. Dela Cruz
Unit 7, Purok 2, Majada Out, Calamba city
(0946) 728-7736</v>
          </cell>
          <cell r="U327" t="str">
            <v>2018-04-02</v>
          </cell>
        </row>
        <row r="328">
          <cell r="C328" t="str">
            <v>N057</v>
          </cell>
          <cell r="D328" t="str">
            <v>Ilao</v>
          </cell>
          <cell r="E328" t="str">
            <v>Josie</v>
          </cell>
          <cell r="F328" t="str">
            <v>Garcia</v>
          </cell>
          <cell r="G328" t="str">
            <v>Jhos</v>
          </cell>
          <cell r="H328" t="str">
            <v>0908-467-9238</v>
          </cell>
          <cell r="I328" t="str">
            <v>1994-12-14</v>
          </cell>
          <cell r="J328">
            <v>2</v>
          </cell>
          <cell r="K328">
            <v>1</v>
          </cell>
          <cell r="M328" t="str">
            <v>04-2658988-8</v>
          </cell>
          <cell r="N328" t="str">
            <v>313-745-770</v>
          </cell>
          <cell r="O328">
            <v>43</v>
          </cell>
          <cell r="P328">
            <v>363</v>
          </cell>
          <cell r="Q328">
            <v>34</v>
          </cell>
          <cell r="R328">
            <v>8</v>
          </cell>
          <cell r="S328">
            <v>0</v>
          </cell>
          <cell r="T328" t="str">
            <v>Jay C. De Guzman
Bgy. Parian, Calamba, Laguna
(0908) 290-6084</v>
          </cell>
          <cell r="U328" t="str">
            <v>2018-04-02</v>
          </cell>
        </row>
        <row r="329">
          <cell r="C329" t="str">
            <v>N062</v>
          </cell>
          <cell r="D329" t="str">
            <v>Lopenario</v>
          </cell>
          <cell r="E329" t="str">
            <v>Ladylyn</v>
          </cell>
          <cell r="F329">
            <v>0</v>
          </cell>
          <cell r="G329" t="str">
            <v>Lady</v>
          </cell>
          <cell r="H329" t="str">
            <v>0918-279-8249</v>
          </cell>
          <cell r="I329" t="str">
            <v>1993-07-17</v>
          </cell>
          <cell r="J329">
            <v>2</v>
          </cell>
          <cell r="K329">
            <v>1</v>
          </cell>
          <cell r="M329" t="str">
            <v>04-2557027-0</v>
          </cell>
          <cell r="N329" t="str">
            <v>312-884-111</v>
          </cell>
          <cell r="O329">
            <v>43</v>
          </cell>
          <cell r="P329">
            <v>472</v>
          </cell>
          <cell r="Q329">
            <v>34</v>
          </cell>
          <cell r="R329">
            <v>8</v>
          </cell>
          <cell r="S329">
            <v>0</v>
          </cell>
          <cell r="T329" t="str">
            <v>Veronica Lopenario
Blk 5 Lot 8 St. Plano Compd, Siranglupa, Calamba City
(0950) 481-3894</v>
          </cell>
          <cell r="U329" t="str">
            <v>2018-04-02</v>
          </cell>
        </row>
        <row r="330">
          <cell r="C330" t="str">
            <v>N065</v>
          </cell>
          <cell r="D330" t="str">
            <v>Magdael</v>
          </cell>
          <cell r="E330" t="str">
            <v>Jonnaleen</v>
          </cell>
          <cell r="F330" t="str">
            <v>Teope</v>
          </cell>
          <cell r="G330" t="str">
            <v>Jonna</v>
          </cell>
          <cell r="H330" t="str">
            <v>0917-417-3901</v>
          </cell>
          <cell r="I330" t="str">
            <v>1988-02-09</v>
          </cell>
          <cell r="J330">
            <v>2</v>
          </cell>
          <cell r="K330">
            <v>1</v>
          </cell>
          <cell r="M330" t="str">
            <v>04-1725431-3</v>
          </cell>
          <cell r="N330" t="str">
            <v>305-131-209</v>
          </cell>
          <cell r="O330">
            <v>43</v>
          </cell>
          <cell r="P330">
            <v>472</v>
          </cell>
          <cell r="Q330">
            <v>34</v>
          </cell>
          <cell r="R330">
            <v>8</v>
          </cell>
          <cell r="S330">
            <v>0</v>
          </cell>
          <cell r="T330" t="str">
            <v>Dolores M. Teope
San Antonio, Luisiana, Laguna
(0906) 950-1396</v>
          </cell>
          <cell r="U330" t="str">
            <v>2018-04-02</v>
          </cell>
        </row>
        <row r="331">
          <cell r="C331" t="str">
            <v>N074</v>
          </cell>
          <cell r="D331" t="str">
            <v>Olete</v>
          </cell>
          <cell r="E331" t="str">
            <v>Mark</v>
          </cell>
          <cell r="F331" t="str">
            <v>Buque</v>
          </cell>
          <cell r="G331" t="str">
            <v>Mark</v>
          </cell>
          <cell r="H331" t="str">
            <v>0932-118-3992</v>
          </cell>
          <cell r="I331" t="str">
            <v>1992-07-26</v>
          </cell>
          <cell r="J331">
            <v>1</v>
          </cell>
          <cell r="K331">
            <v>1</v>
          </cell>
          <cell r="M331" t="str">
            <v>04-2409169-5</v>
          </cell>
          <cell r="N331" t="str">
            <v>411-915-927</v>
          </cell>
          <cell r="O331">
            <v>43</v>
          </cell>
          <cell r="P331">
            <v>363</v>
          </cell>
          <cell r="Q331">
            <v>34</v>
          </cell>
          <cell r="R331">
            <v>8</v>
          </cell>
          <cell r="S331">
            <v>0</v>
          </cell>
          <cell r="T331" t="str">
            <v xml:space="preserve">Milagros B. Olete
134 Sto. Nino, Mayapa, Calamba City, Laguna
(0932) 118-3992 </v>
          </cell>
          <cell r="U331" t="str">
            <v>2018-04-02</v>
          </cell>
        </row>
        <row r="332">
          <cell r="C332" t="str">
            <v>N070</v>
          </cell>
          <cell r="D332" t="str">
            <v>Mendoza</v>
          </cell>
          <cell r="E332" t="str">
            <v>Myra</v>
          </cell>
          <cell r="F332" t="str">
            <v>Regalado</v>
          </cell>
          <cell r="G332" t="str">
            <v>Mhy</v>
          </cell>
          <cell r="H332" t="str">
            <v>0907-622-6842</v>
          </cell>
          <cell r="I332" t="str">
            <v>1995-08-22</v>
          </cell>
          <cell r="J332">
            <v>2</v>
          </cell>
          <cell r="K332">
            <v>1</v>
          </cell>
          <cell r="M332" t="str">
            <v>04-2809669-6</v>
          </cell>
          <cell r="N332" t="str">
            <v>453-540-653</v>
          </cell>
          <cell r="O332">
            <v>43</v>
          </cell>
          <cell r="P332">
            <v>472</v>
          </cell>
          <cell r="Q332">
            <v>34</v>
          </cell>
          <cell r="R332">
            <v>8</v>
          </cell>
          <cell r="S332">
            <v>0</v>
          </cell>
          <cell r="T332" t="str">
            <v>Maricel R. Mendoza
Bgy. Banay-banay, Cabuyao, Laguna
0912-755-5459</v>
          </cell>
          <cell r="U332" t="str">
            <v>2018-04-02</v>
          </cell>
        </row>
        <row r="333">
          <cell r="C333" t="str">
            <v>N086</v>
          </cell>
          <cell r="D333" t="str">
            <v>Roman</v>
          </cell>
          <cell r="E333" t="str">
            <v>Jennalyn</v>
          </cell>
          <cell r="F333" t="str">
            <v>OÃ±a</v>
          </cell>
          <cell r="G333" t="str">
            <v>Jenna</v>
          </cell>
          <cell r="H333" t="str">
            <v>0948-534-6899</v>
          </cell>
          <cell r="I333" t="str">
            <v>1997-08-20</v>
          </cell>
          <cell r="J333">
            <v>2</v>
          </cell>
          <cell r="K333">
            <v>1</v>
          </cell>
          <cell r="M333" t="str">
            <v>04-2948390-7</v>
          </cell>
          <cell r="N333" t="str">
            <v>328-083-871</v>
          </cell>
          <cell r="O333">
            <v>43</v>
          </cell>
          <cell r="P333">
            <v>393</v>
          </cell>
          <cell r="Q333">
            <v>34</v>
          </cell>
          <cell r="R333">
            <v>8</v>
          </cell>
          <cell r="S333">
            <v>0</v>
          </cell>
          <cell r="T333" t="str">
            <v>Aida O. Roman
405 Palo Alto, Calamba City, Laguna
(0955) 722-8285</v>
          </cell>
          <cell r="U333" t="str">
            <v>2018-04-02</v>
          </cell>
        </row>
        <row r="334">
          <cell r="C334" t="str">
            <v>N090</v>
          </cell>
          <cell r="D334" t="str">
            <v>Tadlas</v>
          </cell>
          <cell r="E334" t="str">
            <v>Kristine Sheenee</v>
          </cell>
          <cell r="F334" t="str">
            <v>Bellon</v>
          </cell>
          <cell r="G334" t="str">
            <v>Sheenee</v>
          </cell>
          <cell r="H334" t="str">
            <v>0907-644-8281</v>
          </cell>
          <cell r="I334" t="str">
            <v>1989-06-07</v>
          </cell>
          <cell r="J334">
            <v>2</v>
          </cell>
          <cell r="K334">
            <v>1</v>
          </cell>
          <cell r="M334" t="str">
            <v>34-1865111-6</v>
          </cell>
          <cell r="N334" t="str">
            <v>308-983-641</v>
          </cell>
          <cell r="O334">
            <v>43</v>
          </cell>
          <cell r="P334">
            <v>472</v>
          </cell>
          <cell r="Q334">
            <v>34</v>
          </cell>
          <cell r="R334">
            <v>8</v>
          </cell>
          <cell r="S334">
            <v>0</v>
          </cell>
          <cell r="T334" t="str">
            <v>Nancy T. Magbanua
Maguyam, Cavite
(0999) 340-2915</v>
          </cell>
          <cell r="U334" t="str">
            <v>2018-04-02</v>
          </cell>
        </row>
        <row r="335">
          <cell r="C335" t="str">
            <v>N093</v>
          </cell>
          <cell r="D335" t="str">
            <v>Dasco</v>
          </cell>
          <cell r="E335" t="str">
            <v>Rubie</v>
          </cell>
          <cell r="F335" t="str">
            <v>Valencia</v>
          </cell>
          <cell r="G335" t="str">
            <v>Bhie</v>
          </cell>
          <cell r="H335">
            <v>9562848955</v>
          </cell>
          <cell r="I335" t="str">
            <v>1995-01-13</v>
          </cell>
          <cell r="J335">
            <v>2</v>
          </cell>
          <cell r="K335">
            <v>2</v>
          </cell>
          <cell r="L335" t="str">
            <v>Darrel Sadiosa Dasco</v>
          </cell>
          <cell r="M335" t="str">
            <v>04-3664475-5</v>
          </cell>
          <cell r="N335" t="str">
            <v>332-125-343</v>
          </cell>
          <cell r="O335">
            <v>43</v>
          </cell>
          <cell r="P335">
            <v>472</v>
          </cell>
          <cell r="Q335">
            <v>34</v>
          </cell>
          <cell r="R335">
            <v>8</v>
          </cell>
          <cell r="S335">
            <v>0</v>
          </cell>
          <cell r="T335" t="str">
            <v xml:space="preserve">Darrel S. Dasco
#35 Barandal, Calamba City, Laguna
0950-482-7443
</v>
          </cell>
          <cell r="U335" t="str">
            <v>2018-04-02</v>
          </cell>
        </row>
        <row r="336">
          <cell r="C336" t="str">
            <v>N030</v>
          </cell>
          <cell r="D336" t="str">
            <v>Billones</v>
          </cell>
          <cell r="E336" t="str">
            <v>Victor Ivan</v>
          </cell>
          <cell r="F336" t="str">
            <v>Mallorca</v>
          </cell>
          <cell r="G336" t="str">
            <v>Vic</v>
          </cell>
          <cell r="H336" t="str">
            <v>0906-291-7313</v>
          </cell>
          <cell r="I336" t="str">
            <v>1988-08-22</v>
          </cell>
          <cell r="J336">
            <v>1</v>
          </cell>
          <cell r="K336">
            <v>1</v>
          </cell>
          <cell r="M336" t="str">
            <v>04-2093288-4</v>
          </cell>
          <cell r="N336" t="str">
            <v>415-102-184</v>
          </cell>
          <cell r="O336">
            <v>55</v>
          </cell>
          <cell r="P336">
            <v>499</v>
          </cell>
          <cell r="Q336">
            <v>66</v>
          </cell>
          <cell r="R336">
            <v>12</v>
          </cell>
          <cell r="S336">
            <v>0</v>
          </cell>
          <cell r="T336" t="str">
            <v>Helen M. Billones
11-15 Mahogany Village, Phase 1,
Pulo, Cabuyao, Laguna
(0933) 494-6905</v>
          </cell>
          <cell r="U336" t="str">
            <v>2018-04-02</v>
          </cell>
        </row>
        <row r="337">
          <cell r="C337" t="str">
            <v>N032</v>
          </cell>
          <cell r="D337" t="str">
            <v>Branco</v>
          </cell>
          <cell r="E337" t="str">
            <v>Jhonalyn</v>
          </cell>
          <cell r="F337" t="str">
            <v>Panao</v>
          </cell>
          <cell r="G337" t="str">
            <v>Jhona</v>
          </cell>
          <cell r="H337" t="str">
            <v>0929-480-8355</v>
          </cell>
          <cell r="I337" t="str">
            <v>1990-08-27</v>
          </cell>
          <cell r="J337">
            <v>2</v>
          </cell>
          <cell r="K337">
            <v>1</v>
          </cell>
          <cell r="M337" t="str">
            <v>04-2107593-1</v>
          </cell>
          <cell r="N337" t="str">
            <v>291-568-605</v>
          </cell>
          <cell r="O337">
            <v>43</v>
          </cell>
          <cell r="P337">
            <v>493</v>
          </cell>
          <cell r="Q337">
            <v>55</v>
          </cell>
          <cell r="R337">
            <v>11</v>
          </cell>
          <cell r="S337">
            <v>0</v>
          </cell>
          <cell r="T337" t="str">
            <v>Francisco N. Branco
699 Niugan, Cabuyao, Laguna
(0917) 466-8250</v>
          </cell>
          <cell r="U337" t="str">
            <v>2018-04-02</v>
          </cell>
        </row>
        <row r="338">
          <cell r="C338" t="str">
            <v>N050</v>
          </cell>
          <cell r="D338" t="str">
            <v>Garcia</v>
          </cell>
          <cell r="E338" t="str">
            <v>Mary Ann</v>
          </cell>
          <cell r="F338" t="str">
            <v>Leyno</v>
          </cell>
          <cell r="G338" t="str">
            <v>Meann</v>
          </cell>
          <cell r="H338" t="str">
            <v>0930-032-2125</v>
          </cell>
          <cell r="I338" t="str">
            <v>1984-06-01</v>
          </cell>
          <cell r="J338">
            <v>2</v>
          </cell>
          <cell r="K338">
            <v>1</v>
          </cell>
          <cell r="M338" t="str">
            <v>04-1640345-3</v>
          </cell>
          <cell r="N338" t="str">
            <v>276-408-701</v>
          </cell>
          <cell r="O338">
            <v>43</v>
          </cell>
          <cell r="P338">
            <v>493</v>
          </cell>
          <cell r="Q338">
            <v>55</v>
          </cell>
          <cell r="R338">
            <v>11</v>
          </cell>
          <cell r="S338">
            <v>0</v>
          </cell>
          <cell r="T338" t="str">
            <v>Irma G. Asiatico
Happy Valley, Canlubang, Calamba City
(0918) 667-7242</v>
          </cell>
          <cell r="U338" t="str">
            <v>2018-04-02</v>
          </cell>
        </row>
        <row r="339">
          <cell r="C339" t="str">
            <v>N040</v>
          </cell>
          <cell r="D339" t="str">
            <v>Cielo</v>
          </cell>
          <cell r="E339" t="str">
            <v>Domingo</v>
          </cell>
          <cell r="F339" t="str">
            <v>Pante</v>
          </cell>
          <cell r="G339" t="str">
            <v>Cielo</v>
          </cell>
          <cell r="H339">
            <v>9517729073</v>
          </cell>
          <cell r="I339" t="str">
            <v>1992-01-03</v>
          </cell>
          <cell r="J339">
            <v>1</v>
          </cell>
          <cell r="K339">
            <v>1</v>
          </cell>
          <cell r="M339" t="str">
            <v>04-3505688-1</v>
          </cell>
          <cell r="N339" t="str">
            <v>323-417-027</v>
          </cell>
          <cell r="O339">
            <v>43</v>
          </cell>
          <cell r="P339">
            <v>502</v>
          </cell>
          <cell r="Q339">
            <v>62</v>
          </cell>
          <cell r="R339">
            <v>12</v>
          </cell>
          <cell r="S339">
            <v>0</v>
          </cell>
          <cell r="T339" t="str">
            <v>Dexter Macasaddu
San Isidro Heights, Cabuyao Laguna
09268428190</v>
          </cell>
          <cell r="U339" t="str">
            <v>2018-04-02</v>
          </cell>
        </row>
        <row r="340">
          <cell r="C340" t="str">
            <v>N092</v>
          </cell>
          <cell r="D340" t="str">
            <v>Togado</v>
          </cell>
          <cell r="E340" t="str">
            <v>Maryflor Angel</v>
          </cell>
          <cell r="F340" t="str">
            <v>Flores</v>
          </cell>
          <cell r="G340" t="str">
            <v>Angel</v>
          </cell>
          <cell r="H340" t="str">
            <v>0947-391-0367</v>
          </cell>
          <cell r="I340" t="str">
            <v>1992-12-03</v>
          </cell>
          <cell r="J340">
            <v>2</v>
          </cell>
          <cell r="K340">
            <v>1</v>
          </cell>
          <cell r="M340" t="str">
            <v>04-2378623-1</v>
          </cell>
          <cell r="N340" t="str">
            <v>312-202-008</v>
          </cell>
          <cell r="O340">
            <v>43</v>
          </cell>
          <cell r="P340">
            <v>472</v>
          </cell>
          <cell r="Q340">
            <v>34</v>
          </cell>
          <cell r="R340">
            <v>8</v>
          </cell>
          <cell r="S340">
            <v>0</v>
          </cell>
          <cell r="T340" t="str">
            <v>Angel M. Togado Jr.
#10 Victoria St., Phase 1, Calamba Hills,
Mayapa, Calamba City, Laguna
0927-327-2394</v>
          </cell>
          <cell r="U340" t="str">
            <v>2018-04-02</v>
          </cell>
        </row>
        <row r="341">
          <cell r="C341" t="str">
            <v>N046</v>
          </cell>
          <cell r="D341" t="str">
            <v>Flores</v>
          </cell>
          <cell r="E341" t="str">
            <v>Jerico</v>
          </cell>
          <cell r="F341" t="str">
            <v>Belmoro</v>
          </cell>
          <cell r="G341" t="str">
            <v>Eco</v>
          </cell>
          <cell r="H341" t="str">
            <v>0950-235-2041</v>
          </cell>
          <cell r="I341" t="str">
            <v>1994-10-05</v>
          </cell>
          <cell r="J341">
            <v>1</v>
          </cell>
          <cell r="K341">
            <v>1</v>
          </cell>
          <cell r="M341" t="str">
            <v>04-2986419-9</v>
          </cell>
          <cell r="N341" t="str">
            <v>471-159-627</v>
          </cell>
          <cell r="O341">
            <v>55</v>
          </cell>
          <cell r="P341">
            <v>485</v>
          </cell>
          <cell r="Q341">
            <v>59</v>
          </cell>
          <cell r="R341">
            <v>11</v>
          </cell>
          <cell r="S341">
            <v>0</v>
          </cell>
          <cell r="T341" t="str">
            <v>Dominador Flores Sr.
San Aurelio 3rd, Balungao, Pangasinan
(0909) 332-4620</v>
          </cell>
          <cell r="U341" t="str">
            <v>2018-04-02</v>
          </cell>
        </row>
        <row r="342">
          <cell r="C342" t="str">
            <v>N058</v>
          </cell>
          <cell r="D342" t="str">
            <v>Ilustre</v>
          </cell>
          <cell r="E342" t="str">
            <v>Nerry Rose</v>
          </cell>
          <cell r="F342" t="str">
            <v>Dela Cruz</v>
          </cell>
          <cell r="G342" t="str">
            <v>Neri</v>
          </cell>
          <cell r="H342" t="str">
            <v>0948-809-4491</v>
          </cell>
          <cell r="I342" t="str">
            <v>1991-06-12</v>
          </cell>
          <cell r="J342">
            <v>2</v>
          </cell>
          <cell r="K342">
            <v>1</v>
          </cell>
          <cell r="M342" t="str">
            <v>34-2527817-1</v>
          </cell>
          <cell r="N342" t="str">
            <v>407-088-297</v>
          </cell>
          <cell r="O342">
            <v>43</v>
          </cell>
          <cell r="P342">
            <v>502</v>
          </cell>
          <cell r="Q342">
            <v>62</v>
          </cell>
          <cell r="R342">
            <v>12</v>
          </cell>
          <cell r="S342">
            <v>0</v>
          </cell>
          <cell r="T342" t="str">
            <v>Aries Ilustre
Malabanban Norte, Candelaria, Quezon
(0910) 452-4402</v>
          </cell>
          <cell r="U342" t="str">
            <v>2018-04-02</v>
          </cell>
        </row>
        <row r="343">
          <cell r="C343" t="str">
            <v>N100</v>
          </cell>
          <cell r="D343" t="str">
            <v>Valdez</v>
          </cell>
          <cell r="E343" t="str">
            <v>Nicole Baine</v>
          </cell>
          <cell r="F343" t="str">
            <v>Maximo</v>
          </cell>
          <cell r="G343" t="str">
            <v>Nicole</v>
          </cell>
          <cell r="H343" t="str">
            <v>0977-420-3267</v>
          </cell>
          <cell r="I343" t="str">
            <v>1997-10-11</v>
          </cell>
          <cell r="J343">
            <v>2</v>
          </cell>
          <cell r="K343">
            <v>1</v>
          </cell>
          <cell r="M343" t="str">
            <v>04-4064607-9</v>
          </cell>
          <cell r="N343" t="str">
            <v>346-302-497</v>
          </cell>
          <cell r="O343">
            <v>96</v>
          </cell>
          <cell r="P343">
            <v>491</v>
          </cell>
          <cell r="Q343">
            <v>56</v>
          </cell>
          <cell r="R343">
            <v>11</v>
          </cell>
          <cell r="S343">
            <v>0</v>
          </cell>
          <cell r="T343" t="str">
            <v>Roselle M. Valdez
B1 L55 Chico St, Ceris III,
Brgy. Canlubang, Calamba City
0955-975-7759</v>
          </cell>
          <cell r="U343" t="str">
            <v>2018-05-11</v>
          </cell>
        </row>
        <row r="344">
          <cell r="C344" t="str">
            <v>N106</v>
          </cell>
          <cell r="D344" t="str">
            <v>Valeroso</v>
          </cell>
          <cell r="E344" t="str">
            <v>Mariel Jayra</v>
          </cell>
          <cell r="F344" t="str">
            <v>Ramos</v>
          </cell>
          <cell r="G344" t="str">
            <v>MJ</v>
          </cell>
          <cell r="H344" t="str">
            <v>0919-957-7924</v>
          </cell>
          <cell r="I344" t="str">
            <v>1991-07-03</v>
          </cell>
          <cell r="J344">
            <v>2</v>
          </cell>
          <cell r="K344">
            <v>1</v>
          </cell>
          <cell r="M344" t="str">
            <v>34-5711044-3</v>
          </cell>
          <cell r="N344" t="str">
            <v>327-726-756</v>
          </cell>
          <cell r="O344">
            <v>100</v>
          </cell>
          <cell r="P344">
            <v>484</v>
          </cell>
          <cell r="Q344">
            <v>60</v>
          </cell>
          <cell r="R344">
            <v>11</v>
          </cell>
          <cell r="S344">
            <v>0</v>
          </cell>
          <cell r="T344" t="str">
            <v>Mary Ann R. Valeroso
62 Batu Ferry Sto Domingo (Tabangan)
Bambang, Nueva Vizcaya
0908-986-9143</v>
          </cell>
          <cell r="U344" t="str">
            <v>2018-06-11</v>
          </cell>
        </row>
        <row r="345">
          <cell r="C345" t="str">
            <v>N120</v>
          </cell>
          <cell r="D345" t="str">
            <v>Cleofe</v>
          </cell>
          <cell r="E345" t="str">
            <v>Mark Joseph</v>
          </cell>
          <cell r="F345" t="str">
            <v>CaÃ±on</v>
          </cell>
          <cell r="G345" t="str">
            <v>Mark</v>
          </cell>
          <cell r="H345" t="str">
            <v>0948-437-2270</v>
          </cell>
          <cell r="I345" t="str">
            <v>1987-09-30</v>
          </cell>
          <cell r="J345">
            <v>1</v>
          </cell>
          <cell r="K345">
            <v>1</v>
          </cell>
          <cell r="M345" t="str">
            <v>04-1965621-0</v>
          </cell>
          <cell r="N345" t="str">
            <v>308-141-730</v>
          </cell>
          <cell r="O345">
            <v>55</v>
          </cell>
          <cell r="P345">
            <v>513</v>
          </cell>
          <cell r="Q345">
            <v>73</v>
          </cell>
          <cell r="R345">
            <v>13</v>
          </cell>
          <cell r="S345">
            <v>0</v>
          </cell>
          <cell r="T345" t="str">
            <v xml:space="preserve">Francisco Cleofe
Canlubang Calamba City
0910-886-39-05
</v>
          </cell>
          <cell r="U345" t="str">
            <v>2018-11-05</v>
          </cell>
        </row>
        <row r="346">
          <cell r="C346" t="str">
            <v>N122</v>
          </cell>
          <cell r="D346" t="str">
            <v>Miraflor</v>
          </cell>
          <cell r="E346" t="str">
            <v>Alvin</v>
          </cell>
          <cell r="F346" t="str">
            <v>PeÃ±aflor</v>
          </cell>
          <cell r="G346" t="str">
            <v>Alvin</v>
          </cell>
          <cell r="I346" t="str">
            <v>1982-01-12</v>
          </cell>
          <cell r="J346">
            <v>1</v>
          </cell>
          <cell r="K346">
            <v>1</v>
          </cell>
          <cell r="M346" t="str">
            <v>33-6161552-6</v>
          </cell>
          <cell r="N346" t="str">
            <v>934-217-108</v>
          </cell>
          <cell r="O346">
            <v>55</v>
          </cell>
          <cell r="P346">
            <v>466</v>
          </cell>
          <cell r="Q346">
            <v>33</v>
          </cell>
          <cell r="R346">
            <v>8</v>
          </cell>
          <cell r="S346">
            <v>0</v>
          </cell>
          <cell r="T346" t="str">
            <v>Jenalyn Reyteran Gonzales
Sitio Gulayan,Niugan Cabuyao Laguna
0909-822-52-37</v>
          </cell>
          <cell r="U346" t="str">
            <v>2018-11-03</v>
          </cell>
        </row>
        <row r="347">
          <cell r="C347" t="str">
            <v>N124</v>
          </cell>
          <cell r="D347" t="str">
            <v>Delos Santos</v>
          </cell>
          <cell r="E347" t="str">
            <v>Rex</v>
          </cell>
          <cell r="F347" t="str">
            <v>Flores</v>
          </cell>
          <cell r="G347" t="str">
            <v>Rex</v>
          </cell>
          <cell r="I347" t="str">
            <v>1992-07-13</v>
          </cell>
          <cell r="J347">
            <v>1</v>
          </cell>
          <cell r="K347">
            <v>2</v>
          </cell>
          <cell r="L347" t="str">
            <v>Wina Laluan Mercado</v>
          </cell>
          <cell r="M347" t="str">
            <v>34-2829440-8</v>
          </cell>
          <cell r="N347" t="str">
            <v>313-749-920</v>
          </cell>
          <cell r="O347">
            <v>31</v>
          </cell>
          <cell r="P347">
            <v>403</v>
          </cell>
          <cell r="Q347">
            <v>51</v>
          </cell>
          <cell r="R347">
            <v>1</v>
          </cell>
          <cell r="S347">
            <v>0</v>
          </cell>
          <cell r="T347" t="str">
            <v>Wina M. Delos Santos
Daky St. Farconville Subd.Parian,Calamba City
0908-302-14-60</v>
          </cell>
          <cell r="U347" t="str">
            <v>2018-11-03</v>
          </cell>
        </row>
        <row r="348">
          <cell r="C348" t="str">
            <v>N133</v>
          </cell>
          <cell r="D348" t="str">
            <v>Olanga</v>
          </cell>
          <cell r="E348" t="str">
            <v>Carlo</v>
          </cell>
          <cell r="F348" t="str">
            <v>Erasquin</v>
          </cell>
          <cell r="G348" t="str">
            <v>Carl</v>
          </cell>
          <cell r="H348" t="str">
            <v>0909-703-37-24</v>
          </cell>
          <cell r="I348" t="str">
            <v>1988-07-19</v>
          </cell>
          <cell r="J348">
            <v>1</v>
          </cell>
          <cell r="K348">
            <v>1</v>
          </cell>
          <cell r="M348" t="str">
            <v>34-0259415-3</v>
          </cell>
          <cell r="N348" t="str">
            <v>351-664-754</v>
          </cell>
          <cell r="O348">
            <v>32</v>
          </cell>
          <cell r="P348">
            <v>453</v>
          </cell>
          <cell r="Q348">
            <v>20</v>
          </cell>
          <cell r="R348">
            <v>4</v>
          </cell>
          <cell r="S348">
            <v>0</v>
          </cell>
          <cell r="T348" t="str">
            <v xml:space="preserve">Kevin Jan Erasquin
San Isidro HOmes, San Isidro Cabuyao Laguna
0995-459-70-38
</v>
          </cell>
          <cell r="U348" t="str">
            <v>2018-11-03</v>
          </cell>
        </row>
        <row r="349">
          <cell r="C349" t="str">
            <v>N134</v>
          </cell>
          <cell r="D349" t="str">
            <v>Cabrido</v>
          </cell>
          <cell r="E349" t="str">
            <v>Jessalyn</v>
          </cell>
          <cell r="F349" t="str">
            <v>Bacurio</v>
          </cell>
          <cell r="G349" t="str">
            <v>Jes</v>
          </cell>
          <cell r="H349" t="str">
            <v>0935-391-1170</v>
          </cell>
          <cell r="I349" t="str">
            <v>1988-05-25</v>
          </cell>
          <cell r="J349">
            <v>2</v>
          </cell>
          <cell r="K349">
            <v>1</v>
          </cell>
          <cell r="M349" t="str">
            <v>04-1786373-3</v>
          </cell>
          <cell r="N349" t="str">
            <v>273-913-709</v>
          </cell>
          <cell r="O349">
            <v>43</v>
          </cell>
          <cell r="P349">
            <v>502</v>
          </cell>
          <cell r="Q349">
            <v>62</v>
          </cell>
          <cell r="R349">
            <v>12</v>
          </cell>
          <cell r="S349">
            <v>0</v>
          </cell>
          <cell r="T349" t="str">
            <v xml:space="preserve">Vivencio A. Cabrido
312 Marvel Subd. Paciano Rizal Calamba Laguna
0930-350-7115
</v>
          </cell>
          <cell r="U349" t="str">
            <v>2018-11-05</v>
          </cell>
        </row>
        <row r="350">
          <cell r="C350" t="str">
            <v>N137</v>
          </cell>
          <cell r="D350" t="str">
            <v>Macasaddu</v>
          </cell>
          <cell r="E350" t="str">
            <v>Dexter</v>
          </cell>
          <cell r="F350" t="str">
            <v>Salvatierra</v>
          </cell>
          <cell r="G350" t="str">
            <v>Deck</v>
          </cell>
          <cell r="H350" t="str">
            <v>0926-842-8196</v>
          </cell>
          <cell r="I350" t="str">
            <v>1994-12-14</v>
          </cell>
          <cell r="J350">
            <v>1</v>
          </cell>
          <cell r="K350">
            <v>1</v>
          </cell>
          <cell r="M350" t="str">
            <v>01-2660653-7</v>
          </cell>
          <cell r="N350" t="str">
            <v>337-023-273</v>
          </cell>
          <cell r="O350">
            <v>43</v>
          </cell>
          <cell r="P350">
            <v>493</v>
          </cell>
          <cell r="Q350">
            <v>55</v>
          </cell>
          <cell r="R350">
            <v>11</v>
          </cell>
          <cell r="S350">
            <v>0</v>
          </cell>
          <cell r="T350" t="str">
            <v xml:space="preserve">Carol Macasaddu
Aggunetan Lasam Cagayan Valley
0926-842-81-96
</v>
          </cell>
          <cell r="U350" t="str">
            <v>2018-11-05</v>
          </cell>
        </row>
        <row r="351">
          <cell r="C351" t="str">
            <v>N138</v>
          </cell>
          <cell r="D351" t="str">
            <v>Ubanan</v>
          </cell>
          <cell r="E351" t="str">
            <v>Lilibeth</v>
          </cell>
          <cell r="F351" t="str">
            <v>Rabe</v>
          </cell>
          <cell r="G351" t="str">
            <v>Beth</v>
          </cell>
          <cell r="I351" t="str">
            <v>1990-06-06</v>
          </cell>
          <cell r="J351">
            <v>2</v>
          </cell>
          <cell r="K351">
            <v>1</v>
          </cell>
          <cell r="M351" t="str">
            <v>04-2177870-4</v>
          </cell>
          <cell r="N351" t="str">
            <v>464-463-672</v>
          </cell>
          <cell r="O351">
            <v>43</v>
          </cell>
          <cell r="P351">
            <v>502</v>
          </cell>
          <cell r="Q351">
            <v>62</v>
          </cell>
          <cell r="R351">
            <v>12</v>
          </cell>
          <cell r="S351">
            <v>0</v>
          </cell>
          <cell r="T351" t="str">
            <v xml:space="preserve">Maricel I. Fabroa
Blk.22 Lot 141 Phase 6 Mabuhay City,Mamatid,Cabuyao Laguna
0907-078-66-19 </v>
          </cell>
          <cell r="U351" t="str">
            <v>2018-11-05</v>
          </cell>
        </row>
        <row r="352">
          <cell r="C352" t="str">
            <v>N140</v>
          </cell>
          <cell r="D352" t="str">
            <v>Carmelotes</v>
          </cell>
          <cell r="E352" t="str">
            <v>Juvycris</v>
          </cell>
          <cell r="F352" t="str">
            <v>Marcellones</v>
          </cell>
          <cell r="G352" t="str">
            <v>Juvz</v>
          </cell>
          <cell r="I352" t="str">
            <v>1991-08-28</v>
          </cell>
          <cell r="J352">
            <v>2</v>
          </cell>
          <cell r="K352">
            <v>1</v>
          </cell>
          <cell r="M352" t="str">
            <v>04-2453615-0</v>
          </cell>
          <cell r="N352" t="str">
            <v>332-299-083</v>
          </cell>
          <cell r="O352">
            <v>41</v>
          </cell>
          <cell r="P352">
            <v>502</v>
          </cell>
          <cell r="Q352">
            <v>62</v>
          </cell>
          <cell r="R352">
            <v>12</v>
          </cell>
          <cell r="S352">
            <v>0</v>
          </cell>
          <cell r="T352" t="str">
            <v>Riza Carmelotes
Pulo Cabuyao Laguna
0920-697-33-37</v>
          </cell>
          <cell r="U352" t="str">
            <v>2018-11-05</v>
          </cell>
        </row>
        <row r="353">
          <cell r="C353" t="str">
            <v>N142</v>
          </cell>
          <cell r="D353" t="str">
            <v>Mangga</v>
          </cell>
          <cell r="E353" t="str">
            <v>Jey Anne</v>
          </cell>
          <cell r="F353" t="str">
            <v>Macabenta</v>
          </cell>
          <cell r="G353" t="str">
            <v>Jhe</v>
          </cell>
          <cell r="H353">
            <v>9355972506</v>
          </cell>
          <cell r="I353" t="str">
            <v>1992-01-27</v>
          </cell>
          <cell r="J353">
            <v>2</v>
          </cell>
          <cell r="K353">
            <v>2</v>
          </cell>
          <cell r="L353" t="str">
            <v>Gilmer Dinson Mangga</v>
          </cell>
          <cell r="M353" t="str">
            <v>34-3268782-3</v>
          </cell>
          <cell r="N353" t="str">
            <v>424-970-731</v>
          </cell>
          <cell r="O353">
            <v>43</v>
          </cell>
          <cell r="P353">
            <v>502</v>
          </cell>
          <cell r="Q353">
            <v>62</v>
          </cell>
          <cell r="R353">
            <v>12</v>
          </cell>
          <cell r="S353">
            <v>0</v>
          </cell>
          <cell r="T353" t="str">
            <v>Gilmer D. Mangga
B3 L22 Farconville, San Cristobal Calamba Laguna
09077613522</v>
          </cell>
          <cell r="U353" t="str">
            <v>2018-11-05</v>
          </cell>
        </row>
        <row r="354">
          <cell r="C354" t="str">
            <v>N144</v>
          </cell>
          <cell r="D354" t="str">
            <v>Bragais</v>
          </cell>
          <cell r="E354" t="str">
            <v>Menchie</v>
          </cell>
          <cell r="F354" t="str">
            <v>Corre</v>
          </cell>
          <cell r="G354" t="str">
            <v>Mench</v>
          </cell>
          <cell r="I354" t="str">
            <v>1993-06-03</v>
          </cell>
          <cell r="J354">
            <v>2</v>
          </cell>
          <cell r="K354">
            <v>1</v>
          </cell>
          <cell r="M354" t="str">
            <v>04-2798796-8</v>
          </cell>
          <cell r="N354" t="str">
            <v>332-298-610</v>
          </cell>
          <cell r="O354">
            <v>41</v>
          </cell>
          <cell r="P354">
            <v>502</v>
          </cell>
          <cell r="Q354">
            <v>62</v>
          </cell>
          <cell r="R354">
            <v>12</v>
          </cell>
          <cell r="S354">
            <v>0</v>
          </cell>
          <cell r="T354" t="str">
            <v xml:space="preserve">Riza Carmelotes
Pulo Cabuyao Laguna
0920-697-33-37 
</v>
          </cell>
          <cell r="U354" t="str">
            <v>2018-11-05</v>
          </cell>
        </row>
        <row r="355">
          <cell r="C355" t="str">
            <v>N146</v>
          </cell>
          <cell r="D355" t="str">
            <v>Belen</v>
          </cell>
          <cell r="E355" t="str">
            <v>Rochelle</v>
          </cell>
          <cell r="F355" t="str">
            <v>Cabuyoc</v>
          </cell>
          <cell r="G355" t="str">
            <v>Chelle</v>
          </cell>
          <cell r="I355" t="str">
            <v>1995-04-09</v>
          </cell>
          <cell r="J355">
            <v>2</v>
          </cell>
          <cell r="K355">
            <v>1</v>
          </cell>
          <cell r="M355" t="str">
            <v>04-3506000-0</v>
          </cell>
          <cell r="N355" t="str">
            <v>332-298-161</v>
          </cell>
          <cell r="O355">
            <v>43</v>
          </cell>
          <cell r="P355">
            <v>502</v>
          </cell>
          <cell r="Q355">
            <v>62</v>
          </cell>
          <cell r="R355">
            <v>12</v>
          </cell>
          <cell r="S355">
            <v>0</v>
          </cell>
          <cell r="T355" t="str">
            <v>Rosalie C. Belen
#442 Brgy.Isla,Pangil,Laguna
0948-660-94-05</v>
          </cell>
          <cell r="U355" t="str">
            <v>2018-11-05</v>
          </cell>
        </row>
        <row r="356">
          <cell r="C356" t="str">
            <v>N147</v>
          </cell>
          <cell r="D356" t="str">
            <v>Mayuga</v>
          </cell>
          <cell r="E356" t="str">
            <v>Sheryleen</v>
          </cell>
          <cell r="F356" t="str">
            <v>Dalisay</v>
          </cell>
          <cell r="G356" t="str">
            <v>Sheshe</v>
          </cell>
          <cell r="I356" t="str">
            <v>1992-10-13</v>
          </cell>
          <cell r="J356">
            <v>2</v>
          </cell>
          <cell r="K356">
            <v>2</v>
          </cell>
          <cell r="L356" t="str">
            <v>Rollan Diata Mayuga</v>
          </cell>
          <cell r="M356" t="str">
            <v>04-2515682-7</v>
          </cell>
          <cell r="N356" t="str">
            <v>326-802-079</v>
          </cell>
          <cell r="O356">
            <v>43</v>
          </cell>
          <cell r="P356">
            <v>502</v>
          </cell>
          <cell r="Q356">
            <v>62</v>
          </cell>
          <cell r="R356">
            <v>12</v>
          </cell>
          <cell r="S356">
            <v>0</v>
          </cell>
          <cell r="T356" t="str">
            <v xml:space="preserve">Rollan D. Mayuga
St. Christopher Ilang Ilang St. Mayapa Calamba City Laguna
0910-279-37-59
</v>
          </cell>
          <cell r="U356" t="str">
            <v>2018-11-05</v>
          </cell>
        </row>
        <row r="357">
          <cell r="C357" t="str">
            <v>N148</v>
          </cell>
          <cell r="D357" t="str">
            <v>De Guzman</v>
          </cell>
          <cell r="E357" t="str">
            <v>Khay Anne</v>
          </cell>
          <cell r="F357" t="str">
            <v>Bautista</v>
          </cell>
          <cell r="G357" t="str">
            <v>Khaye</v>
          </cell>
          <cell r="H357" t="str">
            <v>0907-981-05-72</v>
          </cell>
          <cell r="I357" t="str">
            <v>1991-03-03</v>
          </cell>
          <cell r="J357">
            <v>2</v>
          </cell>
          <cell r="K357">
            <v>1</v>
          </cell>
          <cell r="M357" t="str">
            <v>02-3234546-5</v>
          </cell>
          <cell r="N357" t="str">
            <v>324-078-384</v>
          </cell>
          <cell r="O357">
            <v>43</v>
          </cell>
          <cell r="P357">
            <v>502</v>
          </cell>
          <cell r="Q357">
            <v>62</v>
          </cell>
          <cell r="R357">
            <v>12</v>
          </cell>
          <cell r="S357">
            <v>0</v>
          </cell>
          <cell r="T357" t="str">
            <v>Gemma De Guzman
Toledo, Ramos Tarlac
09303632967</v>
          </cell>
          <cell r="U357" t="str">
            <v>2018-11-05</v>
          </cell>
        </row>
        <row r="358">
          <cell r="C358" t="str">
            <v>N149</v>
          </cell>
          <cell r="D358" t="str">
            <v>Ostera</v>
          </cell>
          <cell r="E358" t="str">
            <v>Gilbert</v>
          </cell>
          <cell r="F358" t="str">
            <v>Jusay</v>
          </cell>
          <cell r="G358" t="str">
            <v>Gibo</v>
          </cell>
          <cell r="H358" t="str">
            <v>0906-742-51-72</v>
          </cell>
          <cell r="I358" t="str">
            <v>1993-06-23</v>
          </cell>
          <cell r="J358">
            <v>1</v>
          </cell>
          <cell r="K358">
            <v>1</v>
          </cell>
          <cell r="M358" t="str">
            <v>34-3001579-8</v>
          </cell>
          <cell r="N358" t="str">
            <v>336-786-669</v>
          </cell>
          <cell r="O358">
            <v>43</v>
          </cell>
          <cell r="P358">
            <v>502</v>
          </cell>
          <cell r="Q358">
            <v>62</v>
          </cell>
          <cell r="R358">
            <v>12</v>
          </cell>
          <cell r="S358">
            <v>0</v>
          </cell>
          <cell r="T358" t="str">
            <v xml:space="preserve">Jayfre  Ostera
B11 L2 Mt. View Subd. Palo Alto, Calamba Laguna
0939-725-34-21 
</v>
          </cell>
          <cell r="U358" t="str">
            <v>2018-11-05</v>
          </cell>
        </row>
        <row r="359">
          <cell r="C359" t="str">
            <v>N150</v>
          </cell>
          <cell r="D359" t="str">
            <v>Cargo</v>
          </cell>
          <cell r="E359" t="str">
            <v>Venus</v>
          </cell>
          <cell r="F359" t="str">
            <v>Griego</v>
          </cell>
          <cell r="G359" t="str">
            <v>Bhing</v>
          </cell>
          <cell r="H359" t="str">
            <v>0918-324-21-79</v>
          </cell>
          <cell r="I359" t="str">
            <v>1975-01-29</v>
          </cell>
          <cell r="J359">
            <v>2</v>
          </cell>
          <cell r="K359">
            <v>2</v>
          </cell>
          <cell r="L359" t="str">
            <v>Joselito Gonzales Griego</v>
          </cell>
          <cell r="M359" t="str">
            <v>04-1025286-2</v>
          </cell>
          <cell r="N359" t="str">
            <v>332-300-311</v>
          </cell>
          <cell r="O359">
            <v>43</v>
          </cell>
          <cell r="P359">
            <v>493</v>
          </cell>
          <cell r="Q359">
            <v>55</v>
          </cell>
          <cell r="R359">
            <v>11</v>
          </cell>
          <cell r="S359">
            <v>0</v>
          </cell>
          <cell r="T359" t="str">
            <v xml:space="preserve">Joselito G. Cargo
34 D Zavalla 1 MArket Area Santa Rosa, Laguna
0998-979-1675
</v>
          </cell>
          <cell r="U359" t="str">
            <v>2018-11-05</v>
          </cell>
        </row>
        <row r="360">
          <cell r="C360" t="str">
            <v>N152</v>
          </cell>
          <cell r="D360" t="str">
            <v>Rivera</v>
          </cell>
          <cell r="E360" t="str">
            <v>Rosario</v>
          </cell>
          <cell r="F360" t="str">
            <v>Prado</v>
          </cell>
          <cell r="G360" t="str">
            <v>Rose</v>
          </cell>
          <cell r="H360" t="str">
            <v>0938-323-61-34</v>
          </cell>
          <cell r="I360" t="str">
            <v>1987-09-12</v>
          </cell>
          <cell r="J360">
            <v>2</v>
          </cell>
          <cell r="K360">
            <v>1</v>
          </cell>
          <cell r="M360" t="str">
            <v>04-2036809-2</v>
          </cell>
          <cell r="N360" t="str">
            <v>708-726-108</v>
          </cell>
          <cell r="O360">
            <v>43</v>
          </cell>
          <cell r="P360">
            <v>493</v>
          </cell>
          <cell r="Q360">
            <v>55</v>
          </cell>
          <cell r="R360">
            <v>11</v>
          </cell>
          <cell r="S360">
            <v>0</v>
          </cell>
          <cell r="T360" t="str">
            <v xml:space="preserve">Manuel Luis O. Canonizado
085P Alihan St/ Belarmino Brgy. 7, Calamba Laguna
0938-323-61-34
</v>
          </cell>
          <cell r="U360" t="str">
            <v>2018-11-05</v>
          </cell>
        </row>
        <row r="361">
          <cell r="C361" t="str">
            <v>N153</v>
          </cell>
          <cell r="D361" t="str">
            <v>Abarecia</v>
          </cell>
          <cell r="E361" t="str">
            <v>Emerenciana</v>
          </cell>
          <cell r="F361" t="str">
            <v>Huarde</v>
          </cell>
          <cell r="G361" t="str">
            <v>Emie</v>
          </cell>
          <cell r="H361" t="str">
            <v>0929-640-05-34</v>
          </cell>
          <cell r="I361" t="str">
            <v>1988-01-23</v>
          </cell>
          <cell r="J361">
            <v>2</v>
          </cell>
          <cell r="K361">
            <v>1</v>
          </cell>
          <cell r="M361" t="str">
            <v>04-1766748-9</v>
          </cell>
          <cell r="N361" t="str">
            <v>251-789-691</v>
          </cell>
          <cell r="O361">
            <v>43</v>
          </cell>
          <cell r="P361">
            <v>493</v>
          </cell>
          <cell r="Q361">
            <v>55</v>
          </cell>
          <cell r="R361">
            <v>11</v>
          </cell>
          <cell r="S361">
            <v>0</v>
          </cell>
          <cell r="T361" t="str">
            <v xml:space="preserve">Marilyn Abarecia
Phase 55 Blk 30 Lot 94,Mabuhay City Mamatid,Cabuyao Laguna
0921-404-17-30
</v>
          </cell>
          <cell r="U361" t="str">
            <v>2018-11-05</v>
          </cell>
        </row>
        <row r="362">
          <cell r="C362" t="str">
            <v>N155</v>
          </cell>
          <cell r="D362" t="str">
            <v>Bulaclac</v>
          </cell>
          <cell r="E362" t="str">
            <v>Rina</v>
          </cell>
          <cell r="F362" t="str">
            <v>Laurente</v>
          </cell>
          <cell r="G362" t="str">
            <v>Rhen</v>
          </cell>
          <cell r="H362">
            <v>9083434574</v>
          </cell>
          <cell r="I362" t="str">
            <v>1992-01-24</v>
          </cell>
          <cell r="J362">
            <v>2</v>
          </cell>
          <cell r="K362">
            <v>1</v>
          </cell>
          <cell r="M362" t="str">
            <v>07-2548002-8</v>
          </cell>
          <cell r="N362" t="str">
            <v>445-953-118</v>
          </cell>
          <cell r="O362">
            <v>43</v>
          </cell>
          <cell r="P362">
            <v>493</v>
          </cell>
          <cell r="Q362">
            <v>55</v>
          </cell>
          <cell r="R362">
            <v>11</v>
          </cell>
          <cell r="S362">
            <v>0</v>
          </cell>
          <cell r="T362" t="str">
            <v xml:space="preserve">Lalaine Bulaclac
Roxas City Capiz
09107146804
</v>
          </cell>
          <cell r="U362" t="str">
            <v>2018-11-05</v>
          </cell>
        </row>
        <row r="363">
          <cell r="C363" t="str">
            <v>N157</v>
          </cell>
          <cell r="D363" t="str">
            <v>Nuarin</v>
          </cell>
          <cell r="E363" t="str">
            <v>Juliebe</v>
          </cell>
          <cell r="F363" t="str">
            <v>Ojano</v>
          </cell>
          <cell r="G363" t="str">
            <v>Julie</v>
          </cell>
          <cell r="H363">
            <v>9977116136</v>
          </cell>
          <cell r="I363" t="str">
            <v>1991-08-07</v>
          </cell>
          <cell r="J363">
            <v>2</v>
          </cell>
          <cell r="K363">
            <v>1</v>
          </cell>
          <cell r="M363" t="str">
            <v>04-2241291-7</v>
          </cell>
          <cell r="N363" t="str">
            <v>332-308-319</v>
          </cell>
          <cell r="O363">
            <v>43</v>
          </cell>
          <cell r="P363">
            <v>502</v>
          </cell>
          <cell r="Q363">
            <v>62</v>
          </cell>
          <cell r="R363">
            <v>12</v>
          </cell>
          <cell r="S363">
            <v>0</v>
          </cell>
          <cell r="T363" t="str">
            <v>Ronalyn N. Dote
B14 L23 Birmingham Village Pulo Cabuyao
09488094491</v>
          </cell>
          <cell r="U363" t="str">
            <v>2018-11-05</v>
          </cell>
        </row>
        <row r="364">
          <cell r="C364" t="str">
            <v>N123</v>
          </cell>
          <cell r="D364" t="str">
            <v>Baldiviano</v>
          </cell>
          <cell r="E364" t="str">
            <v>Jose</v>
          </cell>
          <cell r="F364" t="str">
            <v>Bayot</v>
          </cell>
          <cell r="G364" t="str">
            <v>Jose</v>
          </cell>
          <cell r="H364" t="str">
            <v>0916-197-76-04</v>
          </cell>
          <cell r="I364" t="str">
            <v>1995-04-04</v>
          </cell>
          <cell r="J364">
            <v>1</v>
          </cell>
          <cell r="K364">
            <v>1</v>
          </cell>
          <cell r="M364" t="str">
            <v>04-2670643-8</v>
          </cell>
          <cell r="N364" t="str">
            <v>316-725-074</v>
          </cell>
          <cell r="O364">
            <v>55</v>
          </cell>
          <cell r="P364">
            <v>466</v>
          </cell>
          <cell r="Q364">
            <v>33</v>
          </cell>
          <cell r="R364">
            <v>8</v>
          </cell>
          <cell r="S364">
            <v>0</v>
          </cell>
          <cell r="T364" t="str">
            <v>Pal Jet Ann J. Laurel
B4a l15 Huelva St, Gran Seville,
Banlic, Cabuyao, Laguna
0991-694-9613</v>
          </cell>
          <cell r="U364" t="str">
            <v>2018-11-03</v>
          </cell>
        </row>
        <row r="365">
          <cell r="C365" t="str">
            <v>N159</v>
          </cell>
          <cell r="D365" t="str">
            <v>Hapa</v>
          </cell>
          <cell r="E365" t="str">
            <v>Shanelle</v>
          </cell>
          <cell r="F365" t="str">
            <v>Lomerio</v>
          </cell>
          <cell r="G365" t="str">
            <v>Sha</v>
          </cell>
          <cell r="H365">
            <v>9463544500</v>
          </cell>
          <cell r="I365" t="str">
            <v>1995-06-12</v>
          </cell>
          <cell r="J365">
            <v>2</v>
          </cell>
          <cell r="K365">
            <v>1</v>
          </cell>
          <cell r="M365" t="str">
            <v>04-2818364-8</v>
          </cell>
          <cell r="N365" t="str">
            <v>324-152-833</v>
          </cell>
          <cell r="O365">
            <v>43</v>
          </cell>
          <cell r="P365">
            <v>492</v>
          </cell>
          <cell r="Q365">
            <v>55</v>
          </cell>
          <cell r="R365">
            <v>11</v>
          </cell>
          <cell r="S365">
            <v>0</v>
          </cell>
          <cell r="T365" t="str">
            <v xml:space="preserve">Karl Louise M. Gamayon
UP Sitio Riverside Batong Malake, Los Banos, Laguna
0906-196-5998
</v>
          </cell>
          <cell r="U365" t="str">
            <v>2018-11-03</v>
          </cell>
        </row>
        <row r="366">
          <cell r="C366" t="str">
            <v>N161</v>
          </cell>
          <cell r="D366" t="str">
            <v>Rustia</v>
          </cell>
          <cell r="E366" t="str">
            <v>Cristina</v>
          </cell>
          <cell r="F366" t="str">
            <v>Moreno</v>
          </cell>
          <cell r="G366" t="str">
            <v>Thin</v>
          </cell>
          <cell r="H366" t="str">
            <v>0930-838-5192</v>
          </cell>
          <cell r="I366" t="str">
            <v>1979-12-27</v>
          </cell>
          <cell r="J366">
            <v>2</v>
          </cell>
          <cell r="K366">
            <v>2</v>
          </cell>
          <cell r="L366" t="str">
            <v>12/27/1979</v>
          </cell>
          <cell r="M366" t="str">
            <v>04-1051086-3</v>
          </cell>
          <cell r="N366" t="str">
            <v>230-180-352</v>
          </cell>
          <cell r="O366">
            <v>43</v>
          </cell>
          <cell r="P366">
            <v>492</v>
          </cell>
          <cell r="Q366">
            <v>55</v>
          </cell>
          <cell r="R366">
            <v>11</v>
          </cell>
          <cell r="S366">
            <v>0</v>
          </cell>
          <cell r="T366" t="str">
            <v>Jimmy T. Rustia
176 Purok, Mapagong Calamba City</v>
          </cell>
          <cell r="U366" t="str">
            <v>2018-11-03</v>
          </cell>
        </row>
        <row r="367">
          <cell r="C367" t="str">
            <v>N121</v>
          </cell>
          <cell r="D367" t="str">
            <v>Zarsuelo</v>
          </cell>
          <cell r="E367" t="str">
            <v>Charlie</v>
          </cell>
          <cell r="F367" t="str">
            <v>Dapiton</v>
          </cell>
          <cell r="G367" t="str">
            <v>Charlie</v>
          </cell>
          <cell r="I367" t="str">
            <v>1989-07-06</v>
          </cell>
          <cell r="J367">
            <v>1</v>
          </cell>
          <cell r="K367">
            <v>2</v>
          </cell>
          <cell r="L367" t="str">
            <v>Cristina Villamater Acleta</v>
          </cell>
          <cell r="M367" t="str">
            <v>04-2009623-8</v>
          </cell>
          <cell r="N367" t="str">
            <v>285-995-043</v>
          </cell>
          <cell r="O367">
            <v>55</v>
          </cell>
          <cell r="P367">
            <v>390</v>
          </cell>
          <cell r="Q367">
            <v>33</v>
          </cell>
          <cell r="R367">
            <v>8</v>
          </cell>
          <cell r="S367">
            <v>0</v>
          </cell>
          <cell r="T367" t="str">
            <v xml:space="preserve">Crisitna A. Zarsuelo
#28 San Luis St. Bargy 10 Lucban Quezon
0919-447-38-39
</v>
          </cell>
          <cell r="U367" t="str">
            <v>2018-11-03</v>
          </cell>
        </row>
        <row r="368">
          <cell r="C368" t="str">
            <v>N128</v>
          </cell>
          <cell r="D368" t="str">
            <v>Ugay</v>
          </cell>
          <cell r="E368" t="str">
            <v>Maritess</v>
          </cell>
          <cell r="F368" t="str">
            <v>Villanueva</v>
          </cell>
          <cell r="G368" t="str">
            <v>Tess</v>
          </cell>
          <cell r="I368" t="str">
            <v>1988-08-21</v>
          </cell>
          <cell r="J368">
            <v>2</v>
          </cell>
          <cell r="K368">
            <v>2</v>
          </cell>
          <cell r="L368" t="str">
            <v>Randy Gravelio Ugay</v>
          </cell>
          <cell r="M368" t="str">
            <v>34-0364303-2</v>
          </cell>
          <cell r="N368" t="str">
            <v>289-446-501</v>
          </cell>
          <cell r="O368">
            <v>40</v>
          </cell>
          <cell r="P368">
            <v>391</v>
          </cell>
          <cell r="Q368">
            <v>35</v>
          </cell>
          <cell r="R368">
            <v>8</v>
          </cell>
          <cell r="S368">
            <v>0</v>
          </cell>
          <cell r="T368" t="str">
            <v>Randy G. Ugay
Lot4D Unit 4 Realica Subd,
Pulo, Cabuyao, Laguna
0951-558-1016</v>
          </cell>
          <cell r="U368" t="str">
            <v>2018-11-03</v>
          </cell>
        </row>
        <row r="369">
          <cell r="C369" t="str">
            <v>N162</v>
          </cell>
          <cell r="D369" t="str">
            <v>Navalta</v>
          </cell>
          <cell r="E369" t="str">
            <v>Joeylyn</v>
          </cell>
          <cell r="F369" t="str">
            <v>Balitian</v>
          </cell>
          <cell r="G369" t="str">
            <v>Joey</v>
          </cell>
          <cell r="I369" t="str">
            <v>1985-12-10</v>
          </cell>
          <cell r="J369">
            <v>2</v>
          </cell>
          <cell r="K369">
            <v>1</v>
          </cell>
          <cell r="M369" t="str">
            <v>04-1874950-0</v>
          </cell>
          <cell r="N369" t="str">
            <v>306-545-896</v>
          </cell>
          <cell r="O369">
            <v>43</v>
          </cell>
          <cell r="P369">
            <v>492</v>
          </cell>
          <cell r="Q369">
            <v>55</v>
          </cell>
          <cell r="R369">
            <v>11</v>
          </cell>
          <cell r="S369">
            <v>0</v>
          </cell>
          <cell r="T369" t="str">
            <v>Joselito Navalta
B9 L6 Juana I Complex,San Francisco,BiÃ±an Laguna
0919-266-42-33</v>
          </cell>
          <cell r="U369" t="str">
            <v>2018-11-03</v>
          </cell>
        </row>
        <row r="370">
          <cell r="C370" t="str">
            <v>N163</v>
          </cell>
          <cell r="D370" t="str">
            <v>Aquiban</v>
          </cell>
          <cell r="E370" t="str">
            <v>David Jr.</v>
          </cell>
          <cell r="F370" t="str">
            <v>MaÃ±ago</v>
          </cell>
          <cell r="G370" t="str">
            <v>Dave</v>
          </cell>
          <cell r="H370" t="str">
            <v>0999-566-51-64</v>
          </cell>
          <cell r="I370" t="str">
            <v>1994-04-26</v>
          </cell>
          <cell r="J370">
            <v>1</v>
          </cell>
          <cell r="K370">
            <v>1</v>
          </cell>
          <cell r="M370" t="str">
            <v>05-1136559-3</v>
          </cell>
          <cell r="N370" t="str">
            <v>489-722-206</v>
          </cell>
          <cell r="O370">
            <v>43</v>
          </cell>
          <cell r="P370">
            <v>492</v>
          </cell>
          <cell r="Q370">
            <v>55</v>
          </cell>
          <cell r="R370">
            <v>11</v>
          </cell>
          <cell r="S370">
            <v>0</v>
          </cell>
          <cell r="T370" t="str">
            <v xml:space="preserve">Daryl Francis M. Aquiban
225 Palmera St. El Real Calamba City
0949-188-81-50
</v>
          </cell>
          <cell r="U370" t="str">
            <v>2018-11-03</v>
          </cell>
        </row>
        <row r="371">
          <cell r="C371" t="str">
            <v>N164</v>
          </cell>
          <cell r="D371" t="str">
            <v>Aringo</v>
          </cell>
          <cell r="E371" t="str">
            <v>Ester</v>
          </cell>
          <cell r="F371" t="str">
            <v>Broqueza</v>
          </cell>
          <cell r="G371" t="str">
            <v>Ther</v>
          </cell>
          <cell r="H371" t="str">
            <v>0951-743-3884</v>
          </cell>
          <cell r="I371" t="str">
            <v>1977-04-30</v>
          </cell>
          <cell r="J371">
            <v>2</v>
          </cell>
          <cell r="K371">
            <v>1</v>
          </cell>
          <cell r="M371" t="str">
            <v>33-2765767-0</v>
          </cell>
          <cell r="N371" t="str">
            <v>736-736-404</v>
          </cell>
          <cell r="O371">
            <v>43</v>
          </cell>
          <cell r="P371">
            <v>493</v>
          </cell>
          <cell r="Q371">
            <v>55</v>
          </cell>
          <cell r="R371">
            <v>11</v>
          </cell>
          <cell r="S371">
            <v>0</v>
          </cell>
          <cell r="T371" t="str">
            <v>Joel B. Aringo
Blk 28 Lot 13 P 5 Mabuhay City,Mamatid Cabuyao City Laguna
0907-200-1043</v>
          </cell>
          <cell r="U371" t="str">
            <v>2018-11-05</v>
          </cell>
        </row>
        <row r="372">
          <cell r="C372" t="str">
            <v>N172</v>
          </cell>
          <cell r="D372" t="str">
            <v>Vargas</v>
          </cell>
          <cell r="E372" t="str">
            <v>Melvin</v>
          </cell>
          <cell r="F372" t="str">
            <v>Bien</v>
          </cell>
          <cell r="G372" t="str">
            <v>Mhel</v>
          </cell>
          <cell r="I372" t="str">
            <v>1998-11-30</v>
          </cell>
          <cell r="J372">
            <v>1</v>
          </cell>
          <cell r="K372">
            <v>1</v>
          </cell>
          <cell r="M372" t="str">
            <v>04-3868374-3</v>
          </cell>
          <cell r="N372" t="str">
            <v>732-124-450</v>
          </cell>
          <cell r="O372">
            <v>43</v>
          </cell>
          <cell r="P372">
            <v>502</v>
          </cell>
          <cell r="Q372">
            <v>62</v>
          </cell>
          <cell r="R372">
            <v>12</v>
          </cell>
          <cell r="S372">
            <v>0</v>
          </cell>
          <cell r="T372" t="str">
            <v xml:space="preserve">Rosie B. Vargas
San Vicente Buenavista Quezon
0906-587-45-17 
</v>
          </cell>
          <cell r="U372" t="str">
            <v>2018-11-05</v>
          </cell>
        </row>
        <row r="373">
          <cell r="C373" t="str">
            <v>N176</v>
          </cell>
          <cell r="D373" t="str">
            <v>Manalo</v>
          </cell>
          <cell r="E373" t="str">
            <v>Jaydemae</v>
          </cell>
          <cell r="F373" t="str">
            <v>Endozo</v>
          </cell>
          <cell r="G373" t="str">
            <v>Jayce</v>
          </cell>
          <cell r="H373" t="str">
            <v>0921-228-66-11</v>
          </cell>
          <cell r="I373" t="str">
            <v>1991-02-01</v>
          </cell>
          <cell r="J373">
            <v>2</v>
          </cell>
          <cell r="K373">
            <v>1</v>
          </cell>
          <cell r="M373" t="str">
            <v>04-2694267-4</v>
          </cell>
          <cell r="N373" t="str">
            <v>426-891-659</v>
          </cell>
          <cell r="O373">
            <v>43</v>
          </cell>
          <cell r="P373">
            <v>472</v>
          </cell>
          <cell r="Q373">
            <v>34</v>
          </cell>
          <cell r="R373">
            <v>8</v>
          </cell>
          <cell r="S373">
            <v>0</v>
          </cell>
          <cell r="T373" t="str">
            <v xml:space="preserve">Editha Manalo
Don Bosco St. Ma.Leonora Subd.Mayapa Calamba City
0946-557-21-91 </v>
          </cell>
          <cell r="U373" t="str">
            <v>2018-11-03</v>
          </cell>
        </row>
        <row r="374">
          <cell r="C374" t="str">
            <v>N177</v>
          </cell>
          <cell r="D374" t="str">
            <v>Calderon</v>
          </cell>
          <cell r="E374" t="str">
            <v>Crisna</v>
          </cell>
          <cell r="F374" t="str">
            <v>Flores</v>
          </cell>
          <cell r="G374" t="str">
            <v>Cris</v>
          </cell>
          <cell r="H374" t="str">
            <v>0946-304-21-13</v>
          </cell>
          <cell r="I374" t="str">
            <v>1986-12-11</v>
          </cell>
          <cell r="J374">
            <v>2</v>
          </cell>
          <cell r="K374">
            <v>1</v>
          </cell>
          <cell r="M374" t="str">
            <v>04-1679435-3</v>
          </cell>
          <cell r="N374" t="str">
            <v>246-810-746</v>
          </cell>
          <cell r="O374">
            <v>43</v>
          </cell>
          <cell r="P374">
            <v>472</v>
          </cell>
          <cell r="Q374">
            <v>34</v>
          </cell>
          <cell r="R374">
            <v>8</v>
          </cell>
          <cell r="S374">
            <v>0</v>
          </cell>
          <cell r="T374" t="str">
            <v>Rizalina F. Calderon
#0672 Narra St.Looc Calamba City
0946-523-61-13</v>
          </cell>
          <cell r="U374" t="str">
            <v>2018-11-03</v>
          </cell>
        </row>
        <row r="375">
          <cell r="C375" t="str">
            <v>N178</v>
          </cell>
          <cell r="D375" t="str">
            <v>Evasco</v>
          </cell>
          <cell r="E375" t="str">
            <v>Rikalin</v>
          </cell>
          <cell r="F375" t="str">
            <v>Acero</v>
          </cell>
          <cell r="G375" t="str">
            <v>Rika</v>
          </cell>
          <cell r="I375" t="str">
            <v>1997-07-28</v>
          </cell>
          <cell r="J375">
            <v>2</v>
          </cell>
          <cell r="K375">
            <v>1</v>
          </cell>
          <cell r="M375" t="str">
            <v>34-5434953-4</v>
          </cell>
          <cell r="N375" t="str">
            <v>332-113-463</v>
          </cell>
          <cell r="O375">
            <v>43</v>
          </cell>
          <cell r="P375">
            <v>472</v>
          </cell>
          <cell r="Q375">
            <v>34</v>
          </cell>
          <cell r="R375">
            <v>8</v>
          </cell>
          <cell r="S375">
            <v>0</v>
          </cell>
          <cell r="T375" t="str">
            <v xml:space="preserve">Linda A.Evasco
Caballero St. Sampiruhan Calamba City
0919-924-44-57
</v>
          </cell>
          <cell r="U375" t="str">
            <v>2018-11-03</v>
          </cell>
        </row>
        <row r="376">
          <cell r="C376" t="str">
            <v>N180</v>
          </cell>
          <cell r="D376" t="str">
            <v>Cruz</v>
          </cell>
          <cell r="E376" t="str">
            <v>Sarah Jane</v>
          </cell>
          <cell r="F376" t="str">
            <v>Baron</v>
          </cell>
          <cell r="G376" t="str">
            <v>Sarah</v>
          </cell>
          <cell r="I376" t="str">
            <v>1993-11-06</v>
          </cell>
          <cell r="J376">
            <v>2</v>
          </cell>
          <cell r="K376">
            <v>1</v>
          </cell>
          <cell r="M376" t="str">
            <v>04-2466501-8</v>
          </cell>
          <cell r="N376" t="str">
            <v>708-722-799</v>
          </cell>
          <cell r="O376">
            <v>43</v>
          </cell>
          <cell r="P376">
            <v>472</v>
          </cell>
          <cell r="Q376">
            <v>34</v>
          </cell>
          <cell r="R376">
            <v>8</v>
          </cell>
          <cell r="S376">
            <v>0</v>
          </cell>
          <cell r="T376" t="str">
            <v>Zenaida B. Cruz
B13 L31 Arabella Homes, Pulo Cabuyao City
0946-883-02-30</v>
          </cell>
          <cell r="U376" t="str">
            <v>2018-11-03</v>
          </cell>
        </row>
        <row r="377">
          <cell r="C377" t="str">
            <v>N181</v>
          </cell>
          <cell r="D377" t="str">
            <v>Deomampo</v>
          </cell>
          <cell r="E377" t="str">
            <v>Ezza Marie</v>
          </cell>
          <cell r="F377" t="str">
            <v>Malaga</v>
          </cell>
          <cell r="G377" t="str">
            <v>Ezza</v>
          </cell>
          <cell r="I377" t="str">
            <v>1996-05-09</v>
          </cell>
          <cell r="J377">
            <v>2</v>
          </cell>
          <cell r="K377">
            <v>1</v>
          </cell>
          <cell r="M377" t="str">
            <v>04-2649317-8</v>
          </cell>
          <cell r="N377" t="str">
            <v>452-032-214</v>
          </cell>
          <cell r="O377">
            <v>43</v>
          </cell>
          <cell r="P377">
            <v>472</v>
          </cell>
          <cell r="Q377">
            <v>34</v>
          </cell>
          <cell r="R377">
            <v>8</v>
          </cell>
          <cell r="S377">
            <v>0</v>
          </cell>
          <cell r="T377" t="str">
            <v>Marie Gem Evora
Calangay San Nicolas Batangas
0946-522-05-20</v>
          </cell>
          <cell r="U377" t="str">
            <v>2018-11-03</v>
          </cell>
        </row>
        <row r="378">
          <cell r="C378" t="str">
            <v>N182</v>
          </cell>
          <cell r="D378" t="str">
            <v>Balete</v>
          </cell>
          <cell r="E378" t="str">
            <v>Donna</v>
          </cell>
          <cell r="F378" t="str">
            <v>Balea</v>
          </cell>
          <cell r="G378" t="str">
            <v>Don</v>
          </cell>
          <cell r="H378" t="str">
            <v>0943-068-33-95</v>
          </cell>
          <cell r="I378" t="str">
            <v>1991-04-20</v>
          </cell>
          <cell r="J378">
            <v>2</v>
          </cell>
          <cell r="K378">
            <v>1</v>
          </cell>
          <cell r="M378" t="str">
            <v>04-2425414-4</v>
          </cell>
          <cell r="N378" t="str">
            <v>317-820-731</v>
          </cell>
          <cell r="O378">
            <v>43</v>
          </cell>
          <cell r="P378">
            <v>472</v>
          </cell>
          <cell r="Q378">
            <v>34</v>
          </cell>
          <cell r="R378">
            <v>8</v>
          </cell>
          <cell r="S378">
            <v>0</v>
          </cell>
          <cell r="T378" t="str">
            <v xml:space="preserve">Roshel B. Villegas
Brgy. Sto Tomas Calamba Laguna
0908-691-36-75
</v>
          </cell>
          <cell r="U378" t="str">
            <v>2018-11-03</v>
          </cell>
        </row>
        <row r="379">
          <cell r="C379" t="str">
            <v>N183</v>
          </cell>
          <cell r="D379" t="str">
            <v>Pardilla</v>
          </cell>
          <cell r="E379" t="str">
            <v>Jemar</v>
          </cell>
          <cell r="F379">
            <v>0</v>
          </cell>
          <cell r="G379" t="str">
            <v>Jemar</v>
          </cell>
          <cell r="H379" t="str">
            <v>0949-931-03-56</v>
          </cell>
          <cell r="I379" t="str">
            <v>1997-10-01</v>
          </cell>
          <cell r="J379">
            <v>1</v>
          </cell>
          <cell r="K379">
            <v>1</v>
          </cell>
          <cell r="M379" t="str">
            <v>04-3760659-8</v>
          </cell>
          <cell r="N379" t="str">
            <v>331-664-892</v>
          </cell>
          <cell r="O379">
            <v>43</v>
          </cell>
          <cell r="P379">
            <v>504</v>
          </cell>
          <cell r="Q379">
            <v>69</v>
          </cell>
          <cell r="R379">
            <v>13</v>
          </cell>
          <cell r="S379">
            <v>0</v>
          </cell>
          <cell r="T379" t="str">
            <v xml:space="preserve">Jemarie M. Pardilla
12306 Darasa Tanauan City Batangas
0912-175-61-26
</v>
          </cell>
          <cell r="U379" t="str">
            <v>2018-11-03</v>
          </cell>
        </row>
        <row r="380">
          <cell r="C380" t="str">
            <v>N184</v>
          </cell>
          <cell r="D380" t="str">
            <v>Fontanilla</v>
          </cell>
          <cell r="E380" t="str">
            <v>Kenneth</v>
          </cell>
          <cell r="F380" t="str">
            <v>Delfin</v>
          </cell>
          <cell r="G380" t="str">
            <v>Ken</v>
          </cell>
          <cell r="H380" t="str">
            <v>0950-055-21-42</v>
          </cell>
          <cell r="I380" t="str">
            <v>1995-11-29</v>
          </cell>
          <cell r="J380">
            <v>1</v>
          </cell>
          <cell r="K380">
            <v>1</v>
          </cell>
          <cell r="M380" t="str">
            <v>04-3700857-8</v>
          </cell>
          <cell r="N380" t="str">
            <v>332-299-816</v>
          </cell>
          <cell r="O380">
            <v>55</v>
          </cell>
          <cell r="P380">
            <v>466</v>
          </cell>
          <cell r="Q380">
            <v>33</v>
          </cell>
          <cell r="R380">
            <v>8</v>
          </cell>
          <cell r="S380">
            <v>0</v>
          </cell>
          <cell r="T380" t="str">
            <v xml:space="preserve">Irish D. Fontanilla
Brgy. Diezmo Cabuyao Laguna
0998-792-43-89
</v>
          </cell>
          <cell r="U380" t="str">
            <v>2018-11-03</v>
          </cell>
        </row>
        <row r="381">
          <cell r="C381" t="str">
            <v>N185</v>
          </cell>
          <cell r="D381" t="str">
            <v>MiraÃ±a</v>
          </cell>
          <cell r="E381" t="str">
            <v>Allan</v>
          </cell>
          <cell r="F381" t="str">
            <v>Balading</v>
          </cell>
          <cell r="G381" t="str">
            <v>Lebron</v>
          </cell>
          <cell r="H381" t="str">
            <v>0938-281-21-86</v>
          </cell>
          <cell r="I381" t="str">
            <v>1990-04-30</v>
          </cell>
          <cell r="J381">
            <v>1</v>
          </cell>
          <cell r="K381">
            <v>1</v>
          </cell>
          <cell r="M381" t="str">
            <v>05-1179701-9</v>
          </cell>
          <cell r="N381" t="str">
            <v>446-184-928</v>
          </cell>
          <cell r="O381">
            <v>43</v>
          </cell>
          <cell r="P381">
            <v>466</v>
          </cell>
          <cell r="Q381">
            <v>33</v>
          </cell>
          <cell r="R381">
            <v>8</v>
          </cell>
          <cell r="S381">
            <v>0</v>
          </cell>
          <cell r="T381" t="str">
            <v xml:space="preserve">Alvin B. MiraÃ±a
San Ramon Lagonoy Cam.Sur
0909-557-22-28
</v>
          </cell>
          <cell r="U381" t="str">
            <v>2018-11-03</v>
          </cell>
        </row>
        <row r="382">
          <cell r="C382" t="str">
            <v>N187</v>
          </cell>
          <cell r="D382" t="str">
            <v>Villarde</v>
          </cell>
          <cell r="E382" t="str">
            <v>Jason</v>
          </cell>
          <cell r="F382" t="str">
            <v>Doria</v>
          </cell>
          <cell r="G382" t="str">
            <v>Jaz</v>
          </cell>
          <cell r="H382" t="str">
            <v>0926-638-8274</v>
          </cell>
          <cell r="I382" t="str">
            <v>1995-02-03</v>
          </cell>
          <cell r="J382">
            <v>1</v>
          </cell>
          <cell r="K382">
            <v>2</v>
          </cell>
          <cell r="L382" t="str">
            <v>Angel Sosa Sarmiento</v>
          </cell>
          <cell r="M382" t="str">
            <v>34-3853129-0</v>
          </cell>
          <cell r="N382" t="str">
            <v>462-630-923</v>
          </cell>
          <cell r="O382">
            <v>43</v>
          </cell>
          <cell r="P382">
            <v>342</v>
          </cell>
          <cell r="Q382">
            <v>33</v>
          </cell>
          <cell r="R382">
            <v>8</v>
          </cell>
          <cell r="S382">
            <v>0</v>
          </cell>
          <cell r="T382" t="str">
            <v xml:space="preserve">Angel S. Villarde
0131 Rosal St. St. Christopher II Village, Mayapa Calamba Laguna
0907-451-65-23
</v>
          </cell>
          <cell r="U382" t="str">
            <v>2018-11-03</v>
          </cell>
        </row>
        <row r="383">
          <cell r="C383" t="str">
            <v>N189</v>
          </cell>
          <cell r="D383" t="str">
            <v>Tenorio</v>
          </cell>
          <cell r="E383" t="str">
            <v>Joan</v>
          </cell>
          <cell r="F383" t="str">
            <v>Reduta</v>
          </cell>
          <cell r="G383" t="str">
            <v>Jho</v>
          </cell>
          <cell r="H383" t="str">
            <v>0921-680-50-58</v>
          </cell>
          <cell r="I383" t="str">
            <v>1986-02-17</v>
          </cell>
          <cell r="J383">
            <v>2</v>
          </cell>
          <cell r="K383">
            <v>2</v>
          </cell>
          <cell r="L383" t="str">
            <v>Archie Rivera Tenorio</v>
          </cell>
          <cell r="M383" t="str">
            <v>04-1667697-6</v>
          </cell>
          <cell r="N383" t="str">
            <v>250-017-536</v>
          </cell>
          <cell r="O383">
            <v>32</v>
          </cell>
          <cell r="P383">
            <v>464</v>
          </cell>
          <cell r="Q383">
            <v>36</v>
          </cell>
          <cell r="R383">
            <v>8</v>
          </cell>
          <cell r="S383">
            <v>0</v>
          </cell>
          <cell r="T383" t="str">
            <v xml:space="preserve">Archie R. Tenorio
Soro-soro BiÃ±an Laguna
0947-462-32-02
</v>
          </cell>
          <cell r="U383" t="str">
            <v>2018-11-03</v>
          </cell>
        </row>
        <row r="384">
          <cell r="C384" t="str">
            <v>N190</v>
          </cell>
          <cell r="D384" t="str">
            <v>Autor</v>
          </cell>
          <cell r="E384" t="str">
            <v>Rose Ann</v>
          </cell>
          <cell r="F384" t="str">
            <v>Managle</v>
          </cell>
          <cell r="G384" t="str">
            <v>Rose</v>
          </cell>
          <cell r="H384">
            <v>9098522709</v>
          </cell>
          <cell r="I384" t="str">
            <v>1992-06-16</v>
          </cell>
          <cell r="J384">
            <v>2</v>
          </cell>
          <cell r="K384">
            <v>2</v>
          </cell>
          <cell r="L384" t="str">
            <v>Rexon Mantes Autor</v>
          </cell>
          <cell r="M384" t="str">
            <v>04-2276855-1</v>
          </cell>
          <cell r="N384" t="str">
            <v>426-720-345</v>
          </cell>
          <cell r="O384">
            <v>43</v>
          </cell>
          <cell r="P384">
            <v>393</v>
          </cell>
          <cell r="Q384">
            <v>34</v>
          </cell>
          <cell r="R384">
            <v>8</v>
          </cell>
          <cell r="S384">
            <v>0</v>
          </cell>
          <cell r="T384" t="str">
            <v xml:space="preserve">Rowena L. Managle
Maahas Los BaÃ±os
0933-115-87-45
</v>
          </cell>
          <cell r="U384" t="str">
            <v>2018-11-03</v>
          </cell>
        </row>
        <row r="385">
          <cell r="C385" t="str">
            <v>N191</v>
          </cell>
          <cell r="D385" t="str">
            <v>Custodio</v>
          </cell>
          <cell r="E385" t="str">
            <v>Gemmalyn</v>
          </cell>
          <cell r="F385" t="str">
            <v>Maladaga</v>
          </cell>
          <cell r="G385" t="str">
            <v>Gemma</v>
          </cell>
          <cell r="I385" t="str">
            <v>1991-11-08</v>
          </cell>
          <cell r="J385">
            <v>2</v>
          </cell>
          <cell r="K385">
            <v>1</v>
          </cell>
          <cell r="M385" t="str">
            <v>04-2305293-6</v>
          </cell>
          <cell r="N385" t="str">
            <v>326-799-729</v>
          </cell>
          <cell r="O385">
            <v>43</v>
          </cell>
          <cell r="P385">
            <v>472</v>
          </cell>
          <cell r="Q385">
            <v>34</v>
          </cell>
          <cell r="R385">
            <v>8</v>
          </cell>
          <cell r="S385">
            <v>0</v>
          </cell>
          <cell r="T385" t="str">
            <v xml:space="preserve">Mark Eljicy S. Oliveros
88 National Hi-Way, Banay-banay Cabuyao Laguna
0908-440-45-01 </v>
          </cell>
          <cell r="U385" t="str">
            <v>2018-11-03</v>
          </cell>
        </row>
        <row r="386">
          <cell r="C386" t="str">
            <v>N193</v>
          </cell>
          <cell r="D386" t="str">
            <v>Guera</v>
          </cell>
          <cell r="E386" t="str">
            <v>Arlene</v>
          </cell>
          <cell r="F386" t="str">
            <v>Cada</v>
          </cell>
          <cell r="G386" t="str">
            <v>Lyn</v>
          </cell>
          <cell r="H386" t="str">
            <v>0907-524-49-23</v>
          </cell>
          <cell r="I386" t="str">
            <v>1980-05-12</v>
          </cell>
          <cell r="J386">
            <v>2</v>
          </cell>
          <cell r="K386">
            <v>1</v>
          </cell>
          <cell r="M386" t="str">
            <v>04-3284710-3</v>
          </cell>
          <cell r="N386" t="str">
            <v>201-901-436</v>
          </cell>
          <cell r="O386">
            <v>43</v>
          </cell>
          <cell r="P386">
            <v>146</v>
          </cell>
          <cell r="Q386">
            <v>27</v>
          </cell>
          <cell r="R386">
            <v>6</v>
          </cell>
          <cell r="S386">
            <v>0</v>
          </cell>
          <cell r="T386" t="str">
            <v xml:space="preserve">Annie Guera Bituin 
368 A-Luna St. Majayjay Laguna
0918-438-46-99
</v>
          </cell>
          <cell r="U386" t="str">
            <v>2018-11-03</v>
          </cell>
        </row>
        <row r="387">
          <cell r="C387" t="str">
            <v>N195</v>
          </cell>
          <cell r="D387" t="str">
            <v>Hernandez</v>
          </cell>
          <cell r="E387" t="str">
            <v>Ferdinand</v>
          </cell>
          <cell r="F387" t="str">
            <v>Maranan</v>
          </cell>
          <cell r="G387" t="str">
            <v>Enan</v>
          </cell>
          <cell r="I387" t="str">
            <v>1989-09-05</v>
          </cell>
          <cell r="J387">
            <v>1</v>
          </cell>
          <cell r="K387">
            <v>2</v>
          </cell>
          <cell r="L387" t="str">
            <v>Luningning Napiza Ronquillo</v>
          </cell>
          <cell r="M387" t="str">
            <v>04-1920864-2</v>
          </cell>
          <cell r="N387" t="str">
            <v>264-950-771</v>
          </cell>
          <cell r="O387">
            <v>55</v>
          </cell>
          <cell r="P387">
            <v>384</v>
          </cell>
          <cell r="Q387">
            <v>19</v>
          </cell>
          <cell r="R387">
            <v>4</v>
          </cell>
          <cell r="S387">
            <v>0</v>
          </cell>
          <cell r="T387" t="str">
            <v>Luningning R. Hernandez
Blk 40 Lot 45  San Isidro Hts.San Isidro Cabuyao Laguna
0948-956-6086</v>
          </cell>
          <cell r="U387" t="str">
            <v>2018-11-03</v>
          </cell>
        </row>
        <row r="388">
          <cell r="C388" t="str">
            <v>N135</v>
          </cell>
          <cell r="D388" t="str">
            <v>De Arabia</v>
          </cell>
          <cell r="E388" t="str">
            <v>Lea</v>
          </cell>
          <cell r="F388" t="str">
            <v>Casaysay</v>
          </cell>
          <cell r="G388" t="str">
            <v>Lea</v>
          </cell>
          <cell r="H388" t="str">
            <v>0909-412-33-98</v>
          </cell>
          <cell r="I388" t="str">
            <v>1974-07-30</v>
          </cell>
          <cell r="J388">
            <v>2</v>
          </cell>
          <cell r="K388">
            <v>1</v>
          </cell>
          <cell r="M388" t="str">
            <v>33-4983873-6</v>
          </cell>
          <cell r="N388" t="str">
            <v>332-299-293</v>
          </cell>
          <cell r="O388">
            <v>43</v>
          </cell>
          <cell r="P388">
            <v>493</v>
          </cell>
          <cell r="Q388">
            <v>55</v>
          </cell>
          <cell r="R388">
            <v>11</v>
          </cell>
          <cell r="S388">
            <v>0</v>
          </cell>
          <cell r="T388" t="str">
            <v xml:space="preserve">Mary Cris Opialda
B14 Lot 12 Istana Malagasang Imus Cavite
09164502580
</v>
          </cell>
          <cell r="U388" t="str">
            <v>2018-11-05</v>
          </cell>
        </row>
        <row r="389">
          <cell r="C389" t="str">
            <v>N166</v>
          </cell>
          <cell r="D389" t="str">
            <v>Villaflor</v>
          </cell>
          <cell r="E389" t="str">
            <v>Janzel Ann</v>
          </cell>
          <cell r="F389" t="str">
            <v>Manapol</v>
          </cell>
          <cell r="G389" t="str">
            <v>Janzel</v>
          </cell>
          <cell r="H389">
            <v>9366244803</v>
          </cell>
          <cell r="I389" t="str">
            <v>1997-01-14</v>
          </cell>
          <cell r="J389">
            <v>2</v>
          </cell>
          <cell r="K389">
            <v>1</v>
          </cell>
          <cell r="M389" t="str">
            <v>34-5595182-4</v>
          </cell>
          <cell r="N389" t="str">
            <v>736-738-827</v>
          </cell>
          <cell r="O389">
            <v>43</v>
          </cell>
          <cell r="P389">
            <v>502</v>
          </cell>
          <cell r="Q389">
            <v>62</v>
          </cell>
          <cell r="R389">
            <v>12</v>
          </cell>
          <cell r="S389">
            <v>0</v>
          </cell>
          <cell r="T389" t="str">
            <v xml:space="preserve">Romelita  M. Villaflor
Tugatog, Bongabon NUeva Ecija
0917-106-12-22
</v>
          </cell>
          <cell r="U389" t="str">
            <v>2018-11-05</v>
          </cell>
        </row>
        <row r="390">
          <cell r="C390" t="str">
            <v>N143</v>
          </cell>
          <cell r="D390" t="str">
            <v>Bitara</v>
          </cell>
          <cell r="E390" t="str">
            <v>Gerwin</v>
          </cell>
          <cell r="F390" t="str">
            <v>Bogoc</v>
          </cell>
          <cell r="G390" t="str">
            <v>Win</v>
          </cell>
          <cell r="H390" t="str">
            <v>0916-787-54-10</v>
          </cell>
          <cell r="I390" t="str">
            <v>1994-02-23</v>
          </cell>
          <cell r="J390">
            <v>1</v>
          </cell>
          <cell r="K390">
            <v>1</v>
          </cell>
          <cell r="M390" t="str">
            <v>05-1260420-8</v>
          </cell>
          <cell r="N390" t="str">
            <v>324-583-911</v>
          </cell>
          <cell r="O390">
            <v>43</v>
          </cell>
          <cell r="P390">
            <v>502</v>
          </cell>
          <cell r="Q390">
            <v>62</v>
          </cell>
          <cell r="R390">
            <v>12</v>
          </cell>
          <cell r="S390">
            <v>0</v>
          </cell>
          <cell r="T390" t="str">
            <v xml:space="preserve">Eugenia Bitara
Purok I San Jose, Malilipot Albay
0907-548-45-91
</v>
          </cell>
          <cell r="U390" t="str">
            <v>2018-11-05</v>
          </cell>
        </row>
        <row r="391">
          <cell r="C391" t="str">
            <v>N175</v>
          </cell>
          <cell r="D391" t="str">
            <v>Leonino</v>
          </cell>
          <cell r="E391" t="str">
            <v>Ginalyn</v>
          </cell>
          <cell r="F391" t="str">
            <v>Tercenio</v>
          </cell>
          <cell r="G391" t="str">
            <v>Ghie</v>
          </cell>
          <cell r="H391" t="str">
            <v>0947-103-05-63</v>
          </cell>
          <cell r="I391" t="str">
            <v>1989-07-06</v>
          </cell>
          <cell r="J391">
            <v>2</v>
          </cell>
          <cell r="K391">
            <v>2</v>
          </cell>
          <cell r="L391" t="str">
            <v>Stewart Taburnal Leonino</v>
          </cell>
          <cell r="M391" t="str">
            <v>04-2287756-5</v>
          </cell>
          <cell r="N391" t="str">
            <v>497-849-236</v>
          </cell>
          <cell r="O391">
            <v>43</v>
          </cell>
          <cell r="P391">
            <v>363</v>
          </cell>
          <cell r="Q391">
            <v>34</v>
          </cell>
          <cell r="R391">
            <v>8</v>
          </cell>
          <cell r="S391">
            <v>0</v>
          </cell>
          <cell r="T391" t="str">
            <v xml:space="preserve">Weniefreda B. Tercenio
Zne 1 Sta.Lucia, Nabua Cam. Sur
0921-486-84-06
</v>
          </cell>
          <cell r="U391" t="str">
            <v>2018-11-03</v>
          </cell>
        </row>
        <row r="392">
          <cell r="C392" t="str">
            <v>N165</v>
          </cell>
          <cell r="D392" t="str">
            <v>Salilid</v>
          </cell>
          <cell r="E392" t="str">
            <v>Constancia</v>
          </cell>
          <cell r="F392" t="str">
            <v>Bruce</v>
          </cell>
          <cell r="G392" t="str">
            <v>Connie</v>
          </cell>
          <cell r="H392">
            <v>9777553571</v>
          </cell>
          <cell r="I392" t="str">
            <v>1980-03-11</v>
          </cell>
          <cell r="J392">
            <v>2</v>
          </cell>
          <cell r="K392">
            <v>2</v>
          </cell>
          <cell r="L392" t="str">
            <v>Gerardo Prieto Salilid Jr.</v>
          </cell>
          <cell r="M392" t="str">
            <v>04-3173090-7</v>
          </cell>
          <cell r="N392" t="str">
            <v>351-641-630</v>
          </cell>
          <cell r="O392">
            <v>43</v>
          </cell>
          <cell r="P392">
            <v>493</v>
          </cell>
          <cell r="Q392">
            <v>55</v>
          </cell>
          <cell r="R392">
            <v>11</v>
          </cell>
          <cell r="S392">
            <v>0</v>
          </cell>
          <cell r="T392" t="str">
            <v xml:space="preserve">Gerardo P. Salilid Jr.
869 B Purok 6 Sucat Muntinlupa
0921-556-34-68
</v>
          </cell>
          <cell r="U392" t="str">
            <v>2018-11-05</v>
          </cell>
        </row>
        <row r="393">
          <cell r="C393" t="str">
            <v>N154</v>
          </cell>
          <cell r="D393" t="str">
            <v>Reyes</v>
          </cell>
          <cell r="E393" t="str">
            <v>Marites</v>
          </cell>
          <cell r="F393" t="str">
            <v>Nagrama</v>
          </cell>
          <cell r="G393" t="str">
            <v>Vhong</v>
          </cell>
          <cell r="H393" t="str">
            <v>0938-774-00-93</v>
          </cell>
          <cell r="I393" t="str">
            <v>1976-01-06</v>
          </cell>
          <cell r="J393">
            <v>2</v>
          </cell>
          <cell r="K393">
            <v>1</v>
          </cell>
          <cell r="M393" t="str">
            <v>33-2592652-3</v>
          </cell>
          <cell r="N393" t="str">
            <v>708-726-029</v>
          </cell>
          <cell r="O393">
            <v>43</v>
          </cell>
          <cell r="P393">
            <v>493</v>
          </cell>
          <cell r="Q393">
            <v>55</v>
          </cell>
          <cell r="R393">
            <v>11</v>
          </cell>
          <cell r="S393">
            <v>0</v>
          </cell>
          <cell r="T393" t="str">
            <v>Ailyn N. Reyes
Blk,71, Lot 29 Upper Bicutan Taguig City
0918-477-55-20</v>
          </cell>
          <cell r="U393" t="str">
            <v>2018-11-05</v>
          </cell>
        </row>
        <row r="394">
          <cell r="C394" t="str">
            <v>N188</v>
          </cell>
          <cell r="D394" t="str">
            <v>Marquez</v>
          </cell>
          <cell r="E394" t="str">
            <v>Rechie</v>
          </cell>
          <cell r="F394" t="str">
            <v>Evangelista</v>
          </cell>
          <cell r="G394" t="str">
            <v>Rechie</v>
          </cell>
          <cell r="H394" t="str">
            <v>0910-739-15-61</v>
          </cell>
          <cell r="I394" t="str">
            <v>1990-03-13</v>
          </cell>
          <cell r="J394">
            <v>2</v>
          </cell>
          <cell r="K394">
            <v>1</v>
          </cell>
          <cell r="M394" t="str">
            <v>04-2690761-9</v>
          </cell>
          <cell r="N394" t="str">
            <v>327-337-465</v>
          </cell>
          <cell r="O394">
            <v>43</v>
          </cell>
          <cell r="P394">
            <v>472</v>
          </cell>
          <cell r="Q394">
            <v>34</v>
          </cell>
          <cell r="R394">
            <v>8</v>
          </cell>
          <cell r="S394">
            <v>0</v>
          </cell>
          <cell r="T394" t="str">
            <v xml:space="preserve">ourdes E. Marquez
Calauag, Quezon
0907-308-98-95
</v>
          </cell>
          <cell r="U394" t="str">
            <v>2018-11-03</v>
          </cell>
        </row>
        <row r="395">
          <cell r="C395" t="str">
            <v>N126</v>
          </cell>
          <cell r="D395" t="str">
            <v>Bracero</v>
          </cell>
          <cell r="E395" t="str">
            <v>Catherine</v>
          </cell>
          <cell r="F395" t="str">
            <v>Baluca</v>
          </cell>
          <cell r="G395" t="str">
            <v>Cathy</v>
          </cell>
          <cell r="I395" t="str">
            <v>1985-10-28</v>
          </cell>
          <cell r="J395">
            <v>2</v>
          </cell>
          <cell r="K395">
            <v>2</v>
          </cell>
          <cell r="L395" t="str">
            <v>Dario Coronacion Bracero</v>
          </cell>
          <cell r="M395" t="str">
            <v>05-0592111-8</v>
          </cell>
          <cell r="N395" t="str">
            <v>257-579-346</v>
          </cell>
          <cell r="O395">
            <v>40</v>
          </cell>
          <cell r="P395">
            <v>489</v>
          </cell>
          <cell r="Q395">
            <v>58</v>
          </cell>
          <cell r="R395">
            <v>11</v>
          </cell>
          <cell r="S395">
            <v>0</v>
          </cell>
          <cell r="T395" t="str">
            <v xml:space="preserve">Dario C.Bracero
Brgy. Biclatan General Trias Cavite
0915-737-51-80
</v>
          </cell>
          <cell r="U395" t="str">
            <v>2018-11-05</v>
          </cell>
        </row>
        <row r="396">
          <cell r="C396" t="str">
            <v>N160</v>
          </cell>
          <cell r="D396" t="str">
            <v>Magallon</v>
          </cell>
          <cell r="E396" t="str">
            <v>Chryzzle Ericka Camille</v>
          </cell>
          <cell r="F396" t="str">
            <v>Arro</v>
          </cell>
          <cell r="G396" t="str">
            <v>Cams</v>
          </cell>
          <cell r="H396">
            <v>9077448045</v>
          </cell>
          <cell r="I396" t="str">
            <v>1996-08-31</v>
          </cell>
          <cell r="J396">
            <v>1</v>
          </cell>
          <cell r="K396">
            <v>2</v>
          </cell>
          <cell r="L396" t="str">
            <v>Jerick E. Magallon</v>
          </cell>
          <cell r="M396" t="str">
            <v>04-2977669-8</v>
          </cell>
          <cell r="N396" t="str">
            <v>319-659-575</v>
          </cell>
          <cell r="O396">
            <v>43</v>
          </cell>
          <cell r="P396">
            <v>492</v>
          </cell>
          <cell r="Q396">
            <v>55</v>
          </cell>
          <cell r="R396">
            <v>11</v>
          </cell>
          <cell r="S396">
            <v>0</v>
          </cell>
          <cell r="T396" t="str">
            <v>Jherick E. Magallon
B22 L66 Majada In Canlubang Calamba City
09099088508</v>
          </cell>
          <cell r="U396" t="str">
            <v>2018-11-03</v>
          </cell>
        </row>
        <row r="397">
          <cell r="C397" t="str">
            <v>N173</v>
          </cell>
          <cell r="D397" t="str">
            <v>Medriano</v>
          </cell>
          <cell r="E397" t="str">
            <v>Gerwin Mike</v>
          </cell>
          <cell r="F397" t="str">
            <v>Vinluan</v>
          </cell>
          <cell r="G397" t="str">
            <v>Iven</v>
          </cell>
          <cell r="I397" t="str">
            <v>1992-03-15</v>
          </cell>
          <cell r="J397">
            <v>1</v>
          </cell>
          <cell r="K397">
            <v>1</v>
          </cell>
          <cell r="M397" t="str">
            <v>02-3332315-6</v>
          </cell>
          <cell r="N397" t="str">
            <v>328-585-185</v>
          </cell>
          <cell r="O397">
            <v>43</v>
          </cell>
          <cell r="P397">
            <v>492</v>
          </cell>
          <cell r="Q397">
            <v>55</v>
          </cell>
          <cell r="R397">
            <v>11</v>
          </cell>
          <cell r="S397">
            <v>0</v>
          </cell>
          <cell r="T397" t="str">
            <v xml:space="preserve">Ma. Carolina Medriano
B9 L51 Birmingham Village Pulo Cabuyao Laguna
0950-121-05-60
</v>
          </cell>
          <cell r="U397" t="str">
            <v>2018-11-03</v>
          </cell>
        </row>
        <row r="398">
          <cell r="C398" t="str">
            <v>N196</v>
          </cell>
          <cell r="D398" t="str">
            <v>Victoriano</v>
          </cell>
          <cell r="E398" t="str">
            <v>Randolph</v>
          </cell>
          <cell r="F398" t="str">
            <v>Retarino</v>
          </cell>
          <cell r="G398" t="str">
            <v>Arvie</v>
          </cell>
          <cell r="H398" t="str">
            <v>0920-604-8695</v>
          </cell>
          <cell r="I398" t="str">
            <v>1991-05-02</v>
          </cell>
          <cell r="J398">
            <v>1</v>
          </cell>
          <cell r="K398">
            <v>1</v>
          </cell>
          <cell r="M398" t="str">
            <v>34-2693284-3</v>
          </cell>
          <cell r="N398" t="str">
            <v>317-292-106</v>
          </cell>
          <cell r="O398">
            <v>96</v>
          </cell>
          <cell r="P398">
            <v>470</v>
          </cell>
          <cell r="Q398">
            <v>37</v>
          </cell>
          <cell r="R398">
            <v>8</v>
          </cell>
          <cell r="S398">
            <v>0</v>
          </cell>
          <cell r="T398" t="str">
            <v>Gemma N. Victoriano
B41 L52 San Isidro Heights, 
Brgy. San Isidro, Cabuyao City
0908-212-4366</v>
          </cell>
          <cell r="U398" t="str">
            <v>2018-11-17</v>
          </cell>
        </row>
        <row r="399">
          <cell r="C399" t="str">
            <v>O009</v>
          </cell>
          <cell r="D399" t="str">
            <v>Pua</v>
          </cell>
          <cell r="E399" t="str">
            <v>Paul Adrian</v>
          </cell>
          <cell r="F399" t="str">
            <v>Andres</v>
          </cell>
          <cell r="G399" t="str">
            <v>Paul</v>
          </cell>
          <cell r="I399" t="str">
            <v>1996-09-17</v>
          </cell>
          <cell r="J399">
            <v>1</v>
          </cell>
          <cell r="K399">
            <v>1</v>
          </cell>
          <cell r="M399" t="str">
            <v>04-4183942-9</v>
          </cell>
          <cell r="N399" t="str">
            <v>356-771-265</v>
          </cell>
          <cell r="O399">
            <v>82</v>
          </cell>
          <cell r="P399">
            <v>485</v>
          </cell>
          <cell r="Q399">
            <v>59</v>
          </cell>
          <cell r="R399">
            <v>11</v>
          </cell>
          <cell r="S399">
            <v>0</v>
          </cell>
          <cell r="T399" t="str">
            <v xml:space="preserve">Ramon B. Pua
B10 L18 Centennial Townhomes
Brgy. San Isidro, Cabuyao City
</v>
          </cell>
          <cell r="U399" t="str">
            <v>2019-02-13</v>
          </cell>
        </row>
        <row r="400">
          <cell r="C400" t="str">
            <v>O014</v>
          </cell>
          <cell r="D400" t="str">
            <v>Ramirez</v>
          </cell>
          <cell r="E400" t="str">
            <v>Benjie</v>
          </cell>
          <cell r="F400" t="str">
            <v>Gerolao</v>
          </cell>
          <cell r="G400" t="str">
            <v>Benj</v>
          </cell>
          <cell r="H400" t="str">
            <v>0938-874-7158</v>
          </cell>
          <cell r="I400" t="str">
            <v>1993-01-10</v>
          </cell>
          <cell r="J400">
            <v>1</v>
          </cell>
          <cell r="K400">
            <v>2</v>
          </cell>
          <cell r="L400" t="str">
            <v>Louise Mariel Peralta Fabrero</v>
          </cell>
          <cell r="M400" t="str">
            <v>04-2241556-1</v>
          </cell>
          <cell r="N400" t="str">
            <v>294-150-226</v>
          </cell>
          <cell r="O400">
            <v>86</v>
          </cell>
          <cell r="P400">
            <v>466</v>
          </cell>
          <cell r="Q400">
            <v>33</v>
          </cell>
          <cell r="R400">
            <v>8</v>
          </cell>
          <cell r="S400">
            <v>0</v>
          </cell>
          <cell r="T400" t="str">
            <v>Cynthia G. Ramirez
Sitio Ibayo, Tranca, 
Talisay, Batangas
0949-496-7971</v>
          </cell>
          <cell r="U400" t="str">
            <v>2019-03-20</v>
          </cell>
        </row>
        <row r="401">
          <cell r="C401" t="str">
            <v>O088</v>
          </cell>
          <cell r="D401" t="str">
            <v>Nueva</v>
          </cell>
          <cell r="E401" t="str">
            <v>Anna Marie Malaya</v>
          </cell>
          <cell r="F401" t="str">
            <v>Masanga</v>
          </cell>
          <cell r="G401" t="str">
            <v>Anna</v>
          </cell>
          <cell r="H401" t="str">
            <v>862 5221</v>
          </cell>
          <cell r="I401" t="str">
            <v>1987-08-02</v>
          </cell>
          <cell r="J401">
            <v>2</v>
          </cell>
          <cell r="K401">
            <v>1</v>
          </cell>
          <cell r="L401" t="str">
            <v>Eduardo Bustria Nueva Jr</v>
          </cell>
          <cell r="M401" t="str">
            <v>34-1035312-4</v>
          </cell>
          <cell r="N401" t="str">
            <v>289-576-627</v>
          </cell>
          <cell r="O401">
            <v>10</v>
          </cell>
          <cell r="P401">
            <v>402</v>
          </cell>
          <cell r="Q401">
            <v>51</v>
          </cell>
          <cell r="R401">
            <v>1</v>
          </cell>
          <cell r="S401">
            <v>0</v>
          </cell>
          <cell r="T401" t="str">
            <v>Eduardo B. Nueva Jr
17C Summit Circle,
Bayanan, Muntinlupa City
0935-961-4747</v>
          </cell>
          <cell r="U401" t="str">
            <v>2019-04-08</v>
          </cell>
        </row>
        <row r="402">
          <cell r="C402" t="str">
            <v>O037</v>
          </cell>
          <cell r="D402" t="str">
            <v>Genova</v>
          </cell>
          <cell r="E402" t="str">
            <v>Liezel Mae</v>
          </cell>
          <cell r="F402" t="str">
            <v>Tabin</v>
          </cell>
          <cell r="G402" t="str">
            <v>Liezel</v>
          </cell>
          <cell r="H402" t="str">
            <v>0910 099 2437</v>
          </cell>
          <cell r="I402" t="str">
            <v>1994-09-24</v>
          </cell>
          <cell r="J402">
            <v>2</v>
          </cell>
          <cell r="K402">
            <v>1</v>
          </cell>
          <cell r="M402" t="str">
            <v>04-2641775-6</v>
          </cell>
          <cell r="N402" t="str">
            <v>313-782-026</v>
          </cell>
          <cell r="O402">
            <v>43</v>
          </cell>
          <cell r="P402">
            <v>492</v>
          </cell>
          <cell r="Q402">
            <v>55</v>
          </cell>
          <cell r="R402">
            <v>11</v>
          </cell>
          <cell r="S402">
            <v>0</v>
          </cell>
          <cell r="T402" t="str">
            <v>Francia Sabido
Sta. Rosa, Laguna
0932-217-0402</v>
          </cell>
          <cell r="U402" t="str">
            <v>2019-04-01</v>
          </cell>
        </row>
        <row r="403">
          <cell r="C403" t="str">
            <v>O025</v>
          </cell>
          <cell r="D403" t="str">
            <v>Collado</v>
          </cell>
          <cell r="E403" t="str">
            <v>Eddieson</v>
          </cell>
          <cell r="F403" t="str">
            <v>Hondra</v>
          </cell>
          <cell r="G403" t="str">
            <v>Ed</v>
          </cell>
          <cell r="H403" t="str">
            <v>0912-294-2937</v>
          </cell>
          <cell r="I403" t="str">
            <v>1989-12-17</v>
          </cell>
          <cell r="J403">
            <v>1</v>
          </cell>
          <cell r="K403">
            <v>1</v>
          </cell>
          <cell r="M403" t="str">
            <v>01-2122666-6</v>
          </cell>
          <cell r="N403" t="str">
            <v>438-105-915</v>
          </cell>
          <cell r="O403">
            <v>43</v>
          </cell>
          <cell r="P403">
            <v>502</v>
          </cell>
          <cell r="Q403">
            <v>62</v>
          </cell>
          <cell r="R403">
            <v>12</v>
          </cell>
          <cell r="S403">
            <v>0</v>
          </cell>
          <cell r="T403" t="str">
            <v>Maricris Panotes
San Isidro Hts, Banlic, 
Cabuyao, Laguna
0948-001-2714</v>
          </cell>
          <cell r="U403" t="str">
            <v>2019-04-01</v>
          </cell>
        </row>
        <row r="404">
          <cell r="C404" t="str">
            <v>O016</v>
          </cell>
          <cell r="D404" t="str">
            <v>Misa</v>
          </cell>
          <cell r="E404" t="str">
            <v>Crisanto</v>
          </cell>
          <cell r="F404" t="str">
            <v>Rivera</v>
          </cell>
          <cell r="G404" t="str">
            <v>Cris</v>
          </cell>
          <cell r="H404" t="str">
            <v>0946-814-2105</v>
          </cell>
          <cell r="I404" t="str">
            <v>1985-11-09</v>
          </cell>
          <cell r="J404">
            <v>1</v>
          </cell>
          <cell r="K404">
            <v>1</v>
          </cell>
          <cell r="M404" t="str">
            <v>04-1296412-9</v>
          </cell>
          <cell r="N404" t="str">
            <v>308-070-675</v>
          </cell>
          <cell r="O404">
            <v>32</v>
          </cell>
          <cell r="P404">
            <v>402</v>
          </cell>
          <cell r="Q404">
            <v>51</v>
          </cell>
          <cell r="R404">
            <v>1</v>
          </cell>
          <cell r="S404">
            <v>0</v>
          </cell>
          <cell r="T404" t="str">
            <v>Shella Misa
639 Butong, Cabuyao, Laguna
0947-151-7060</v>
          </cell>
          <cell r="U404" t="str">
            <v>2019-04-01</v>
          </cell>
        </row>
        <row r="405">
          <cell r="C405" t="str">
            <v>O019</v>
          </cell>
          <cell r="D405" t="str">
            <v>Tenorio</v>
          </cell>
          <cell r="E405" t="str">
            <v>Aries</v>
          </cell>
          <cell r="F405" t="str">
            <v>Magan</v>
          </cell>
          <cell r="G405" t="str">
            <v>Aries</v>
          </cell>
          <cell r="H405" t="str">
            <v>0927-315-2715</v>
          </cell>
          <cell r="I405" t="str">
            <v>1991-09-21</v>
          </cell>
          <cell r="J405">
            <v>1</v>
          </cell>
          <cell r="K405">
            <v>1</v>
          </cell>
          <cell r="M405" t="str">
            <v>04-2342333-2</v>
          </cell>
          <cell r="N405" t="str">
            <v>404-647-873</v>
          </cell>
          <cell r="O405">
            <v>43</v>
          </cell>
          <cell r="P405">
            <v>504</v>
          </cell>
          <cell r="Q405">
            <v>69</v>
          </cell>
          <cell r="R405">
            <v>13</v>
          </cell>
          <cell r="S405">
            <v>0</v>
          </cell>
          <cell r="T405" t="str">
            <v>Rose-anne Bahi-an
B14 L11 Done Jose Homes Banlic, Calamba Laguna
0918-720-7660</v>
          </cell>
          <cell r="U405" t="str">
            <v>2019-04-01</v>
          </cell>
        </row>
        <row r="406">
          <cell r="C406" t="str">
            <v>O020</v>
          </cell>
          <cell r="D406" t="str">
            <v>Sagpao</v>
          </cell>
          <cell r="E406" t="str">
            <v>Erwin</v>
          </cell>
          <cell r="F406" t="str">
            <v>Andal</v>
          </cell>
          <cell r="G406" t="str">
            <v>Pao</v>
          </cell>
          <cell r="H406" t="str">
            <v>0908-213-84-57</v>
          </cell>
          <cell r="I406" t="str">
            <v>1986-09-14</v>
          </cell>
          <cell r="J406">
            <v>1</v>
          </cell>
          <cell r="K406">
            <v>2</v>
          </cell>
          <cell r="L406" t="str">
            <v>Reinaleen Causaren Sagpao</v>
          </cell>
          <cell r="M406" t="str">
            <v>34-0055465-8</v>
          </cell>
          <cell r="N406" t="str">
            <v>304-500-392</v>
          </cell>
          <cell r="O406">
            <v>43</v>
          </cell>
          <cell r="P406">
            <v>453</v>
          </cell>
          <cell r="Q406">
            <v>20</v>
          </cell>
          <cell r="R406">
            <v>4</v>
          </cell>
          <cell r="S406">
            <v>0</v>
          </cell>
          <cell r="T406" t="str">
            <v>Reinaleen Sagpao
San Isidro, Cabuyao, Laguna
0921-718-60-81</v>
          </cell>
          <cell r="U406" t="str">
            <v>2019-04-01</v>
          </cell>
        </row>
        <row r="407">
          <cell r="C407" t="str">
            <v>O021</v>
          </cell>
          <cell r="D407" t="str">
            <v>Tucop</v>
          </cell>
          <cell r="E407" t="str">
            <v>Darwin</v>
          </cell>
          <cell r="F407" t="str">
            <v>Sagales</v>
          </cell>
          <cell r="G407" t="str">
            <v>Darwin</v>
          </cell>
          <cell r="H407" t="str">
            <v>0915-123-95-86</v>
          </cell>
          <cell r="I407" t="str">
            <v>1991-01-22</v>
          </cell>
          <cell r="J407">
            <v>1</v>
          </cell>
          <cell r="K407">
            <v>2</v>
          </cell>
          <cell r="L407" t="str">
            <v>Ethel Diaz Lopez</v>
          </cell>
          <cell r="M407" t="str">
            <v>34-1484713-1</v>
          </cell>
          <cell r="N407" t="str">
            <v>310-678-698</v>
          </cell>
          <cell r="O407">
            <v>55</v>
          </cell>
          <cell r="P407">
            <v>433</v>
          </cell>
          <cell r="Q407">
            <v>19</v>
          </cell>
          <cell r="R407">
            <v>4</v>
          </cell>
          <cell r="S407">
            <v>0</v>
          </cell>
          <cell r="T407" t="str">
            <v>Susana S. Tucop
Blk2 Lot48 Southville 7,
Dayap, Calauan, Laguna
0907-319-5216</v>
          </cell>
          <cell r="U407" t="str">
            <v>2019-04-01</v>
          </cell>
        </row>
        <row r="408">
          <cell r="C408" t="str">
            <v>O052</v>
          </cell>
          <cell r="D408" t="str">
            <v>Roque</v>
          </cell>
          <cell r="E408" t="str">
            <v>Monneth Glee Joyce</v>
          </cell>
          <cell r="F408" t="str">
            <v>Abel</v>
          </cell>
          <cell r="G408" t="str">
            <v>Monneth</v>
          </cell>
          <cell r="I408" t="str">
            <v>1997-03-11</v>
          </cell>
          <cell r="J408">
            <v>2</v>
          </cell>
          <cell r="K408">
            <v>1</v>
          </cell>
          <cell r="M408" t="str">
            <v>04-3756128-0</v>
          </cell>
          <cell r="N408" t="str">
            <v>2019-04-01</v>
          </cell>
          <cell r="O408">
            <v>32</v>
          </cell>
          <cell r="P408">
            <v>485</v>
          </cell>
          <cell r="Q408">
            <v>59</v>
          </cell>
          <cell r="R408">
            <v>11</v>
          </cell>
          <cell r="S408">
            <v>0</v>
          </cell>
          <cell r="T408" t="str">
            <v>Roselily A. Roque
Lasam, Cagayan
0955-420-5325</v>
          </cell>
          <cell r="U408" t="str">
            <v>2019-04-01</v>
          </cell>
        </row>
        <row r="409">
          <cell r="C409" t="str">
            <v>O050</v>
          </cell>
          <cell r="D409" t="str">
            <v>Batoon</v>
          </cell>
          <cell r="E409" t="str">
            <v>Jeffrey</v>
          </cell>
          <cell r="F409" t="str">
            <v>Sualog</v>
          </cell>
          <cell r="G409" t="str">
            <v>Jeff</v>
          </cell>
          <cell r="H409">
            <v>9914180699</v>
          </cell>
          <cell r="I409" t="str">
            <v>1990-09-05</v>
          </cell>
          <cell r="J409">
            <v>1</v>
          </cell>
          <cell r="K409">
            <v>2</v>
          </cell>
          <cell r="L409" t="str">
            <v>Arianne Mandanas De Torres</v>
          </cell>
          <cell r="M409" t="str">
            <v>04-2778650-9</v>
          </cell>
          <cell r="N409" t="str">
            <v>323-318-985</v>
          </cell>
          <cell r="O409">
            <v>55</v>
          </cell>
          <cell r="P409">
            <v>485</v>
          </cell>
          <cell r="Q409">
            <v>59</v>
          </cell>
          <cell r="R409">
            <v>11</v>
          </cell>
          <cell r="S409">
            <v>0</v>
          </cell>
          <cell r="T409" t="str">
            <v>Arianne D. Botoon
Phase 2 Block 26 Lot 5A San Isidro Heights
San Isidro Cabuyao City Laguna
09913557470</v>
          </cell>
          <cell r="U409" t="str">
            <v>2019-04-01</v>
          </cell>
        </row>
        <row r="410">
          <cell r="C410" t="str">
            <v>O040</v>
          </cell>
          <cell r="D410" t="str">
            <v>Aruta</v>
          </cell>
          <cell r="E410" t="str">
            <v>Karen</v>
          </cell>
          <cell r="F410" t="str">
            <v>Claus</v>
          </cell>
          <cell r="G410" t="str">
            <v>Rhen</v>
          </cell>
          <cell r="H410">
            <v>9106182563</v>
          </cell>
          <cell r="I410" t="str">
            <v>1988-12-10</v>
          </cell>
          <cell r="J410">
            <v>2</v>
          </cell>
          <cell r="K410">
            <v>1</v>
          </cell>
          <cell r="M410" t="str">
            <v>04-2103863-5</v>
          </cell>
          <cell r="N410" t="str">
            <v>410-687-427</v>
          </cell>
          <cell r="O410">
            <v>43</v>
          </cell>
          <cell r="P410">
            <v>502</v>
          </cell>
          <cell r="Q410">
            <v>62</v>
          </cell>
          <cell r="R410">
            <v>12</v>
          </cell>
          <cell r="S410">
            <v>0</v>
          </cell>
          <cell r="T410" t="str">
            <v>Nyra Aruta
B5 L4 Phase 4 South Ville 5A,
Langkiwa, BiÃ±an City Laguna
0951001598
0918-667-33-30</v>
          </cell>
          <cell r="U410" t="str">
            <v>2019-04-01</v>
          </cell>
        </row>
        <row r="411">
          <cell r="C411" t="str">
            <v>O082</v>
          </cell>
          <cell r="D411" t="str">
            <v>Ocfemia</v>
          </cell>
          <cell r="E411" t="str">
            <v>Mary Ann</v>
          </cell>
          <cell r="F411" t="str">
            <v>Villaraza</v>
          </cell>
          <cell r="G411" t="str">
            <v>Mhean</v>
          </cell>
          <cell r="H411" t="str">
            <v>0949-895-2247</v>
          </cell>
          <cell r="I411" t="str">
            <v>1995-07-01</v>
          </cell>
          <cell r="J411">
            <v>2</v>
          </cell>
          <cell r="K411">
            <v>1</v>
          </cell>
          <cell r="M411" t="str">
            <v>04-3619108-8</v>
          </cell>
          <cell r="N411" t="str">
            <v>322-781-554</v>
          </cell>
          <cell r="O411">
            <v>43</v>
          </cell>
          <cell r="P411">
            <v>472</v>
          </cell>
          <cell r="Q411">
            <v>34</v>
          </cell>
          <cell r="R411">
            <v>8</v>
          </cell>
          <cell r="S411">
            <v>0</v>
          </cell>
          <cell r="T411" t="str">
            <v>Marjorie Targa
Lopez, Quezon
0948-853-7532</v>
          </cell>
          <cell r="U411" t="str">
            <v>2019-04-01</v>
          </cell>
        </row>
        <row r="412">
          <cell r="C412" t="str">
            <v>O048</v>
          </cell>
          <cell r="D412" t="str">
            <v>Mendoza</v>
          </cell>
          <cell r="E412" t="str">
            <v>Venus</v>
          </cell>
          <cell r="F412" t="str">
            <v>Bersabe</v>
          </cell>
          <cell r="G412" t="str">
            <v>Vhe</v>
          </cell>
          <cell r="H412" t="str">
            <v>0948-287-5510</v>
          </cell>
          <cell r="I412" t="str">
            <v>1989-10-22</v>
          </cell>
          <cell r="J412">
            <v>2</v>
          </cell>
          <cell r="K412">
            <v>1</v>
          </cell>
          <cell r="M412" t="str">
            <v>05-1209445-2</v>
          </cell>
          <cell r="N412" t="str">
            <v>488-185-676</v>
          </cell>
          <cell r="O412">
            <v>43</v>
          </cell>
          <cell r="P412">
            <v>502</v>
          </cell>
          <cell r="Q412">
            <v>62</v>
          </cell>
          <cell r="R412">
            <v>12</v>
          </cell>
          <cell r="S412">
            <v>0</v>
          </cell>
          <cell r="T412" t="str">
            <v xml:space="preserve">Hilario Mendoza
Bauan Batangas
0926-687-80-79
</v>
          </cell>
          <cell r="U412" t="str">
            <v>2019-04-01</v>
          </cell>
        </row>
        <row r="413">
          <cell r="C413" t="str">
            <v>O030</v>
          </cell>
          <cell r="D413" t="str">
            <v>Javier</v>
          </cell>
          <cell r="E413" t="str">
            <v>Jelliebeth</v>
          </cell>
          <cell r="F413" t="str">
            <v>Suezo</v>
          </cell>
          <cell r="G413" t="str">
            <v>Jhelie</v>
          </cell>
          <cell r="H413">
            <v>9270191649</v>
          </cell>
          <cell r="I413" t="str">
            <v>1993-02-19</v>
          </cell>
          <cell r="J413">
            <v>2</v>
          </cell>
          <cell r="K413">
            <v>1</v>
          </cell>
          <cell r="M413" t="str">
            <v>04-2259791-3</v>
          </cell>
          <cell r="N413" t="str">
            <v>308-995-604</v>
          </cell>
          <cell r="O413">
            <v>41</v>
          </cell>
          <cell r="P413">
            <v>502</v>
          </cell>
          <cell r="Q413">
            <v>62</v>
          </cell>
          <cell r="R413">
            <v>12</v>
          </cell>
          <cell r="S413">
            <v>0</v>
          </cell>
          <cell r="T413" t="str">
            <v xml:space="preserve">Melitona S. Javier
72 Brgy. Puting Lupa Calamba City
0936-758-95-50
</v>
          </cell>
          <cell r="U413" t="str">
            <v>2019-04-01</v>
          </cell>
        </row>
        <row r="414">
          <cell r="C414" t="str">
            <v>O045</v>
          </cell>
          <cell r="D414" t="str">
            <v>Preclaro</v>
          </cell>
          <cell r="E414" t="str">
            <v>Rosanna</v>
          </cell>
          <cell r="F414" t="str">
            <v>Bruce</v>
          </cell>
          <cell r="G414" t="str">
            <v>Osang</v>
          </cell>
          <cell r="H414" t="str">
            <v>0938-772-43-76</v>
          </cell>
          <cell r="I414" t="str">
            <v>1991-07-20</v>
          </cell>
          <cell r="J414">
            <v>2</v>
          </cell>
          <cell r="K414">
            <v>2</v>
          </cell>
          <cell r="L414" t="str">
            <v>Bingbong EspaÃ±ol Preclaro</v>
          </cell>
          <cell r="M414" t="str">
            <v>34-1683922-8</v>
          </cell>
          <cell r="N414" t="str">
            <v>342-989-841</v>
          </cell>
          <cell r="O414">
            <v>43</v>
          </cell>
          <cell r="P414">
            <v>493</v>
          </cell>
          <cell r="Q414">
            <v>55</v>
          </cell>
          <cell r="R414">
            <v>11</v>
          </cell>
          <cell r="S414">
            <v>0</v>
          </cell>
          <cell r="T414" t="str">
            <v>Robert M. Bruce
Christopher Mayapa Calamba Laguna
09463624724</v>
          </cell>
          <cell r="U414" t="str">
            <v>2019-04-01</v>
          </cell>
        </row>
        <row r="415">
          <cell r="C415" t="str">
            <v>O086</v>
          </cell>
          <cell r="D415" t="str">
            <v>Sanchez</v>
          </cell>
          <cell r="E415" t="str">
            <v>Richard</v>
          </cell>
          <cell r="F415" t="str">
            <v>Dayawon</v>
          </cell>
          <cell r="G415" t="str">
            <v>Chard</v>
          </cell>
          <cell r="H415" t="str">
            <v>0945-819-2923</v>
          </cell>
          <cell r="I415" t="str">
            <v>1991-04-19</v>
          </cell>
          <cell r="J415">
            <v>1</v>
          </cell>
          <cell r="K415">
            <v>1</v>
          </cell>
          <cell r="M415" t="str">
            <v>04-2424473-0</v>
          </cell>
          <cell r="N415" t="str">
            <v>412-158-080</v>
          </cell>
          <cell r="O415">
            <v>40</v>
          </cell>
          <cell r="P415">
            <v>349</v>
          </cell>
          <cell r="Q415">
            <v>35</v>
          </cell>
          <cell r="R415">
            <v>8</v>
          </cell>
          <cell r="S415">
            <v>0</v>
          </cell>
          <cell r="T415" t="str">
            <v>Anne Natanauan
Bgy. Hornalan, Calamba City, Laguna
0945-720-1148</v>
          </cell>
          <cell r="U415" t="str">
            <v>2019-04-01</v>
          </cell>
        </row>
        <row r="416">
          <cell r="C416" t="str">
            <v>O047</v>
          </cell>
          <cell r="D416" t="str">
            <v>Plata</v>
          </cell>
          <cell r="E416" t="str">
            <v>Mhirapaz</v>
          </cell>
          <cell r="F416" t="str">
            <v>Ricafort</v>
          </cell>
          <cell r="G416" t="str">
            <v>Mira</v>
          </cell>
          <cell r="I416" t="str">
            <v>1987-05-15</v>
          </cell>
          <cell r="J416">
            <v>2</v>
          </cell>
          <cell r="K416">
            <v>1</v>
          </cell>
          <cell r="M416" t="str">
            <v>04-1682335-0</v>
          </cell>
          <cell r="N416" t="str">
            <v>301-871-788</v>
          </cell>
          <cell r="O416">
            <v>43</v>
          </cell>
          <cell r="P416">
            <v>492</v>
          </cell>
          <cell r="Q416">
            <v>55</v>
          </cell>
          <cell r="R416">
            <v>11</v>
          </cell>
          <cell r="S416">
            <v>0</v>
          </cell>
          <cell r="T416" t="str">
            <v xml:space="preserve">Miraflor Plata
DoÃ±a Concha Subd. Brgy. Mamala II, Sariaya Quezon
0918-387-75-68
</v>
          </cell>
          <cell r="U416" t="str">
            <v>2019-04-01</v>
          </cell>
        </row>
        <row r="417">
          <cell r="C417" t="str">
            <v>O049</v>
          </cell>
          <cell r="D417" t="str">
            <v>Hamoy</v>
          </cell>
          <cell r="E417" t="str">
            <v>Romel</v>
          </cell>
          <cell r="F417" t="str">
            <v>Rosales</v>
          </cell>
          <cell r="G417" t="str">
            <v>Omeng</v>
          </cell>
          <cell r="H417" t="str">
            <v>0917-667-93-11</v>
          </cell>
          <cell r="I417" t="str">
            <v>1990-01-09</v>
          </cell>
          <cell r="J417">
            <v>1</v>
          </cell>
          <cell r="K417">
            <v>1</v>
          </cell>
          <cell r="M417" t="str">
            <v>10-1035214-5</v>
          </cell>
          <cell r="N417" t="str">
            <v>421-391-205</v>
          </cell>
          <cell r="O417">
            <v>43</v>
          </cell>
          <cell r="P417">
            <v>502</v>
          </cell>
          <cell r="Q417">
            <v>62</v>
          </cell>
          <cell r="R417">
            <v>12</v>
          </cell>
          <cell r="S417">
            <v>0</v>
          </cell>
          <cell r="T417" t="str">
            <v xml:space="preserve">Fragiline Medice
Mayapa Calamba Laguna
0930-833-5383
</v>
          </cell>
          <cell r="U417" t="str">
            <v>2019-04-01</v>
          </cell>
        </row>
        <row r="418">
          <cell r="C418" t="str">
            <v>O028</v>
          </cell>
          <cell r="D418" t="str">
            <v>Principe</v>
          </cell>
          <cell r="E418" t="str">
            <v>Orlanda</v>
          </cell>
          <cell r="F418" t="str">
            <v>Garcia</v>
          </cell>
          <cell r="G418" t="str">
            <v>Landa</v>
          </cell>
          <cell r="H418" t="str">
            <v>0908-130-5018</v>
          </cell>
          <cell r="I418" t="str">
            <v>1995-10-14</v>
          </cell>
          <cell r="J418">
            <v>2</v>
          </cell>
          <cell r="K418">
            <v>2</v>
          </cell>
          <cell r="L418" t="str">
            <v>Jay Jay Lubiano Principe</v>
          </cell>
          <cell r="M418" t="str">
            <v>04-2913295-7</v>
          </cell>
          <cell r="N418" t="str">
            <v>332-300-185</v>
          </cell>
          <cell r="O418">
            <v>43</v>
          </cell>
          <cell r="P418">
            <v>492</v>
          </cell>
          <cell r="Q418">
            <v>55</v>
          </cell>
          <cell r="R418">
            <v>11</v>
          </cell>
          <cell r="S418">
            <v>0</v>
          </cell>
          <cell r="T418" t="str">
            <v>Maribeth Albania
B6 L33 Ph3 SV4 Sta. Rosa Laguna
0910-899-7456</v>
          </cell>
          <cell r="U418" t="str">
            <v>2019-04-01</v>
          </cell>
        </row>
        <row r="419">
          <cell r="C419" t="str">
            <v>O055</v>
          </cell>
          <cell r="D419" t="str">
            <v>De Luna</v>
          </cell>
          <cell r="E419" t="str">
            <v>Princess</v>
          </cell>
          <cell r="F419" t="str">
            <v>Villanueva</v>
          </cell>
          <cell r="G419" t="str">
            <v>Cess</v>
          </cell>
          <cell r="H419" t="str">
            <v>0966-273-74-99</v>
          </cell>
          <cell r="I419" t="str">
            <v>1989-01-01</v>
          </cell>
          <cell r="J419">
            <v>2</v>
          </cell>
          <cell r="K419">
            <v>1</v>
          </cell>
          <cell r="M419" t="str">
            <v>04-1804948-8</v>
          </cell>
          <cell r="N419" t="str">
            <v>312-964-927</v>
          </cell>
          <cell r="O419">
            <v>40</v>
          </cell>
          <cell r="P419">
            <v>500</v>
          </cell>
          <cell r="Q419">
            <v>65</v>
          </cell>
          <cell r="R419">
            <v>12</v>
          </cell>
          <cell r="S419">
            <v>0</v>
          </cell>
          <cell r="T419" t="str">
            <v xml:space="preserve">Precylla De Luna
Silangan Kabubuhayan Nagcarlan Laguna
0966-273-74-99
</v>
          </cell>
          <cell r="U419" t="str">
            <v>2019-04-01</v>
          </cell>
        </row>
        <row r="420">
          <cell r="C420" t="str">
            <v>O022</v>
          </cell>
          <cell r="D420" t="str">
            <v>Dalupang</v>
          </cell>
          <cell r="E420" t="str">
            <v>Jimmy</v>
          </cell>
          <cell r="F420" t="str">
            <v>De Leon</v>
          </cell>
          <cell r="G420" t="str">
            <v>Jhim</v>
          </cell>
          <cell r="H420" t="str">
            <v>0932-311-9868</v>
          </cell>
          <cell r="I420" t="str">
            <v>1972-09-13</v>
          </cell>
          <cell r="J420">
            <v>1</v>
          </cell>
          <cell r="K420">
            <v>2</v>
          </cell>
          <cell r="L420" t="str">
            <v>Michelle Cipriano Magboo</v>
          </cell>
          <cell r="M420" t="str">
            <v>33-3224625-4</v>
          </cell>
          <cell r="N420" t="str">
            <v>183-150-052</v>
          </cell>
          <cell r="O420">
            <v>55</v>
          </cell>
          <cell r="P420">
            <v>437</v>
          </cell>
          <cell r="Q420">
            <v>19</v>
          </cell>
          <cell r="R420">
            <v>4</v>
          </cell>
          <cell r="S420">
            <v>0</v>
          </cell>
          <cell r="T420" t="str">
            <v>Michelle M. Dalupang
77 Col. Bravo St, Zone 3,
Signal Village, Taguig City
0939-398-3543</v>
          </cell>
          <cell r="U420" t="str">
            <v>2019-04-01</v>
          </cell>
        </row>
        <row r="421">
          <cell r="C421" t="str">
            <v>O026</v>
          </cell>
          <cell r="D421" t="str">
            <v>Datoon</v>
          </cell>
          <cell r="E421" t="str">
            <v>Marnelli</v>
          </cell>
          <cell r="F421" t="str">
            <v>Salgado</v>
          </cell>
          <cell r="G421" t="str">
            <v>Marnels</v>
          </cell>
          <cell r="H421" t="str">
            <v>0917-667-93-11</v>
          </cell>
          <cell r="I421" t="str">
            <v>1990-04-25</v>
          </cell>
          <cell r="J421">
            <v>2</v>
          </cell>
          <cell r="K421">
            <v>2</v>
          </cell>
          <cell r="L421" t="str">
            <v>Darlan Vargas Datoon</v>
          </cell>
          <cell r="M421" t="str">
            <v>04-2149166-7</v>
          </cell>
          <cell r="N421" t="str">
            <v>293-528-810</v>
          </cell>
          <cell r="O421">
            <v>43</v>
          </cell>
          <cell r="P421">
            <v>492</v>
          </cell>
          <cell r="Q421">
            <v>55</v>
          </cell>
          <cell r="R421">
            <v>11</v>
          </cell>
          <cell r="S421">
            <v>0</v>
          </cell>
          <cell r="T421" t="str">
            <v xml:space="preserve">Darlan V. Datoon
Banlic, Cabuyao, Laguna
0997-516-1365
</v>
          </cell>
          <cell r="U421" t="str">
            <v>2019-04-01</v>
          </cell>
        </row>
        <row r="422">
          <cell r="C422" t="str">
            <v>O031</v>
          </cell>
          <cell r="D422" t="str">
            <v>Pelingon</v>
          </cell>
          <cell r="E422" t="str">
            <v>Ariel</v>
          </cell>
          <cell r="F422" t="str">
            <v>Albuero</v>
          </cell>
          <cell r="G422" t="str">
            <v>Yhel</v>
          </cell>
          <cell r="H422" t="str">
            <v>0946-745-49-37</v>
          </cell>
          <cell r="I422" t="str">
            <v>1992-12-02</v>
          </cell>
          <cell r="J422">
            <v>1</v>
          </cell>
          <cell r="K422">
            <v>1</v>
          </cell>
          <cell r="M422" t="str">
            <v>04-2734224-4</v>
          </cell>
          <cell r="N422" t="str">
            <v>494-374-641</v>
          </cell>
          <cell r="O422">
            <v>43</v>
          </cell>
          <cell r="P422">
            <v>502</v>
          </cell>
          <cell r="Q422">
            <v>62</v>
          </cell>
          <cell r="R422">
            <v>12</v>
          </cell>
          <cell r="S422">
            <v>0</v>
          </cell>
          <cell r="T422" t="str">
            <v xml:space="preserve">Marlene Pelingon
Banlic Cabuyao Laguna
0930-796-09-33
</v>
          </cell>
          <cell r="U422" t="str">
            <v>2019-04-01</v>
          </cell>
        </row>
        <row r="423">
          <cell r="C423" t="str">
            <v>O043</v>
          </cell>
          <cell r="D423" t="str">
            <v>Demata</v>
          </cell>
          <cell r="E423" t="str">
            <v>Rosebie</v>
          </cell>
          <cell r="F423" t="str">
            <v>Resulta</v>
          </cell>
          <cell r="G423" t="str">
            <v>Bhie</v>
          </cell>
          <cell r="H423" t="str">
            <v>0927-775-31-52</v>
          </cell>
          <cell r="I423" t="str">
            <v>1984-05-22</v>
          </cell>
          <cell r="J423">
            <v>2</v>
          </cell>
          <cell r="K423">
            <v>1</v>
          </cell>
          <cell r="M423" t="str">
            <v>33-7548245-7</v>
          </cell>
          <cell r="N423" t="str">
            <v>251-544-206</v>
          </cell>
          <cell r="O423">
            <v>43</v>
          </cell>
          <cell r="P423">
            <v>493</v>
          </cell>
          <cell r="Q423">
            <v>55</v>
          </cell>
          <cell r="R423">
            <v>11</v>
          </cell>
          <cell r="S423">
            <v>0</v>
          </cell>
          <cell r="T423" t="str">
            <v xml:space="preserve">Adelaida Demata
#16  Catindig Subd. Brgy . Gulod Cabuyao Laguna
0936-505-60-41
0936-505-60-41
</v>
          </cell>
          <cell r="U423" t="str">
            <v>2019-04-01</v>
          </cell>
        </row>
        <row r="424">
          <cell r="C424" t="str">
            <v>O036</v>
          </cell>
          <cell r="D424" t="str">
            <v>Putot</v>
          </cell>
          <cell r="E424" t="str">
            <v>Merlyn</v>
          </cell>
          <cell r="F424" t="str">
            <v>Araojo</v>
          </cell>
          <cell r="G424" t="str">
            <v>Mai</v>
          </cell>
          <cell r="H424" t="str">
            <v>0907-516-7738</v>
          </cell>
          <cell r="I424" t="str">
            <v>1994-02-28</v>
          </cell>
          <cell r="J424">
            <v>2</v>
          </cell>
          <cell r="K424">
            <v>1</v>
          </cell>
          <cell r="M424" t="str">
            <v>34-5827092-6</v>
          </cell>
          <cell r="N424" t="str">
            <v>331-939-101</v>
          </cell>
          <cell r="O424">
            <v>43</v>
          </cell>
          <cell r="P424">
            <v>492</v>
          </cell>
          <cell r="Q424">
            <v>55</v>
          </cell>
          <cell r="R424">
            <v>11</v>
          </cell>
          <cell r="S424">
            <v>0</v>
          </cell>
          <cell r="T424" t="str">
            <v>John Michael O. Bernabe
Blk 11 Lot 20, Majada In, Canlubang, Calamba City</v>
          </cell>
          <cell r="U424" t="str">
            <v>2019-04-01</v>
          </cell>
        </row>
        <row r="425">
          <cell r="C425" t="str">
            <v>O085</v>
          </cell>
          <cell r="D425" t="str">
            <v>Eisma</v>
          </cell>
          <cell r="E425" t="str">
            <v>Ronald</v>
          </cell>
          <cell r="F425" t="str">
            <v>Fabrigar</v>
          </cell>
          <cell r="G425" t="str">
            <v>Rhon</v>
          </cell>
          <cell r="H425" t="str">
            <v>0966-693-7888</v>
          </cell>
          <cell r="I425" t="str">
            <v>1993-11-02</v>
          </cell>
          <cell r="J425">
            <v>1</v>
          </cell>
          <cell r="K425">
            <v>1</v>
          </cell>
          <cell r="M425" t="str">
            <v>04-2450283-8</v>
          </cell>
          <cell r="N425" t="str">
            <v>438-617-991</v>
          </cell>
          <cell r="O425">
            <v>40</v>
          </cell>
          <cell r="P425">
            <v>468</v>
          </cell>
          <cell r="Q425">
            <v>35</v>
          </cell>
          <cell r="R425">
            <v>8</v>
          </cell>
          <cell r="S425">
            <v>0</v>
          </cell>
          <cell r="T425" t="str">
            <v>Ester Eisma
San Lorenzo Ruiz St,
Mayapa, Calamba City, Laguna
0966-693-7888</v>
          </cell>
          <cell r="U425" t="str">
            <v>2019-04-01</v>
          </cell>
        </row>
        <row r="426">
          <cell r="C426" t="str">
            <v>O042</v>
          </cell>
          <cell r="D426" t="str">
            <v>Dizon</v>
          </cell>
          <cell r="E426" t="str">
            <v>Maria Eula</v>
          </cell>
          <cell r="F426" t="str">
            <v>Paguio</v>
          </cell>
          <cell r="G426" t="str">
            <v>Eula</v>
          </cell>
          <cell r="H426" t="str">
            <v>0940-071-95-66</v>
          </cell>
          <cell r="I426" t="str">
            <v>1989-09-27</v>
          </cell>
          <cell r="J426">
            <v>2</v>
          </cell>
          <cell r="K426">
            <v>1</v>
          </cell>
          <cell r="M426" t="str">
            <v>04-1584766-7</v>
          </cell>
          <cell r="N426" t="str">
            <v>303-337-703</v>
          </cell>
          <cell r="O426">
            <v>43</v>
          </cell>
          <cell r="P426">
            <v>502</v>
          </cell>
          <cell r="Q426">
            <v>62</v>
          </cell>
          <cell r="R426">
            <v>12</v>
          </cell>
          <cell r="S426">
            <v>0</v>
          </cell>
          <cell r="T426" t="str">
            <v>Conrado A. Dizon
34 A San Juan Calamba Laguna
0909-100-55-51</v>
          </cell>
          <cell r="U426" t="str">
            <v>2019-04-01</v>
          </cell>
        </row>
        <row r="427">
          <cell r="C427" t="str">
            <v>O024</v>
          </cell>
          <cell r="D427" t="str">
            <v>Borbe</v>
          </cell>
          <cell r="E427" t="str">
            <v>Teresa</v>
          </cell>
          <cell r="F427" t="str">
            <v>Virata</v>
          </cell>
          <cell r="G427" t="str">
            <v>Tisay</v>
          </cell>
          <cell r="H427" t="str">
            <v>0912-483-49-72</v>
          </cell>
          <cell r="I427" t="str">
            <v>1993-05-24</v>
          </cell>
          <cell r="J427">
            <v>2</v>
          </cell>
          <cell r="K427">
            <v>1</v>
          </cell>
          <cell r="M427" t="str">
            <v>04-2706521-7</v>
          </cell>
          <cell r="N427" t="str">
            <v>332-298-313</v>
          </cell>
          <cell r="O427">
            <v>43</v>
          </cell>
          <cell r="P427">
            <v>502</v>
          </cell>
          <cell r="Q427">
            <v>62</v>
          </cell>
          <cell r="R427">
            <v>12</v>
          </cell>
          <cell r="S427">
            <v>0</v>
          </cell>
          <cell r="T427" t="str">
            <v xml:space="preserve">Rosina Borbe
B16 L11 Brgy. Pooc Pabahay Vill. 1, Sta. Rosa Laguna
0909-997-66-93
</v>
          </cell>
          <cell r="U427" t="str">
            <v>2019-04-01</v>
          </cell>
        </row>
        <row r="428">
          <cell r="C428" t="str">
            <v>O059</v>
          </cell>
          <cell r="D428" t="str">
            <v>Solito</v>
          </cell>
          <cell r="E428" t="str">
            <v>Ginalyn</v>
          </cell>
          <cell r="F428" t="str">
            <v>Balayan</v>
          </cell>
          <cell r="G428" t="str">
            <v>Gina</v>
          </cell>
          <cell r="H428" t="str">
            <v>0965-273-8606</v>
          </cell>
          <cell r="I428" t="str">
            <v>1986-11-25</v>
          </cell>
          <cell r="J428">
            <v>2</v>
          </cell>
          <cell r="K428">
            <v>2</v>
          </cell>
          <cell r="L428" t="str">
            <v>Alfonso Carag Solito</v>
          </cell>
          <cell r="M428" t="str">
            <v>04-1877113-8</v>
          </cell>
          <cell r="N428" t="str">
            <v>256-541-919</v>
          </cell>
          <cell r="O428">
            <v>43</v>
          </cell>
          <cell r="P428">
            <v>472</v>
          </cell>
          <cell r="Q428">
            <v>34</v>
          </cell>
          <cell r="R428">
            <v>8</v>
          </cell>
          <cell r="S428">
            <v>0</v>
          </cell>
          <cell r="T428" t="str">
            <v>Alfonso C. Solito
Purok 5 CVL Mayapa, Cal. City
0965-273-8606</v>
          </cell>
          <cell r="U428" t="str">
            <v>2019-04-01</v>
          </cell>
        </row>
        <row r="429">
          <cell r="C429" t="str">
            <v>O023</v>
          </cell>
          <cell r="D429" t="str">
            <v>Bahi-An</v>
          </cell>
          <cell r="E429" t="str">
            <v>Rose-Anne</v>
          </cell>
          <cell r="F429" t="str">
            <v>Dela Cruz</v>
          </cell>
          <cell r="G429" t="str">
            <v>Ans</v>
          </cell>
          <cell r="H429" t="str">
            <v>0918-720-76-60</v>
          </cell>
          <cell r="I429" t="str">
            <v>1988-02-12</v>
          </cell>
          <cell r="J429">
            <v>2</v>
          </cell>
          <cell r="K429">
            <v>1</v>
          </cell>
          <cell r="M429" t="str">
            <v>04-1637253-9</v>
          </cell>
          <cell r="N429" t="str">
            <v>332-297-482</v>
          </cell>
          <cell r="O429">
            <v>43</v>
          </cell>
          <cell r="P429">
            <v>492</v>
          </cell>
          <cell r="Q429">
            <v>55</v>
          </cell>
          <cell r="R429">
            <v>11</v>
          </cell>
          <cell r="S429">
            <v>0</v>
          </cell>
          <cell r="T429" t="str">
            <v xml:space="preserve">Hazel B. Ercia
Cardinal St. Sampiruhan Calamba City
0919-927-10-63
</v>
          </cell>
          <cell r="U429" t="str">
            <v>2019-04-01</v>
          </cell>
        </row>
        <row r="430">
          <cell r="C430" t="str">
            <v>O051</v>
          </cell>
          <cell r="D430" t="str">
            <v>Gallanosa</v>
          </cell>
          <cell r="E430" t="str">
            <v>John Ray</v>
          </cell>
          <cell r="F430" t="str">
            <v>Fremista</v>
          </cell>
          <cell r="G430" t="str">
            <v>J.R.</v>
          </cell>
          <cell r="H430" t="str">
            <v>0921-438-68-32</v>
          </cell>
          <cell r="I430" t="str">
            <v>1991-08-19</v>
          </cell>
          <cell r="J430">
            <v>1</v>
          </cell>
          <cell r="K430">
            <v>2</v>
          </cell>
          <cell r="L430" t="str">
            <v>Jiemarry Cunanan Dante</v>
          </cell>
          <cell r="M430" t="str">
            <v>04-2454505-7</v>
          </cell>
          <cell r="N430" t="str">
            <v>313-873-869</v>
          </cell>
          <cell r="O430">
            <v>55</v>
          </cell>
          <cell r="P430">
            <v>485</v>
          </cell>
          <cell r="Q430">
            <v>59</v>
          </cell>
          <cell r="R430">
            <v>11</v>
          </cell>
          <cell r="S430">
            <v>0</v>
          </cell>
          <cell r="T430" t="str">
            <v>Jiemarry D. Gallanosa
Paciano Rizal Calamba Laguna
0948-979-72-97</v>
          </cell>
          <cell r="U430" t="str">
            <v>2019-04-01</v>
          </cell>
        </row>
        <row r="431">
          <cell r="C431" t="str">
            <v>O084</v>
          </cell>
          <cell r="D431" t="str">
            <v>Marayan</v>
          </cell>
          <cell r="E431" t="str">
            <v>Arnel</v>
          </cell>
          <cell r="F431" t="str">
            <v>Pabate</v>
          </cell>
          <cell r="G431" t="str">
            <v>Nel</v>
          </cell>
          <cell r="H431" t="str">
            <v>0995-850-59-26</v>
          </cell>
          <cell r="I431" t="str">
            <v>1987-02-19</v>
          </cell>
          <cell r="J431">
            <v>1</v>
          </cell>
          <cell r="K431">
            <v>2</v>
          </cell>
          <cell r="L431" t="str">
            <v>Lourdeslaine D. Marayan</v>
          </cell>
          <cell r="M431" t="str">
            <v>04-1609829-5</v>
          </cell>
          <cell r="N431" t="str">
            <v>245-232-001</v>
          </cell>
          <cell r="O431">
            <v>55</v>
          </cell>
          <cell r="P431">
            <v>342</v>
          </cell>
          <cell r="Q431">
            <v>33</v>
          </cell>
          <cell r="R431">
            <v>8</v>
          </cell>
          <cell r="S431">
            <v>0</v>
          </cell>
          <cell r="T431" t="str">
            <v>Lourdeslaine D. Marayan
Rosal St. Farconville Brgy. Parian Calamba Laguna
0936-631-94-20</v>
          </cell>
          <cell r="U431" t="str">
            <v>2019-04-01</v>
          </cell>
        </row>
        <row r="432">
          <cell r="C432" t="str">
            <v>O038</v>
          </cell>
          <cell r="D432" t="str">
            <v>Obligar</v>
          </cell>
          <cell r="E432" t="str">
            <v>Jebethliz</v>
          </cell>
          <cell r="F432">
            <v>0</v>
          </cell>
          <cell r="G432" t="str">
            <v>Jebeth</v>
          </cell>
          <cell r="H432" t="str">
            <v>0946-057-04-09</v>
          </cell>
          <cell r="I432" t="str">
            <v>1993-07-13</v>
          </cell>
          <cell r="J432">
            <v>2</v>
          </cell>
          <cell r="K432">
            <v>1</v>
          </cell>
          <cell r="M432" t="str">
            <v>04-2430944-2</v>
          </cell>
          <cell r="N432" t="str">
            <v>309-976-090</v>
          </cell>
          <cell r="O432">
            <v>43</v>
          </cell>
          <cell r="P432">
            <v>502</v>
          </cell>
          <cell r="Q432">
            <v>62</v>
          </cell>
          <cell r="R432">
            <v>12</v>
          </cell>
          <cell r="S432">
            <v>0</v>
          </cell>
          <cell r="T432" t="str">
            <v>Jessie Boral 
Redemtorist Baclaran City
0909-628-08-86</v>
          </cell>
          <cell r="U432" t="str">
            <v>2019-04-01</v>
          </cell>
        </row>
        <row r="433">
          <cell r="C433" t="str">
            <v>O015</v>
          </cell>
          <cell r="D433" t="str">
            <v>Cap-atan</v>
          </cell>
          <cell r="E433" t="str">
            <v>William</v>
          </cell>
          <cell r="F433" t="str">
            <v>Samonteza</v>
          </cell>
          <cell r="G433" t="str">
            <v>Yam</v>
          </cell>
          <cell r="H433" t="str">
            <v>0935-961-9176</v>
          </cell>
          <cell r="I433" t="str">
            <v>1998-01-21</v>
          </cell>
          <cell r="J433">
            <v>1</v>
          </cell>
          <cell r="K433">
            <v>1</v>
          </cell>
          <cell r="M433" t="str">
            <v>34-6485099-0</v>
          </cell>
          <cell r="N433" t="str">
            <v>490-379-895</v>
          </cell>
          <cell r="O433">
            <v>31</v>
          </cell>
          <cell r="P433">
            <v>403</v>
          </cell>
          <cell r="Q433">
            <v>51</v>
          </cell>
          <cell r="R433">
            <v>1</v>
          </cell>
          <cell r="S433">
            <v>0</v>
          </cell>
          <cell r="T433" t="str">
            <v>Monaliza S. Cap-atan
Nasugbu, Batangas
0917-830-3319</v>
          </cell>
          <cell r="U433" t="str">
            <v>2019-04-01</v>
          </cell>
        </row>
        <row r="434">
          <cell r="C434" t="str">
            <v>O064</v>
          </cell>
          <cell r="D434" t="str">
            <v>Jardin</v>
          </cell>
          <cell r="E434" t="str">
            <v>Kent Marlon</v>
          </cell>
          <cell r="F434" t="str">
            <v>Salvaleon</v>
          </cell>
          <cell r="G434" t="str">
            <v>Kent</v>
          </cell>
          <cell r="H434" t="str">
            <v>0946-754-41-81</v>
          </cell>
          <cell r="I434" t="str">
            <v>1988-12-12</v>
          </cell>
          <cell r="J434">
            <v>1</v>
          </cell>
          <cell r="K434">
            <v>1</v>
          </cell>
          <cell r="M434" t="str">
            <v>04-2206830-3</v>
          </cell>
          <cell r="N434" t="str">
            <v>294-927-555</v>
          </cell>
          <cell r="O434">
            <v>43</v>
          </cell>
          <cell r="P434">
            <v>472</v>
          </cell>
          <cell r="Q434">
            <v>34</v>
          </cell>
          <cell r="R434">
            <v>8</v>
          </cell>
          <cell r="S434">
            <v>0</v>
          </cell>
          <cell r="T434" t="str">
            <v xml:space="preserve">rescilla Jardin
63 Quezon Ave. Sampaloc, Quezon
0920-131-73-38
</v>
          </cell>
          <cell r="U434" t="str">
            <v>2019-04-01</v>
          </cell>
        </row>
        <row r="435">
          <cell r="C435" t="str">
            <v>O066</v>
          </cell>
          <cell r="D435" t="str">
            <v>Samortin</v>
          </cell>
          <cell r="E435" t="str">
            <v>Geraldine</v>
          </cell>
          <cell r="F435" t="str">
            <v>Pido</v>
          </cell>
          <cell r="G435" t="str">
            <v>Dine</v>
          </cell>
          <cell r="H435" t="str">
            <v>0916-285-05-48</v>
          </cell>
          <cell r="I435" t="str">
            <v>1993-11-17</v>
          </cell>
          <cell r="J435">
            <v>2</v>
          </cell>
          <cell r="K435">
            <v>1</v>
          </cell>
          <cell r="M435" t="str">
            <v>34-6323897-9</v>
          </cell>
          <cell r="N435" t="str">
            <v>474-420-078</v>
          </cell>
          <cell r="O435">
            <v>43</v>
          </cell>
          <cell r="P435">
            <v>472</v>
          </cell>
          <cell r="Q435">
            <v>34</v>
          </cell>
          <cell r="R435">
            <v>8</v>
          </cell>
          <cell r="S435">
            <v>0</v>
          </cell>
          <cell r="T435" t="str">
            <v>enelyn Pido Samortin
Christopher I, Paciano Calamba City 
Laguna
0905-286-64-14</v>
          </cell>
          <cell r="U435" t="str">
            <v>2019-04-01</v>
          </cell>
        </row>
        <row r="436">
          <cell r="C436" t="str">
            <v>O074</v>
          </cell>
          <cell r="D436" t="str">
            <v>Daludado</v>
          </cell>
          <cell r="E436" t="str">
            <v>Daisy</v>
          </cell>
          <cell r="F436" t="str">
            <v>Estricomen</v>
          </cell>
          <cell r="G436" t="str">
            <v>Dais</v>
          </cell>
          <cell r="I436" t="str">
            <v>1997-11-19</v>
          </cell>
          <cell r="J436">
            <v>2</v>
          </cell>
          <cell r="K436">
            <v>1</v>
          </cell>
          <cell r="M436" t="str">
            <v>04-2891736-4</v>
          </cell>
          <cell r="N436" t="str">
            <v>324-189-373</v>
          </cell>
          <cell r="O436">
            <v>43</v>
          </cell>
          <cell r="P436">
            <v>363</v>
          </cell>
          <cell r="Q436">
            <v>34</v>
          </cell>
          <cell r="R436">
            <v>8</v>
          </cell>
          <cell r="S436">
            <v>0</v>
          </cell>
          <cell r="T436" t="str">
            <v>Germana E. Daludado
440 Purok 3, Pansol,
Calamba City, Laguna
0946-654-9702</v>
          </cell>
          <cell r="U436" t="str">
            <v>2019-04-01</v>
          </cell>
        </row>
        <row r="437">
          <cell r="C437" t="str">
            <v>O078</v>
          </cell>
          <cell r="D437" t="str">
            <v>Torres</v>
          </cell>
          <cell r="E437" t="str">
            <v>Jonh Marco</v>
          </cell>
          <cell r="F437" t="str">
            <v>Javinal</v>
          </cell>
          <cell r="G437" t="str">
            <v>Marco</v>
          </cell>
          <cell r="H437" t="str">
            <v>0998-321-79-37</v>
          </cell>
          <cell r="I437" t="str">
            <v>1997-03-30</v>
          </cell>
          <cell r="J437">
            <v>1</v>
          </cell>
          <cell r="K437">
            <v>1</v>
          </cell>
          <cell r="M437" t="str">
            <v>04-3503586-0</v>
          </cell>
          <cell r="N437" t="str">
            <v>492-588-539</v>
          </cell>
          <cell r="O437">
            <v>43</v>
          </cell>
          <cell r="P437">
            <v>472</v>
          </cell>
          <cell r="Q437">
            <v>34</v>
          </cell>
          <cell r="R437">
            <v>8</v>
          </cell>
          <cell r="S437">
            <v>0</v>
          </cell>
          <cell r="T437" t="str">
            <v>Julieta Torres
B2 L32 Pittland Cabuyao Laguna
0921-344-92-44</v>
          </cell>
          <cell r="U437" t="str">
            <v>2019-04-01</v>
          </cell>
        </row>
        <row r="438">
          <cell r="C438" t="str">
            <v>O073</v>
          </cell>
          <cell r="D438" t="str">
            <v>Reynaldo</v>
          </cell>
          <cell r="E438" t="str">
            <v>Donna</v>
          </cell>
          <cell r="F438" t="str">
            <v>Villota</v>
          </cell>
          <cell r="G438" t="str">
            <v>Donna</v>
          </cell>
          <cell r="H438" t="str">
            <v>0947-436-6793</v>
          </cell>
          <cell r="I438" t="str">
            <v>1996-12-08</v>
          </cell>
          <cell r="J438">
            <v>2</v>
          </cell>
          <cell r="K438">
            <v>1</v>
          </cell>
          <cell r="M438" t="str">
            <v>04-3692533-5</v>
          </cell>
          <cell r="N438" t="str">
            <v>356-671-801</v>
          </cell>
          <cell r="O438">
            <v>43</v>
          </cell>
          <cell r="P438">
            <v>472</v>
          </cell>
          <cell r="Q438">
            <v>34</v>
          </cell>
          <cell r="R438">
            <v>8</v>
          </cell>
          <cell r="S438">
            <v>0</v>
          </cell>
          <cell r="T438" t="str">
            <v>Lorna REynaldo
Sariaya, Quezon
0930-299-6268</v>
          </cell>
          <cell r="U438" t="str">
            <v>2019-04-01</v>
          </cell>
        </row>
        <row r="439">
          <cell r="C439" t="str">
            <v>O079</v>
          </cell>
          <cell r="D439" t="str">
            <v>Conese</v>
          </cell>
          <cell r="E439" t="str">
            <v>Jefferson</v>
          </cell>
          <cell r="F439" t="str">
            <v>Orillaza</v>
          </cell>
          <cell r="G439" t="str">
            <v>Jeff</v>
          </cell>
          <cell r="I439" t="str">
            <v>1989-07-29</v>
          </cell>
          <cell r="J439">
            <v>1</v>
          </cell>
          <cell r="K439">
            <v>2</v>
          </cell>
          <cell r="L439" t="str">
            <v>Aimie Cao Conese</v>
          </cell>
          <cell r="M439" t="str">
            <v>04-1980696-3</v>
          </cell>
          <cell r="N439" t="str">
            <v>271-359-183</v>
          </cell>
          <cell r="O439">
            <v>43</v>
          </cell>
          <cell r="P439">
            <v>472</v>
          </cell>
          <cell r="Q439">
            <v>34</v>
          </cell>
          <cell r="R439">
            <v>8</v>
          </cell>
          <cell r="S439">
            <v>0</v>
          </cell>
          <cell r="T439" t="str">
            <v xml:space="preserve">Aimie Cao Conese
Purok 3 Masapang Victoria Laguna
0905-495-48-30
</v>
          </cell>
          <cell r="U439" t="str">
            <v>2019-04-01</v>
          </cell>
        </row>
        <row r="440">
          <cell r="C440" t="str">
            <v>O068</v>
          </cell>
          <cell r="D440" t="str">
            <v>BaÃ±adera</v>
          </cell>
          <cell r="E440" t="str">
            <v>Joena Mark</v>
          </cell>
          <cell r="F440" t="str">
            <v>Bugtong</v>
          </cell>
          <cell r="G440" t="str">
            <v>JM</v>
          </cell>
          <cell r="H440" t="str">
            <v>0948-002-04-23</v>
          </cell>
          <cell r="I440" t="str">
            <v>1991-04-11</v>
          </cell>
          <cell r="J440">
            <v>1</v>
          </cell>
          <cell r="K440">
            <v>1</v>
          </cell>
          <cell r="M440" t="str">
            <v>04-2391544-2</v>
          </cell>
          <cell r="N440" t="str">
            <v>325-765-631</v>
          </cell>
          <cell r="O440">
            <v>43</v>
          </cell>
          <cell r="P440">
            <v>363</v>
          </cell>
          <cell r="Q440">
            <v>34</v>
          </cell>
          <cell r="R440">
            <v>8</v>
          </cell>
          <cell r="S440">
            <v>0</v>
          </cell>
          <cell r="T440" t="str">
            <v xml:space="preserve">Edna BaÃ±adera
Culion Palawan
0909-468-76-93
</v>
          </cell>
          <cell r="U440" t="str">
            <v>2019-04-01</v>
          </cell>
        </row>
        <row r="441">
          <cell r="C441" t="str">
            <v>O069</v>
          </cell>
          <cell r="D441" t="str">
            <v>Bobiles</v>
          </cell>
          <cell r="E441" t="str">
            <v>Mary Joy</v>
          </cell>
          <cell r="F441">
            <v>0</v>
          </cell>
          <cell r="G441" t="str">
            <v>Joy</v>
          </cell>
          <cell r="I441" t="str">
            <v>1996-03-12</v>
          </cell>
          <cell r="J441">
            <v>2</v>
          </cell>
          <cell r="K441">
            <v>1</v>
          </cell>
          <cell r="M441" t="str">
            <v>04-3426406-9</v>
          </cell>
          <cell r="N441" t="str">
            <v>321-647-559</v>
          </cell>
          <cell r="O441">
            <v>43</v>
          </cell>
          <cell r="P441">
            <v>472</v>
          </cell>
          <cell r="Q441">
            <v>34</v>
          </cell>
          <cell r="R441">
            <v>8</v>
          </cell>
          <cell r="S441">
            <v>0</v>
          </cell>
          <cell r="T441" t="str">
            <v xml:space="preserve">Jessie Bobiles
Mamatid Cabuyao Laguna
0921-316-42-15
</v>
          </cell>
          <cell r="U441" t="str">
            <v>2019-04-01</v>
          </cell>
        </row>
        <row r="442">
          <cell r="C442" t="str">
            <v>O058</v>
          </cell>
          <cell r="D442" t="str">
            <v>Vitug</v>
          </cell>
          <cell r="E442" t="str">
            <v>Jay Ann</v>
          </cell>
          <cell r="F442" t="str">
            <v>Gabriel</v>
          </cell>
          <cell r="G442" t="str">
            <v>Anne</v>
          </cell>
          <cell r="I442" t="str">
            <v>1993-10-04</v>
          </cell>
          <cell r="J442">
            <v>2</v>
          </cell>
          <cell r="K442">
            <v>1</v>
          </cell>
          <cell r="M442" t="str">
            <v>34-4566569-6</v>
          </cell>
          <cell r="N442" t="str">
            <v>328-085-410</v>
          </cell>
          <cell r="O442">
            <v>43</v>
          </cell>
          <cell r="P442">
            <v>393</v>
          </cell>
          <cell r="Q442">
            <v>34</v>
          </cell>
          <cell r="R442">
            <v>8</v>
          </cell>
          <cell r="S442">
            <v>0</v>
          </cell>
          <cell r="T442" t="str">
            <v>Marcelina G. Vitug
Capas, TArlac
0912-518-6164</v>
          </cell>
          <cell r="U442" t="str">
            <v>2019-04-01</v>
          </cell>
        </row>
        <row r="443">
          <cell r="C443" t="str">
            <v>O076</v>
          </cell>
          <cell r="D443" t="str">
            <v>Panopio</v>
          </cell>
          <cell r="E443" t="str">
            <v>Ray NiÃ±o</v>
          </cell>
          <cell r="F443" t="str">
            <v>Blazo</v>
          </cell>
          <cell r="G443" t="str">
            <v>Cyan</v>
          </cell>
          <cell r="H443" t="str">
            <v>0975-436-51-10</v>
          </cell>
          <cell r="I443" t="str">
            <v>1999-01-26</v>
          </cell>
          <cell r="J443">
            <v>1</v>
          </cell>
          <cell r="K443">
            <v>1</v>
          </cell>
          <cell r="M443" t="str">
            <v>04-3906144-5</v>
          </cell>
          <cell r="N443" t="str">
            <v>351-862-062</v>
          </cell>
          <cell r="O443">
            <v>43</v>
          </cell>
          <cell r="P443">
            <v>472</v>
          </cell>
          <cell r="Q443">
            <v>34</v>
          </cell>
          <cell r="R443">
            <v>8</v>
          </cell>
          <cell r="S443">
            <v>0</v>
          </cell>
          <cell r="T443" t="str">
            <v>Marjorie Panopio
Sitio  Buntog, Canlubang Calamba Laguna
0935-141-80-65</v>
          </cell>
          <cell r="U443" t="str">
            <v>2019-04-01</v>
          </cell>
        </row>
        <row r="444">
          <cell r="C444" t="str">
            <v>O061</v>
          </cell>
          <cell r="D444" t="str">
            <v>Paleracio</v>
          </cell>
          <cell r="E444" t="str">
            <v>Clyde</v>
          </cell>
          <cell r="F444" t="str">
            <v>Villagomez</v>
          </cell>
          <cell r="G444" t="str">
            <v>Clyde</v>
          </cell>
          <cell r="H444" t="str">
            <v>0945-744-3234</v>
          </cell>
          <cell r="I444" t="str">
            <v>1998-07-31</v>
          </cell>
          <cell r="J444">
            <v>1</v>
          </cell>
          <cell r="K444">
            <v>1</v>
          </cell>
          <cell r="M444" t="str">
            <v>04-3764126-5</v>
          </cell>
          <cell r="N444" t="str">
            <v>341-505-608</v>
          </cell>
          <cell r="O444">
            <v>43</v>
          </cell>
          <cell r="P444">
            <v>363</v>
          </cell>
          <cell r="Q444">
            <v>34</v>
          </cell>
          <cell r="R444">
            <v>8</v>
          </cell>
          <cell r="S444">
            <v>0</v>
          </cell>
          <cell r="T444" t="str">
            <v>Luzviminda Paleracio
Bgy. Ilaowain, Sampaloc, Quezon
0947-716-8584</v>
          </cell>
          <cell r="U444" t="str">
            <v>2019-04-01</v>
          </cell>
        </row>
        <row r="445">
          <cell r="C445" t="str">
            <v>O091</v>
          </cell>
          <cell r="D445" t="str">
            <v>Sarmiento</v>
          </cell>
          <cell r="E445" t="str">
            <v>Lemacorp</v>
          </cell>
          <cell r="F445" t="str">
            <v>Alinsunurin</v>
          </cell>
          <cell r="G445" t="str">
            <v>Carlo</v>
          </cell>
          <cell r="H445" t="str">
            <v>0915-093-8333</v>
          </cell>
          <cell r="I445" t="str">
            <v>1997-04-02</v>
          </cell>
          <cell r="J445">
            <v>1</v>
          </cell>
          <cell r="K445">
            <v>1</v>
          </cell>
          <cell r="M445" t="str">
            <v>34-6714053-9</v>
          </cell>
          <cell r="N445" t="str">
            <v>386-911-627</v>
          </cell>
          <cell r="O445">
            <v>86</v>
          </cell>
          <cell r="P445">
            <v>384</v>
          </cell>
          <cell r="Q445">
            <v>19</v>
          </cell>
          <cell r="R445">
            <v>4</v>
          </cell>
          <cell r="S445">
            <v>0</v>
          </cell>
          <cell r="T445" t="str">
            <v>Oliva J. Sarmiento
506 Purok 5, Marinig,
Cabuyao, Laguna
0921-969-8350</v>
          </cell>
          <cell r="U445" t="str">
            <v>2019-05-14</v>
          </cell>
        </row>
        <row r="446">
          <cell r="C446" t="str">
            <v>O103</v>
          </cell>
          <cell r="D446" t="str">
            <v>Pineda</v>
          </cell>
          <cell r="E446" t="str">
            <v>Juan Paulo</v>
          </cell>
          <cell r="F446" t="str">
            <v>Noval</v>
          </cell>
          <cell r="G446" t="str">
            <v>Paolo</v>
          </cell>
          <cell r="H446" t="str">
            <v>0939-259-9702</v>
          </cell>
          <cell r="I446" t="str">
            <v>1987-05-27</v>
          </cell>
          <cell r="J446">
            <v>1</v>
          </cell>
          <cell r="K446">
            <v>1</v>
          </cell>
          <cell r="M446" t="str">
            <v>04-1832811-2</v>
          </cell>
          <cell r="N446" t="str">
            <v>282-328-751</v>
          </cell>
          <cell r="O446">
            <v>104</v>
          </cell>
          <cell r="P446">
            <v>406</v>
          </cell>
          <cell r="Q446">
            <v>51</v>
          </cell>
          <cell r="R446">
            <v>1</v>
          </cell>
          <cell r="S446">
            <v>0</v>
          </cell>
          <cell r="T446" t="str">
            <v>Tessie N. Pineda
B-19 L-32 Great Britain St,
Villa La Prinza, Calamba City, Laguna
0999-931-1361
0999-931-1361</v>
          </cell>
          <cell r="U446" t="str">
            <v>2019-08-01</v>
          </cell>
        </row>
        <row r="447">
          <cell r="C447" t="str">
            <v>O105</v>
          </cell>
          <cell r="D447" t="str">
            <v>De Claro</v>
          </cell>
          <cell r="E447" t="str">
            <v>Joseph</v>
          </cell>
          <cell r="F447" t="str">
            <v>Wagan</v>
          </cell>
          <cell r="G447" t="str">
            <v>Otep</v>
          </cell>
          <cell r="I447" t="str">
            <v>1998-06-12</v>
          </cell>
          <cell r="J447">
            <v>1</v>
          </cell>
          <cell r="K447">
            <v>1</v>
          </cell>
          <cell r="M447" t="str">
            <v>04-4265363-3</v>
          </cell>
          <cell r="N447" t="str">
            <v>387-274-271</v>
          </cell>
          <cell r="O447">
            <v>86</v>
          </cell>
          <cell r="P447">
            <v>512</v>
          </cell>
          <cell r="Q447">
            <v>73</v>
          </cell>
          <cell r="R447">
            <v>13</v>
          </cell>
          <cell r="S447">
            <v>0</v>
          </cell>
          <cell r="T447" t="str">
            <v>Julia W. De Claro
133 Banaba East, Batangas City
0930-533-2568</v>
          </cell>
          <cell r="U447" t="str">
            <v>2019-08-06</v>
          </cell>
        </row>
        <row r="448">
          <cell r="C448" t="str">
            <v>O111</v>
          </cell>
          <cell r="D448" t="str">
            <v>Tejada</v>
          </cell>
          <cell r="E448" t="str">
            <v>John Marco</v>
          </cell>
          <cell r="F448" t="str">
            <v>Gamboa</v>
          </cell>
          <cell r="G448" t="str">
            <v>TJ</v>
          </cell>
          <cell r="H448" t="str">
            <v>0950-658-3711</v>
          </cell>
          <cell r="I448" t="str">
            <v>1997-03-30</v>
          </cell>
          <cell r="J448">
            <v>1</v>
          </cell>
          <cell r="K448">
            <v>1</v>
          </cell>
          <cell r="M448" t="str">
            <v>04-4276443-8</v>
          </cell>
          <cell r="N448" t="str">
            <v>747-702-194</v>
          </cell>
          <cell r="O448">
            <v>82</v>
          </cell>
          <cell r="P448">
            <v>499</v>
          </cell>
          <cell r="Q448">
            <v>66</v>
          </cell>
          <cell r="R448">
            <v>12</v>
          </cell>
          <cell r="S448">
            <v>0</v>
          </cell>
          <cell r="T448" t="str">
            <v>Edna G. Tejada
Olo-olo, Lobo, Batangas
0935-834-7282</v>
          </cell>
          <cell r="U448" t="str">
            <v>2019-09-09</v>
          </cell>
        </row>
        <row r="449">
          <cell r="C449" t="str">
            <v>O112</v>
          </cell>
          <cell r="D449" t="str">
            <v>Villanueva</v>
          </cell>
          <cell r="E449" t="str">
            <v>Vaughn  Axl</v>
          </cell>
          <cell r="F449" t="str">
            <v>Aplon</v>
          </cell>
          <cell r="G449" t="str">
            <v>Von</v>
          </cell>
          <cell r="H449" t="str">
            <v>0961-354-4883</v>
          </cell>
          <cell r="I449" t="str">
            <v>1997-05-03</v>
          </cell>
          <cell r="J449">
            <v>1</v>
          </cell>
          <cell r="K449">
            <v>1</v>
          </cell>
          <cell r="M449" t="str">
            <v>34-8748826-8</v>
          </cell>
          <cell r="N449" t="str">
            <v>387-266-966</v>
          </cell>
          <cell r="O449">
            <v>82</v>
          </cell>
          <cell r="P449">
            <v>148</v>
          </cell>
          <cell r="Q449">
            <v>29</v>
          </cell>
          <cell r="R449">
            <v>6</v>
          </cell>
          <cell r="S449">
            <v>0</v>
          </cell>
          <cell r="T449" t="str">
            <v>Rosenda A. Villanueva
Lucban, Balayan, Batangas
0975-526-0590</v>
          </cell>
          <cell r="U449" t="str">
            <v>2019-09-09</v>
          </cell>
        </row>
        <row r="450">
          <cell r="C450" t="str">
            <v>O115</v>
          </cell>
          <cell r="D450" t="str">
            <v>Rafael</v>
          </cell>
          <cell r="E450" t="str">
            <v>Jose NiÃ±o</v>
          </cell>
          <cell r="F450" t="str">
            <v>Babagay</v>
          </cell>
          <cell r="G450" t="str">
            <v>NiÃ±o</v>
          </cell>
          <cell r="H450" t="str">
            <v>0909-692-5290</v>
          </cell>
          <cell r="I450" t="str">
            <v>1992-02-04</v>
          </cell>
          <cell r="J450">
            <v>1</v>
          </cell>
          <cell r="K450">
            <v>2</v>
          </cell>
          <cell r="L450" t="str">
            <v>Baby June Oliveros PereÃ±a</v>
          </cell>
          <cell r="M450" t="str">
            <v>04-2718486-8</v>
          </cell>
          <cell r="N450" t="str">
            <v>286-832-165</v>
          </cell>
          <cell r="O450">
            <v>55</v>
          </cell>
          <cell r="P450">
            <v>299</v>
          </cell>
          <cell r="Q450">
            <v>19</v>
          </cell>
          <cell r="R450">
            <v>4</v>
          </cell>
          <cell r="S450">
            <v>0</v>
          </cell>
          <cell r="T450" t="str">
            <v>Baby June O. PereÃ±a
Brgy. Bukal, Cavinti Laguna
0909-692-5296</v>
          </cell>
          <cell r="U450" t="str">
            <v>2019-09-20</v>
          </cell>
        </row>
        <row r="451">
          <cell r="C451" t="str">
            <v>O120</v>
          </cell>
          <cell r="D451" t="str">
            <v>Andrada</v>
          </cell>
          <cell r="E451" t="str">
            <v>Mark Joseph</v>
          </cell>
          <cell r="F451" t="str">
            <v>Fernandez</v>
          </cell>
          <cell r="G451" t="str">
            <v>Joseph</v>
          </cell>
          <cell r="H451" t="str">
            <v>0995-403-7353</v>
          </cell>
          <cell r="I451" t="str">
            <v>1988-01-16</v>
          </cell>
          <cell r="J451">
            <v>1</v>
          </cell>
          <cell r="K451">
            <v>1</v>
          </cell>
          <cell r="M451" t="str">
            <v>04-1794056-2</v>
          </cell>
          <cell r="N451" t="str">
            <v>317-413-746</v>
          </cell>
          <cell r="O451">
            <v>55</v>
          </cell>
          <cell r="P451">
            <v>466</v>
          </cell>
          <cell r="Q451">
            <v>33</v>
          </cell>
          <cell r="R451">
            <v>8</v>
          </cell>
          <cell r="S451">
            <v>0</v>
          </cell>
          <cell r="T451" t="str">
            <v>Ma. Chesca Camille Andrada
Bgy. Banaba, Famy, Laguna
0956-700-0823</v>
          </cell>
          <cell r="U451" t="str">
            <v>2019-10-01</v>
          </cell>
        </row>
        <row r="452">
          <cell r="C452" t="str">
            <v>O123</v>
          </cell>
          <cell r="D452" t="str">
            <v>Dayapan</v>
          </cell>
          <cell r="E452" t="str">
            <v>Ryan Ross</v>
          </cell>
          <cell r="F452" t="str">
            <v>Salumbides</v>
          </cell>
          <cell r="G452" t="str">
            <v>Ryan</v>
          </cell>
          <cell r="H452" t="str">
            <v>0945-453-7704</v>
          </cell>
          <cell r="I452" t="str">
            <v>1995-03-16</v>
          </cell>
          <cell r="J452">
            <v>1</v>
          </cell>
          <cell r="K452">
            <v>2</v>
          </cell>
          <cell r="L452" t="str">
            <v>Carla Babiera Enriquez</v>
          </cell>
          <cell r="M452" t="str">
            <v>04-3377669-7</v>
          </cell>
          <cell r="N452" t="str">
            <v>363-469-720</v>
          </cell>
          <cell r="O452">
            <v>55</v>
          </cell>
          <cell r="P452">
            <v>466</v>
          </cell>
          <cell r="Q452">
            <v>33</v>
          </cell>
          <cell r="R452">
            <v>8</v>
          </cell>
          <cell r="S452">
            <v>0</v>
          </cell>
          <cell r="T452" t="str">
            <v>Carla E. Dayapan
Bgy. Mayapa, Calamba, Laguna
0912-371-2280</v>
          </cell>
          <cell r="U452" t="str">
            <v>2019-10-01</v>
          </cell>
        </row>
        <row r="453">
          <cell r="C453" t="str">
            <v>O124</v>
          </cell>
          <cell r="D453" t="str">
            <v>Gazzingan</v>
          </cell>
          <cell r="E453" t="str">
            <v>Bryan Val</v>
          </cell>
          <cell r="F453" t="str">
            <v>Caliguiran</v>
          </cell>
          <cell r="G453" t="str">
            <v>Bryan</v>
          </cell>
          <cell r="H453" t="str">
            <v>0995-364-6554</v>
          </cell>
          <cell r="I453" t="str">
            <v>1992-06-08</v>
          </cell>
          <cell r="J453">
            <v>1</v>
          </cell>
          <cell r="K453">
            <v>1</v>
          </cell>
          <cell r="M453" t="str">
            <v>04-2892942-0</v>
          </cell>
          <cell r="N453" t="str">
            <v>465-168-828</v>
          </cell>
          <cell r="O453">
            <v>55</v>
          </cell>
          <cell r="P453">
            <v>466</v>
          </cell>
          <cell r="Q453">
            <v>33</v>
          </cell>
          <cell r="R453">
            <v>8</v>
          </cell>
          <cell r="S453">
            <v>0</v>
          </cell>
          <cell r="T453" t="str">
            <v>Wawie Gazzingan
Blk11 Lot24 Buena Rosa 10
Tagapo, Sta. Rosa, Laguna
0905-119-6579</v>
          </cell>
          <cell r="U453" t="str">
            <v>2019-10-01</v>
          </cell>
        </row>
        <row r="454">
          <cell r="C454" t="str">
            <v>O126</v>
          </cell>
          <cell r="D454" t="str">
            <v>Pule</v>
          </cell>
          <cell r="E454" t="str">
            <v>Mark Renz</v>
          </cell>
          <cell r="F454" t="str">
            <v>Andaya</v>
          </cell>
          <cell r="G454" t="str">
            <v>Renz</v>
          </cell>
          <cell r="H454" t="str">
            <v>0946-700-3689</v>
          </cell>
          <cell r="I454" t="str">
            <v>1999-04-21</v>
          </cell>
          <cell r="J454">
            <v>1</v>
          </cell>
          <cell r="K454">
            <v>1</v>
          </cell>
          <cell r="M454" t="str">
            <v>04-3966615-4</v>
          </cell>
          <cell r="N454" t="str">
            <v>346-499-279</v>
          </cell>
          <cell r="O454">
            <v>55</v>
          </cell>
          <cell r="P454">
            <v>466</v>
          </cell>
          <cell r="Q454">
            <v>33</v>
          </cell>
          <cell r="R454">
            <v>8</v>
          </cell>
          <cell r="S454">
            <v>0</v>
          </cell>
          <cell r="T454" t="str">
            <v>Margel Ruela
Paciano Rizal, Calamba, Laguna
0946-700-3689</v>
          </cell>
          <cell r="U454" t="str">
            <v>2019-10-01</v>
          </cell>
        </row>
        <row r="455">
          <cell r="C455" t="str">
            <v>O128</v>
          </cell>
          <cell r="D455" t="str">
            <v>Sta. Ana</v>
          </cell>
          <cell r="E455" t="str">
            <v>Jovel</v>
          </cell>
          <cell r="F455" t="str">
            <v>Chua</v>
          </cell>
          <cell r="G455" t="str">
            <v>Jhovz</v>
          </cell>
          <cell r="H455" t="str">
            <v>0930-693-9327</v>
          </cell>
          <cell r="I455" t="str">
            <v>1993-03-15</v>
          </cell>
          <cell r="J455">
            <v>1</v>
          </cell>
          <cell r="K455">
            <v>1</v>
          </cell>
          <cell r="M455" t="str">
            <v>05-1138192-0</v>
          </cell>
          <cell r="N455" t="str">
            <v>467-844-850</v>
          </cell>
          <cell r="O455">
            <v>55</v>
          </cell>
          <cell r="P455">
            <v>466</v>
          </cell>
          <cell r="Q455">
            <v>33</v>
          </cell>
          <cell r="R455">
            <v>8</v>
          </cell>
          <cell r="S455">
            <v>0</v>
          </cell>
          <cell r="T455" t="str">
            <v>Henry Sta. Ana
Cuenca, Batangas
0949-610-8002</v>
          </cell>
          <cell r="U455" t="str">
            <v>2019-10-01</v>
          </cell>
        </row>
        <row r="456">
          <cell r="C456" t="str">
            <v>O132</v>
          </cell>
          <cell r="D456" t="str">
            <v>Cuyo</v>
          </cell>
          <cell r="E456" t="str">
            <v>Marc Alejo</v>
          </cell>
          <cell r="F456" t="str">
            <v>Licudine</v>
          </cell>
          <cell r="G456" t="str">
            <v>Tayson</v>
          </cell>
          <cell r="H456" t="str">
            <v>0961-261-2552</v>
          </cell>
          <cell r="I456" t="str">
            <v>1999-05-20</v>
          </cell>
          <cell r="J456">
            <v>1</v>
          </cell>
          <cell r="K456">
            <v>1</v>
          </cell>
          <cell r="M456" t="str">
            <v>34-8826851-3</v>
          </cell>
          <cell r="N456" t="str">
            <v>387-273-334</v>
          </cell>
          <cell r="O456">
            <v>55</v>
          </cell>
          <cell r="P456">
            <v>433</v>
          </cell>
          <cell r="Q456">
            <v>19</v>
          </cell>
          <cell r="R456">
            <v>4</v>
          </cell>
          <cell r="S456">
            <v>0</v>
          </cell>
          <cell r="T456" t="str">
            <v>Isagani A. Cuyo
Bulala, Bacnotan, La Union
0910-603-9131</v>
          </cell>
          <cell r="U456" t="str">
            <v>2019-10-03</v>
          </cell>
        </row>
        <row r="457">
          <cell r="C457" t="str">
            <v>O133</v>
          </cell>
          <cell r="D457" t="str">
            <v>Concillo</v>
          </cell>
          <cell r="E457" t="str">
            <v>Christian</v>
          </cell>
          <cell r="F457" t="str">
            <v>Beniegas</v>
          </cell>
          <cell r="G457" t="str">
            <v>Chan</v>
          </cell>
          <cell r="H457" t="str">
            <v>0938-818-2811</v>
          </cell>
          <cell r="I457" t="str">
            <v>1996-01-26</v>
          </cell>
          <cell r="J457">
            <v>1</v>
          </cell>
          <cell r="K457">
            <v>1</v>
          </cell>
          <cell r="M457" t="str">
            <v>01-2581028-5</v>
          </cell>
          <cell r="N457" t="str">
            <v>328-644-375</v>
          </cell>
          <cell r="O457">
            <v>55</v>
          </cell>
          <cell r="P457">
            <v>517</v>
          </cell>
          <cell r="Q457">
            <v>77</v>
          </cell>
          <cell r="R457">
            <v>14</v>
          </cell>
          <cell r="S457">
            <v>0</v>
          </cell>
          <cell r="T457" t="str">
            <v>Evelyn B. Concillo
San Simon East, Aringay, La Union
0950-665-4725</v>
          </cell>
          <cell r="U457" t="str">
            <v>2019-10-03</v>
          </cell>
        </row>
        <row r="458">
          <cell r="C458" t="str">
            <v>O134</v>
          </cell>
          <cell r="D458" t="str">
            <v>Lomio</v>
          </cell>
          <cell r="E458" t="str">
            <v>Rony</v>
          </cell>
          <cell r="F458" t="str">
            <v>Fajardo</v>
          </cell>
          <cell r="G458" t="str">
            <v>Rony</v>
          </cell>
          <cell r="H458" t="str">
            <v>0921-079-0415</v>
          </cell>
          <cell r="I458" t="str">
            <v>1986-01-01</v>
          </cell>
          <cell r="J458">
            <v>1</v>
          </cell>
          <cell r="K458">
            <v>2</v>
          </cell>
          <cell r="L458" t="str">
            <v>Mary Christine Marasigan Consigo</v>
          </cell>
          <cell r="M458" t="str">
            <v>33-8882670-9</v>
          </cell>
          <cell r="N458" t="str">
            <v>308-915-992</v>
          </cell>
          <cell r="O458">
            <v>55</v>
          </cell>
          <cell r="P458">
            <v>466</v>
          </cell>
          <cell r="Q458">
            <v>33</v>
          </cell>
          <cell r="R458">
            <v>8</v>
          </cell>
          <cell r="S458">
            <v>0</v>
          </cell>
          <cell r="T458" t="str">
            <v>Mary Christine C. Lomio
Blk 54 Lot 47 Birminghan Village,
Pulo, Cabuyao City, Laguna
0998-848-0618</v>
          </cell>
          <cell r="U458" t="str">
            <v>2019-10-18</v>
          </cell>
        </row>
        <row r="459">
          <cell r="C459" t="str">
            <v>P005</v>
          </cell>
          <cell r="D459" t="str">
            <v>Panelo</v>
          </cell>
          <cell r="E459" t="str">
            <v>Earl Christian</v>
          </cell>
          <cell r="F459" t="str">
            <v>Payte</v>
          </cell>
          <cell r="G459" t="str">
            <v>Earl</v>
          </cell>
          <cell r="H459" t="str">
            <v>0910-866-9619</v>
          </cell>
          <cell r="I459" t="str">
            <v>1995-04-20</v>
          </cell>
          <cell r="J459">
            <v>1</v>
          </cell>
          <cell r="K459">
            <v>1</v>
          </cell>
          <cell r="M459" t="str">
            <v>34-8755269-9</v>
          </cell>
          <cell r="N459" t="str">
            <v>387-177-164</v>
          </cell>
          <cell r="O459">
            <v>80</v>
          </cell>
          <cell r="P459">
            <v>403</v>
          </cell>
          <cell r="Q459">
            <v>51</v>
          </cell>
          <cell r="R459">
            <v>1</v>
          </cell>
          <cell r="S459">
            <v>0</v>
          </cell>
          <cell r="T459" t="str">
            <v>Cynthia P. Panelo
Blk 16 Lot 2 Ph2, St Joseph 10,
Langgam, San Pedro, Laguna
0917-915-4511</v>
          </cell>
          <cell r="U459" t="str">
            <v>2020-01-21</v>
          </cell>
        </row>
        <row r="460">
          <cell r="C460" t="str">
            <v>P007</v>
          </cell>
          <cell r="D460" t="str">
            <v>Ferrer</v>
          </cell>
          <cell r="E460" t="str">
            <v>Mark Anthony</v>
          </cell>
          <cell r="F460" t="str">
            <v>Andaluz</v>
          </cell>
          <cell r="G460" t="str">
            <v>Thonitz</v>
          </cell>
          <cell r="H460" t="str">
            <v>0905-696-8027</v>
          </cell>
          <cell r="I460" t="str">
            <v>1988-10-01</v>
          </cell>
          <cell r="J460">
            <v>1</v>
          </cell>
          <cell r="K460">
            <v>2</v>
          </cell>
          <cell r="L460" t="str">
            <v>Charmain Ramos Aranas</v>
          </cell>
          <cell r="M460" t="str">
            <v>04-2174814-5</v>
          </cell>
          <cell r="N460" t="str">
            <v>290-091-184</v>
          </cell>
          <cell r="O460">
            <v>41</v>
          </cell>
          <cell r="P460">
            <v>494</v>
          </cell>
          <cell r="Q460">
            <v>57</v>
          </cell>
          <cell r="R460">
            <v>11</v>
          </cell>
          <cell r="S460">
            <v>0</v>
          </cell>
          <cell r="T460" t="str">
            <v>Charmain R. Aranas
006 HS Unit #11 Daisy St. Farconville Sub. Parian, Calamba
0995-330-3242</v>
          </cell>
          <cell r="U460" t="str">
            <v>2020-01-21</v>
          </cell>
        </row>
        <row r="461">
          <cell r="C461" t="str">
            <v>P008</v>
          </cell>
          <cell r="D461" t="str">
            <v>Caravana</v>
          </cell>
          <cell r="E461" t="str">
            <v>John Angelo</v>
          </cell>
          <cell r="F461" t="str">
            <v>Parala</v>
          </cell>
          <cell r="G461" t="str">
            <v>Jaloh</v>
          </cell>
          <cell r="H461" t="str">
            <v>0936-809-3884</v>
          </cell>
          <cell r="I461" t="str">
            <v>1996-10-05</v>
          </cell>
          <cell r="J461">
            <v>1</v>
          </cell>
          <cell r="K461">
            <v>1</v>
          </cell>
          <cell r="M461" t="str">
            <v>04-2997582-6</v>
          </cell>
          <cell r="N461" t="str">
            <v>328-556-753</v>
          </cell>
          <cell r="O461">
            <v>55</v>
          </cell>
          <cell r="P461">
            <v>342</v>
          </cell>
          <cell r="Q461">
            <v>33</v>
          </cell>
          <cell r="R461">
            <v>8</v>
          </cell>
          <cell r="S461">
            <v>0</v>
          </cell>
          <cell r="T461" t="str">
            <v>Felicidad P. Caravana
313 Purok 4 Marinig,
Cabuyao, Laguna
0921-733-7882</v>
          </cell>
          <cell r="U461" t="str">
            <v>2020-01-24</v>
          </cell>
        </row>
        <row r="462">
          <cell r="C462" t="str">
            <v>P010</v>
          </cell>
          <cell r="D462" t="str">
            <v>Consigo</v>
          </cell>
          <cell r="E462" t="str">
            <v>Evangeline</v>
          </cell>
          <cell r="F462" t="str">
            <v>Pineda</v>
          </cell>
          <cell r="G462" t="str">
            <v>Vangie</v>
          </cell>
          <cell r="H462" t="str">
            <v>0946-502-8999</v>
          </cell>
          <cell r="I462" t="str">
            <v>1998-09-30</v>
          </cell>
          <cell r="J462">
            <v>2</v>
          </cell>
          <cell r="K462">
            <v>1</v>
          </cell>
          <cell r="M462" t="str">
            <v>04-4254511-0</v>
          </cell>
          <cell r="N462" t="str">
            <v>762-348-067</v>
          </cell>
          <cell r="O462">
            <v>96</v>
          </cell>
          <cell r="P462">
            <v>356</v>
          </cell>
          <cell r="Q462">
            <v>37</v>
          </cell>
          <cell r="R462">
            <v>8</v>
          </cell>
          <cell r="S462">
            <v>0</v>
          </cell>
          <cell r="T462" t="str">
            <v>Domingo C. Consigo
Santiago, Naujan,
Oriental Mindoro
0910-365-6799</v>
          </cell>
          <cell r="U462" t="str">
            <v>2020-02-03</v>
          </cell>
        </row>
        <row r="463">
          <cell r="C463" t="str">
            <v>P012</v>
          </cell>
          <cell r="D463" t="str">
            <v>Constantino</v>
          </cell>
          <cell r="E463" t="str">
            <v>Mark Allen</v>
          </cell>
          <cell r="F463" t="str">
            <v>Silahis</v>
          </cell>
          <cell r="G463" t="str">
            <v>Allen</v>
          </cell>
          <cell r="H463" t="str">
            <v>0955-957-8702</v>
          </cell>
          <cell r="I463" t="str">
            <v>1997-05-21</v>
          </cell>
          <cell r="J463">
            <v>1</v>
          </cell>
          <cell r="K463">
            <v>1</v>
          </cell>
          <cell r="M463" t="str">
            <v>04-3720890-9</v>
          </cell>
          <cell r="N463" t="str">
            <v>326-997-912</v>
          </cell>
          <cell r="O463">
            <v>55</v>
          </cell>
          <cell r="P463">
            <v>466</v>
          </cell>
          <cell r="Q463">
            <v>33</v>
          </cell>
          <cell r="R463">
            <v>8</v>
          </cell>
          <cell r="S463">
            <v>0</v>
          </cell>
          <cell r="T463" t="str">
            <v>Virginia S. Constantino
111 Purok 3, Butong,
Cabuyao City, Laguna
0955-957-8702</v>
          </cell>
          <cell r="U463" t="str">
            <v>2020-02-12</v>
          </cell>
        </row>
        <row r="464">
          <cell r="C464" t="str">
            <v>P016</v>
          </cell>
          <cell r="D464" t="str">
            <v>Saguinsin</v>
          </cell>
          <cell r="E464" t="str">
            <v>Ramil</v>
          </cell>
          <cell r="F464" t="str">
            <v>Gaurano</v>
          </cell>
          <cell r="G464" t="str">
            <v>Ramil</v>
          </cell>
          <cell r="H464" t="str">
            <v>0909-345-9621</v>
          </cell>
          <cell r="I464" t="str">
            <v>1992-10-23</v>
          </cell>
          <cell r="J464">
            <v>1</v>
          </cell>
          <cell r="K464">
            <v>2</v>
          </cell>
          <cell r="L464" t="str">
            <v>Marilyn Fancubit Fampulme</v>
          </cell>
          <cell r="M464" t="str">
            <v>04-2380394-9</v>
          </cell>
          <cell r="N464" t="str">
            <v>448-631-697</v>
          </cell>
          <cell r="O464">
            <v>55</v>
          </cell>
          <cell r="P464">
            <v>390</v>
          </cell>
          <cell r="Q464">
            <v>33</v>
          </cell>
          <cell r="R464">
            <v>8</v>
          </cell>
          <cell r="S464">
            <v>0</v>
          </cell>
          <cell r="T464" t="str">
            <v>Marilyn F. Saguinsin
Parian, Calamba City, Laguna
0948-096-2089</v>
          </cell>
          <cell r="U464" t="str">
            <v>2020-03-02</v>
          </cell>
        </row>
        <row r="465">
          <cell r="C465" t="str">
            <v>P019</v>
          </cell>
          <cell r="D465" t="str">
            <v>Cerezo</v>
          </cell>
          <cell r="E465" t="str">
            <v>Isagani</v>
          </cell>
          <cell r="F465" t="str">
            <v>Bien</v>
          </cell>
          <cell r="G465" t="str">
            <v>Gani</v>
          </cell>
          <cell r="H465">
            <v>9304847539</v>
          </cell>
          <cell r="I465" t="str">
            <v>1993-09-20</v>
          </cell>
          <cell r="J465">
            <v>1</v>
          </cell>
          <cell r="K465">
            <v>2</v>
          </cell>
          <cell r="L465" t="str">
            <v>Emily Sagaoinit De Vera</v>
          </cell>
          <cell r="M465" t="str">
            <v>04-2665225-2</v>
          </cell>
          <cell r="N465" t="str">
            <v>351-124-288</v>
          </cell>
          <cell r="O465">
            <v>55</v>
          </cell>
          <cell r="P465">
            <v>466</v>
          </cell>
          <cell r="Q465">
            <v>33</v>
          </cell>
          <cell r="R465">
            <v>8</v>
          </cell>
          <cell r="S465">
            <v>0</v>
          </cell>
          <cell r="T465" t="str">
            <v>Alicia B. Cerezo
Blk. 22, Lot 167, Majada In, Calamba City
09101327310</v>
          </cell>
          <cell r="U465" t="str">
            <v>2020-03-07</v>
          </cell>
        </row>
        <row r="466">
          <cell r="C466" t="str">
            <v>P026</v>
          </cell>
          <cell r="D466" t="str">
            <v>De Castro</v>
          </cell>
          <cell r="E466" t="str">
            <v>Maria Fatima</v>
          </cell>
          <cell r="F466" t="str">
            <v>Guban</v>
          </cell>
          <cell r="G466" t="str">
            <v>Fatima</v>
          </cell>
          <cell r="H466" t="str">
            <v>0998-926-9653</v>
          </cell>
          <cell r="I466" t="str">
            <v>1996-08-12</v>
          </cell>
          <cell r="J466">
            <v>2</v>
          </cell>
          <cell r="K466">
            <v>1</v>
          </cell>
          <cell r="M466" t="str">
            <v>04-3223298-3</v>
          </cell>
          <cell r="N466" t="str">
            <v>460-651-620</v>
          </cell>
          <cell r="O466">
            <v>86</v>
          </cell>
          <cell r="P466">
            <v>485</v>
          </cell>
          <cell r="Q466">
            <v>59</v>
          </cell>
          <cell r="R466">
            <v>11</v>
          </cell>
          <cell r="S466">
            <v>0</v>
          </cell>
          <cell r="T466" t="str">
            <v>Francia G. De Castro
Blk. 42 Lot 17 New Jersey St,
Landmark Subd, Parian, Cal. City
0966-843-9894</v>
          </cell>
          <cell r="U466" t="str">
            <v>2020-06-22</v>
          </cell>
        </row>
        <row r="467">
          <cell r="C467" t="str">
            <v>P032</v>
          </cell>
          <cell r="D467" t="str">
            <v>Macaraeg</v>
          </cell>
          <cell r="E467" t="str">
            <v>Magie</v>
          </cell>
          <cell r="F467" t="str">
            <v>Doloque</v>
          </cell>
          <cell r="G467" t="str">
            <v>Mags</v>
          </cell>
          <cell r="H467" t="str">
            <v>0908-433-7089</v>
          </cell>
          <cell r="I467" t="str">
            <v>1985-08-07</v>
          </cell>
          <cell r="J467">
            <v>2</v>
          </cell>
          <cell r="K467">
            <v>1</v>
          </cell>
          <cell r="M467" t="str">
            <v>33-9095319-4</v>
          </cell>
          <cell r="N467" t="str">
            <v>305-432-405</v>
          </cell>
          <cell r="O467">
            <v>43</v>
          </cell>
          <cell r="P467">
            <v>452</v>
          </cell>
          <cell r="Q467">
            <v>20</v>
          </cell>
          <cell r="R467">
            <v>4</v>
          </cell>
          <cell r="S467">
            <v>0</v>
          </cell>
          <cell r="T467" t="str">
            <v>Rodel G. Paynyo
Blk 3 Lot 19 Libra St,
Camella Homes P3, Tunasan, Munt City
0919-778-4819</v>
          </cell>
          <cell r="U467" t="str">
            <v>2020-07-01</v>
          </cell>
        </row>
        <row r="468">
          <cell r="C468" t="str">
            <v>P070</v>
          </cell>
          <cell r="D468" t="str">
            <v>AvendaÃ±o</v>
          </cell>
          <cell r="E468" t="str">
            <v>Realyn</v>
          </cell>
          <cell r="F468" t="str">
            <v>Jolo</v>
          </cell>
          <cell r="G468" t="str">
            <v>Rea</v>
          </cell>
          <cell r="H468" t="str">
            <v>0912-836-7536</v>
          </cell>
          <cell r="I468" t="str">
            <v>1989-09-07</v>
          </cell>
          <cell r="J468">
            <v>2</v>
          </cell>
          <cell r="K468">
            <v>1</v>
          </cell>
          <cell r="M468" t="str">
            <v>04-2134712-2</v>
          </cell>
          <cell r="N468" t="str">
            <v>282-513-347</v>
          </cell>
          <cell r="O468">
            <v>43</v>
          </cell>
          <cell r="P468">
            <v>472</v>
          </cell>
          <cell r="Q468">
            <v>34</v>
          </cell>
          <cell r="R468">
            <v>8</v>
          </cell>
          <cell r="S468">
            <v>0</v>
          </cell>
          <cell r="T468" t="str">
            <v>Luningning Banzot
Bgy. Nanguma, Mabitac, Laguna
0946-976-3729</v>
          </cell>
          <cell r="U468" t="str">
            <v>2020-07-01</v>
          </cell>
        </row>
        <row r="469">
          <cell r="C469" t="str">
            <v>P073</v>
          </cell>
          <cell r="D469" t="str">
            <v>Bellen</v>
          </cell>
          <cell r="E469" t="str">
            <v>Eleonor</v>
          </cell>
          <cell r="F469" t="str">
            <v>Casabuena</v>
          </cell>
          <cell r="G469" t="str">
            <v>Elen</v>
          </cell>
          <cell r="H469" t="str">
            <v>0930-013-8714</v>
          </cell>
          <cell r="I469" t="str">
            <v>1992-01-06</v>
          </cell>
          <cell r="J469">
            <v>2</v>
          </cell>
          <cell r="K469">
            <v>1</v>
          </cell>
          <cell r="M469" t="str">
            <v>04-2183882-2</v>
          </cell>
          <cell r="N469" t="str">
            <v>313-992-858</v>
          </cell>
          <cell r="O469">
            <v>43</v>
          </cell>
          <cell r="P469">
            <v>472</v>
          </cell>
          <cell r="Q469">
            <v>34</v>
          </cell>
          <cell r="R469">
            <v>8</v>
          </cell>
          <cell r="S469">
            <v>0</v>
          </cell>
          <cell r="T469" t="str">
            <v>Teresa Nastor
Phase 3 Executive, Mabuhay,
Mamatid, Cabuyao, Laguna</v>
          </cell>
          <cell r="U469" t="str">
            <v>2020-07-01</v>
          </cell>
        </row>
        <row r="470">
          <cell r="C470" t="str">
            <v>P080</v>
          </cell>
          <cell r="D470" t="str">
            <v>Fidel</v>
          </cell>
          <cell r="E470" t="str">
            <v>Lynzelle Joy</v>
          </cell>
          <cell r="F470" t="str">
            <v>Demetrial</v>
          </cell>
          <cell r="G470" t="str">
            <v>L-Jhay</v>
          </cell>
          <cell r="H470" t="str">
            <v>0956-164-4874</v>
          </cell>
          <cell r="I470" t="str">
            <v>1998-12-25</v>
          </cell>
          <cell r="J470">
            <v>2</v>
          </cell>
          <cell r="K470">
            <v>1</v>
          </cell>
          <cell r="M470" t="str">
            <v>04-3885504-7</v>
          </cell>
          <cell r="N470" t="str">
            <v>336-745-146</v>
          </cell>
          <cell r="O470">
            <v>43</v>
          </cell>
          <cell r="P470">
            <v>393</v>
          </cell>
          <cell r="Q470">
            <v>34</v>
          </cell>
          <cell r="R470">
            <v>8</v>
          </cell>
          <cell r="S470">
            <v>0</v>
          </cell>
          <cell r="T470" t="str">
            <v>Annabel Fedel
Blk 25, Lot 10, Palm Hill,
Palo Alto, Calamba, Laguna
0930-643-4230</v>
          </cell>
          <cell r="U470" t="str">
            <v>2020-07-01</v>
          </cell>
        </row>
        <row r="471">
          <cell r="C471" t="str">
            <v>P081</v>
          </cell>
          <cell r="D471" t="str">
            <v>Flor</v>
          </cell>
          <cell r="E471" t="str">
            <v>Judy Ann</v>
          </cell>
          <cell r="F471" t="str">
            <v>Tuazon</v>
          </cell>
          <cell r="G471" t="str">
            <v>Judy</v>
          </cell>
          <cell r="H471" t="str">
            <v>0912-376-9961</v>
          </cell>
          <cell r="I471" t="str">
            <v>1997-04-10</v>
          </cell>
          <cell r="J471">
            <v>2</v>
          </cell>
          <cell r="K471">
            <v>1</v>
          </cell>
          <cell r="M471" t="str">
            <v>05-1225967-9</v>
          </cell>
          <cell r="N471" t="str">
            <v>328-273-126</v>
          </cell>
          <cell r="O471">
            <v>43</v>
          </cell>
          <cell r="P471">
            <v>393</v>
          </cell>
          <cell r="Q471">
            <v>34</v>
          </cell>
          <cell r="R471">
            <v>8</v>
          </cell>
          <cell r="S471">
            <v>0</v>
          </cell>
          <cell r="T471" t="str">
            <v>Editha T. Flor
Parian, Calamba city, Laguna
0910-826-4661</v>
          </cell>
          <cell r="U471" t="str">
            <v>2020-07-01</v>
          </cell>
        </row>
        <row r="472">
          <cell r="C472" t="str">
            <v>P082</v>
          </cell>
          <cell r="D472" t="str">
            <v>Flores</v>
          </cell>
          <cell r="E472" t="str">
            <v>Alpha</v>
          </cell>
          <cell r="F472" t="str">
            <v>Rejano</v>
          </cell>
          <cell r="G472" t="str">
            <v>Alpha</v>
          </cell>
          <cell r="H472" t="str">
            <v>0945-437-7796</v>
          </cell>
          <cell r="I472" t="str">
            <v>1985-12-31</v>
          </cell>
          <cell r="J472">
            <v>2</v>
          </cell>
          <cell r="K472">
            <v>1</v>
          </cell>
          <cell r="M472" t="str">
            <v>04-1389969-1</v>
          </cell>
          <cell r="N472" t="str">
            <v>248-727-491</v>
          </cell>
          <cell r="O472">
            <v>43</v>
          </cell>
          <cell r="P472">
            <v>472</v>
          </cell>
          <cell r="Q472">
            <v>34</v>
          </cell>
          <cell r="R472">
            <v>8</v>
          </cell>
          <cell r="S472">
            <v>0</v>
          </cell>
          <cell r="T472" t="str">
            <v>Alita R. Flores
Evio St, Victoria, Laguna
0928-804-3320</v>
          </cell>
          <cell r="U472" t="str">
            <v>2020-07-01</v>
          </cell>
        </row>
        <row r="473">
          <cell r="C473" t="str">
            <v>P083</v>
          </cell>
          <cell r="D473" t="str">
            <v>Jallorina</v>
          </cell>
          <cell r="E473" t="str">
            <v>Angelyn</v>
          </cell>
          <cell r="F473" t="str">
            <v>Alvarez</v>
          </cell>
          <cell r="G473" t="str">
            <v>Angie</v>
          </cell>
          <cell r="H473" t="str">
            <v>0956-672-6001</v>
          </cell>
          <cell r="I473" t="str">
            <v>1988-05-11</v>
          </cell>
          <cell r="J473">
            <v>2</v>
          </cell>
          <cell r="K473">
            <v>2</v>
          </cell>
          <cell r="L473" t="str">
            <v>Elmar Jallorina</v>
          </cell>
          <cell r="M473" t="str">
            <v>04-1725584-6</v>
          </cell>
          <cell r="N473" t="str">
            <v>262-516-435</v>
          </cell>
          <cell r="O473">
            <v>43</v>
          </cell>
          <cell r="P473">
            <v>472</v>
          </cell>
          <cell r="Q473">
            <v>34</v>
          </cell>
          <cell r="R473">
            <v>8</v>
          </cell>
          <cell r="S473">
            <v>0</v>
          </cell>
          <cell r="T473" t="str">
            <v>Elmar A. Jallorina
Blk31 Lot50 Ph5, Mabuhay Subd,
Mamatid, Cabuyao, Laguna
0995-553-6588</v>
          </cell>
          <cell r="U473" t="str">
            <v>2020-07-01</v>
          </cell>
        </row>
        <row r="474">
          <cell r="C474" t="str">
            <v>P085</v>
          </cell>
          <cell r="D474" t="str">
            <v>Lazaga</v>
          </cell>
          <cell r="E474" t="str">
            <v>Brokcil</v>
          </cell>
          <cell r="F474" t="str">
            <v>Luces</v>
          </cell>
          <cell r="G474" t="str">
            <v>Brox</v>
          </cell>
          <cell r="H474" t="str">
            <v>0930-916-7460</v>
          </cell>
          <cell r="I474" t="str">
            <v>1989-05-04</v>
          </cell>
          <cell r="J474">
            <v>2</v>
          </cell>
          <cell r="K474">
            <v>1</v>
          </cell>
          <cell r="M474" t="str">
            <v>04-1763926-8</v>
          </cell>
          <cell r="N474" t="str">
            <v>304-667-160</v>
          </cell>
          <cell r="O474">
            <v>43</v>
          </cell>
          <cell r="P474">
            <v>472</v>
          </cell>
          <cell r="Q474">
            <v>34</v>
          </cell>
          <cell r="R474">
            <v>8</v>
          </cell>
          <cell r="S474">
            <v>0</v>
          </cell>
          <cell r="T474" t="str">
            <v>Ponciano E. Lazaga
0861 Purok 3 Bgy. Mamatid,
Cabuyao, Laguna
0948-525-3702</v>
          </cell>
          <cell r="U474" t="str">
            <v>2020-07-01</v>
          </cell>
        </row>
        <row r="475">
          <cell r="C475" t="str">
            <v>P086</v>
          </cell>
          <cell r="D475" t="str">
            <v>Leon</v>
          </cell>
          <cell r="E475" t="str">
            <v>Alea Vina</v>
          </cell>
          <cell r="F475" t="str">
            <v>Dominguez</v>
          </cell>
          <cell r="G475" t="str">
            <v>Aki</v>
          </cell>
          <cell r="H475" t="str">
            <v>0967-362-7067</v>
          </cell>
          <cell r="I475" t="str">
            <v>1990-09-13</v>
          </cell>
          <cell r="J475">
            <v>2</v>
          </cell>
          <cell r="K475">
            <v>1</v>
          </cell>
          <cell r="M475" t="str">
            <v>04-2292970-1</v>
          </cell>
          <cell r="N475" t="str">
            <v>402-240-842</v>
          </cell>
          <cell r="O475">
            <v>43</v>
          </cell>
          <cell r="P475">
            <v>472</v>
          </cell>
          <cell r="Q475">
            <v>34</v>
          </cell>
          <cell r="R475">
            <v>8</v>
          </cell>
          <cell r="S475">
            <v>0</v>
          </cell>
          <cell r="T475" t="str">
            <v>Vilma D. Leon
J. Tanalega St, Bgy. San Nicolas,
Bay, Laguna</v>
          </cell>
          <cell r="U475" t="str">
            <v>2020-07-01</v>
          </cell>
        </row>
        <row r="476">
          <cell r="C476" t="str">
            <v>P087</v>
          </cell>
          <cell r="D476" t="str">
            <v>Luno</v>
          </cell>
          <cell r="E476" t="str">
            <v>Jenny Lyn</v>
          </cell>
          <cell r="F476" t="str">
            <v>Palomo</v>
          </cell>
          <cell r="G476" t="str">
            <v>Jen</v>
          </cell>
          <cell r="H476" t="str">
            <v>0995-528-6140</v>
          </cell>
          <cell r="I476" t="str">
            <v>1983-08-04</v>
          </cell>
          <cell r="J476">
            <v>2</v>
          </cell>
          <cell r="K476">
            <v>1</v>
          </cell>
          <cell r="M476" t="str">
            <v>33-8362754-7</v>
          </cell>
          <cell r="N476" t="str">
            <v>304-855-472</v>
          </cell>
          <cell r="O476">
            <v>43</v>
          </cell>
          <cell r="P476">
            <v>472</v>
          </cell>
          <cell r="Q476">
            <v>34</v>
          </cell>
          <cell r="R476">
            <v>8</v>
          </cell>
          <cell r="S476">
            <v>0</v>
          </cell>
          <cell r="T476" t="str">
            <v>Miriam L. Cid
B36 L14 Ph1, Villa de Calamba,
La Mesa, Calamba, Laguna
0977-356-4522</v>
          </cell>
          <cell r="U476" t="str">
            <v>2020-07-01</v>
          </cell>
        </row>
        <row r="477">
          <cell r="C477" t="str">
            <v>P088</v>
          </cell>
          <cell r="D477" t="str">
            <v>Macalalad</v>
          </cell>
          <cell r="E477" t="str">
            <v>Raymart</v>
          </cell>
          <cell r="F477" t="str">
            <v>Caballero</v>
          </cell>
          <cell r="G477" t="str">
            <v>Rhea</v>
          </cell>
          <cell r="H477" t="str">
            <v>0955-749-1249</v>
          </cell>
          <cell r="I477" t="str">
            <v>1993-03-15</v>
          </cell>
          <cell r="J477">
            <v>1</v>
          </cell>
          <cell r="K477">
            <v>1</v>
          </cell>
          <cell r="M477" t="str">
            <v>34-3008316-0</v>
          </cell>
          <cell r="N477" t="str">
            <v>316-221-902</v>
          </cell>
          <cell r="O477">
            <v>43</v>
          </cell>
          <cell r="P477">
            <v>472</v>
          </cell>
          <cell r="Q477">
            <v>34</v>
          </cell>
          <cell r="R477">
            <v>8</v>
          </cell>
          <cell r="S477">
            <v>0</v>
          </cell>
          <cell r="T477" t="str">
            <v>Liberty C. Macalalad
Caloocan City
0936-542-7577</v>
          </cell>
          <cell r="U477" t="str">
            <v>2020-07-01</v>
          </cell>
        </row>
        <row r="478">
          <cell r="C478" t="str">
            <v>P089</v>
          </cell>
          <cell r="D478" t="str">
            <v>Macayan</v>
          </cell>
          <cell r="E478" t="str">
            <v>Jovy</v>
          </cell>
          <cell r="F478" t="str">
            <v>Mataverde</v>
          </cell>
          <cell r="G478" t="str">
            <v>Jho</v>
          </cell>
          <cell r="H478" t="str">
            <v>0910-680-3364</v>
          </cell>
          <cell r="I478" t="str">
            <v>1988-04-29</v>
          </cell>
          <cell r="J478">
            <v>2</v>
          </cell>
          <cell r="K478">
            <v>1</v>
          </cell>
          <cell r="M478" t="str">
            <v>04-3335376-4</v>
          </cell>
          <cell r="N478" t="str">
            <v>493-378-882</v>
          </cell>
          <cell r="O478">
            <v>43</v>
          </cell>
          <cell r="P478">
            <v>472</v>
          </cell>
          <cell r="Q478">
            <v>34</v>
          </cell>
          <cell r="R478">
            <v>8</v>
          </cell>
          <cell r="S478">
            <v>0</v>
          </cell>
          <cell r="T478" t="str">
            <v xml:space="preserve">Jose M. Macayan
Bgy. Guiron, Pilar, Sorsogon
0930-584-1166
</v>
          </cell>
          <cell r="U478" t="str">
            <v>2020-07-01</v>
          </cell>
        </row>
        <row r="479">
          <cell r="C479" t="str">
            <v>P097</v>
          </cell>
          <cell r="D479" t="str">
            <v>Oracion</v>
          </cell>
          <cell r="E479" t="str">
            <v>Jenny</v>
          </cell>
          <cell r="F479" t="str">
            <v>Lambon</v>
          </cell>
          <cell r="G479" t="str">
            <v>Jenny</v>
          </cell>
          <cell r="H479" t="str">
            <v>090-487-9615</v>
          </cell>
          <cell r="I479" t="str">
            <v>1993-08-30</v>
          </cell>
          <cell r="J479">
            <v>2</v>
          </cell>
          <cell r="K479">
            <v>1</v>
          </cell>
          <cell r="M479" t="str">
            <v>04-2606022-6</v>
          </cell>
          <cell r="N479" t="str">
            <v>313-033-473</v>
          </cell>
          <cell r="O479">
            <v>43</v>
          </cell>
          <cell r="P479">
            <v>472</v>
          </cell>
          <cell r="Q479">
            <v>34</v>
          </cell>
          <cell r="R479">
            <v>8</v>
          </cell>
          <cell r="S479">
            <v>0</v>
          </cell>
          <cell r="T479" t="str">
            <v>Lolita Oracion
B29 L26 St. Joseph Homes,
Laguerta, Calamba, Laguna
0912-760-8222</v>
          </cell>
          <cell r="U479" t="str">
            <v>2020-07-01</v>
          </cell>
        </row>
        <row r="480">
          <cell r="C480" t="str">
            <v>P030</v>
          </cell>
          <cell r="D480" t="str">
            <v>Fantinalgo</v>
          </cell>
          <cell r="E480" t="str">
            <v>Ronald</v>
          </cell>
          <cell r="F480" t="str">
            <v>Gadian</v>
          </cell>
          <cell r="G480" t="str">
            <v>Nald</v>
          </cell>
          <cell r="H480" t="str">
            <v>0928-156-1855</v>
          </cell>
          <cell r="I480" t="str">
            <v>1981-08-26</v>
          </cell>
          <cell r="J480">
            <v>1</v>
          </cell>
          <cell r="K480">
            <v>1</v>
          </cell>
          <cell r="M480" t="str">
            <v>07-2265972-6</v>
          </cell>
          <cell r="N480" t="str">
            <v>316-853-571</v>
          </cell>
          <cell r="O480">
            <v>43</v>
          </cell>
          <cell r="P480">
            <v>146</v>
          </cell>
          <cell r="Q480">
            <v>27</v>
          </cell>
          <cell r="R480">
            <v>6</v>
          </cell>
          <cell r="S480">
            <v>0</v>
          </cell>
          <cell r="T480" t="str">
            <v>Arlene Untalan
Blk13 Lot87 Ph6 Mabuhay City,
Mamatid, Cabuyao, Laguna
0921-345-5835</v>
          </cell>
          <cell r="U480" t="str">
            <v>2020-07-01</v>
          </cell>
        </row>
        <row r="481">
          <cell r="C481" t="str">
            <v>P031</v>
          </cell>
          <cell r="D481" t="str">
            <v>De Mesa</v>
          </cell>
          <cell r="E481" t="str">
            <v>Renier</v>
          </cell>
          <cell r="F481" t="str">
            <v>Antiporta</v>
          </cell>
          <cell r="G481" t="str">
            <v>Rhen</v>
          </cell>
          <cell r="H481" t="str">
            <v>0995-438-4605</v>
          </cell>
          <cell r="I481" t="str">
            <v>1988-02-12</v>
          </cell>
          <cell r="J481">
            <v>1</v>
          </cell>
          <cell r="K481">
            <v>1</v>
          </cell>
          <cell r="M481" t="str">
            <v>04-1678318-6</v>
          </cell>
          <cell r="N481" t="str">
            <v>252-813-809</v>
          </cell>
          <cell r="O481">
            <v>43</v>
          </cell>
          <cell r="P481">
            <v>317</v>
          </cell>
          <cell r="Q481">
            <v>20</v>
          </cell>
          <cell r="R481">
            <v>4</v>
          </cell>
          <cell r="S481">
            <v>0</v>
          </cell>
          <cell r="T481" t="str">
            <v>Susana A. De Mesa
176 Purok 2, Banlic,
Cabuyao, Laguna
0929-521-4408</v>
          </cell>
          <cell r="U481" t="str">
            <v>2020-07-01</v>
          </cell>
        </row>
        <row r="482">
          <cell r="C482" t="str">
            <v>P033</v>
          </cell>
          <cell r="D482" t="str">
            <v>Panaligan</v>
          </cell>
          <cell r="E482" t="str">
            <v>Sheryl</v>
          </cell>
          <cell r="F482" t="str">
            <v>Sardan</v>
          </cell>
          <cell r="G482" t="str">
            <v>Sheh</v>
          </cell>
          <cell r="H482" t="str">
            <v>0906-772-3580</v>
          </cell>
          <cell r="I482" t="str">
            <v>1989-12-09</v>
          </cell>
          <cell r="J482">
            <v>2</v>
          </cell>
          <cell r="K482">
            <v>1</v>
          </cell>
          <cell r="M482" t="str">
            <v>04-1933376-6</v>
          </cell>
          <cell r="N482" t="str">
            <v>717-563-456</v>
          </cell>
          <cell r="O482">
            <v>41</v>
          </cell>
          <cell r="P482">
            <v>453</v>
          </cell>
          <cell r="Q482">
            <v>20</v>
          </cell>
          <cell r="R482">
            <v>4</v>
          </cell>
          <cell r="S482">
            <v>0</v>
          </cell>
          <cell r="T482" t="str">
            <v>Ronnie L. Dansico
Blk1 Lot84 Our Mahogany Vill 2,
San Isidro, Cabuyao, Laguna
0905-702-9505</v>
          </cell>
          <cell r="U482" t="str">
            <v>2020-07-01</v>
          </cell>
        </row>
        <row r="483">
          <cell r="C483" t="str">
            <v>P035</v>
          </cell>
          <cell r="D483" t="str">
            <v>Seraspi</v>
          </cell>
          <cell r="E483" t="str">
            <v>Marvel</v>
          </cell>
          <cell r="F483" t="str">
            <v>Sabay</v>
          </cell>
          <cell r="G483" t="str">
            <v>Vel</v>
          </cell>
          <cell r="H483" t="str">
            <v>0938-924-9941</v>
          </cell>
          <cell r="I483" t="str">
            <v>1994-06-11</v>
          </cell>
          <cell r="J483">
            <v>1</v>
          </cell>
          <cell r="K483">
            <v>1</v>
          </cell>
          <cell r="M483" t="str">
            <v>34-4839748-2</v>
          </cell>
          <cell r="N483" t="str">
            <v>351-859-541</v>
          </cell>
          <cell r="O483">
            <v>43</v>
          </cell>
          <cell r="P483">
            <v>504</v>
          </cell>
          <cell r="Q483">
            <v>69</v>
          </cell>
          <cell r="R483">
            <v>13</v>
          </cell>
          <cell r="S483">
            <v>0</v>
          </cell>
          <cell r="T483" t="str">
            <v>Angelica Espinola
218B Bgy. San Isidro,
Cabuyao, Laguna
0948-232-8295</v>
          </cell>
          <cell r="U483" t="str">
            <v>2020-07-01</v>
          </cell>
        </row>
        <row r="484">
          <cell r="C484" t="str">
            <v>P036</v>
          </cell>
          <cell r="D484" t="str">
            <v>Antone</v>
          </cell>
          <cell r="E484" t="str">
            <v>Sheladel</v>
          </cell>
          <cell r="F484" t="str">
            <v>Lopez</v>
          </cell>
          <cell r="G484" t="str">
            <v>Shie</v>
          </cell>
          <cell r="H484" t="str">
            <v>0947-285-4791</v>
          </cell>
          <cell r="I484" t="str">
            <v>1988-07-14</v>
          </cell>
          <cell r="J484">
            <v>2</v>
          </cell>
          <cell r="K484">
            <v>1</v>
          </cell>
          <cell r="M484" t="str">
            <v>04-1973644-4</v>
          </cell>
          <cell r="N484" t="str">
            <v>265-926-302</v>
          </cell>
          <cell r="O484">
            <v>40</v>
          </cell>
          <cell r="P484">
            <v>441</v>
          </cell>
          <cell r="Q484">
            <v>21</v>
          </cell>
          <cell r="R484">
            <v>4</v>
          </cell>
          <cell r="S484">
            <v>0</v>
          </cell>
          <cell r="T484" t="str">
            <v>Marcela L. Antone
Mabuhay II, Socorro,
Oriental Mindoro
0907-736-2794</v>
          </cell>
          <cell r="U484" t="str">
            <v>2020-07-01</v>
          </cell>
        </row>
        <row r="485">
          <cell r="C485" t="str">
            <v>P072</v>
          </cell>
          <cell r="D485" t="str">
            <v>Baja</v>
          </cell>
          <cell r="E485" t="str">
            <v>Cherryl</v>
          </cell>
          <cell r="F485" t="str">
            <v>Maturan</v>
          </cell>
          <cell r="G485" t="str">
            <v>Che</v>
          </cell>
          <cell r="H485" t="str">
            <v>0956-467-6686</v>
          </cell>
          <cell r="I485" t="str">
            <v>1997-07-13</v>
          </cell>
          <cell r="J485">
            <v>2</v>
          </cell>
          <cell r="K485">
            <v>1</v>
          </cell>
          <cell r="M485" t="str">
            <v>04-2964103-7</v>
          </cell>
          <cell r="N485" t="str">
            <v>334-098-225</v>
          </cell>
          <cell r="O485">
            <v>43</v>
          </cell>
          <cell r="P485">
            <v>472</v>
          </cell>
          <cell r="Q485">
            <v>34</v>
          </cell>
          <cell r="R485">
            <v>8</v>
          </cell>
          <cell r="S485">
            <v>0</v>
          </cell>
          <cell r="T485" t="str">
            <v>Lilebeth Delos Santos
Blk16 Lot16  Aztec Homes,
Bgy. Looc,  Calamba Laguna
0928-631-5689</v>
          </cell>
          <cell r="U485" t="str">
            <v>2020-07-01</v>
          </cell>
        </row>
        <row r="486">
          <cell r="C486" t="str">
            <v>P074</v>
          </cell>
          <cell r="D486" t="str">
            <v>Bolalin</v>
          </cell>
          <cell r="E486" t="str">
            <v>Loida</v>
          </cell>
          <cell r="F486" t="str">
            <v>Candelaria</v>
          </cell>
          <cell r="G486" t="str">
            <v>Dah</v>
          </cell>
          <cell r="H486" t="str">
            <v>0945-197-4801</v>
          </cell>
          <cell r="I486" t="str">
            <v>1992-08-26</v>
          </cell>
          <cell r="J486">
            <v>2</v>
          </cell>
          <cell r="K486">
            <v>1</v>
          </cell>
          <cell r="M486" t="str">
            <v>05-1056516-1</v>
          </cell>
          <cell r="N486" t="str">
            <v>337-026-726</v>
          </cell>
          <cell r="O486">
            <v>43</v>
          </cell>
          <cell r="P486">
            <v>472</v>
          </cell>
          <cell r="Q486">
            <v>34</v>
          </cell>
          <cell r="R486">
            <v>8</v>
          </cell>
          <cell r="S486">
            <v>0</v>
          </cell>
          <cell r="T486" t="str">
            <v>Lotlot B. Luna
108 Ilaya St, Paciano Rizal,
Calamba City, Laguna
0966-314-6184</v>
          </cell>
          <cell r="U486" t="str">
            <v>2020-07-01</v>
          </cell>
        </row>
        <row r="487">
          <cell r="C487" t="str">
            <v>P075</v>
          </cell>
          <cell r="D487" t="str">
            <v>Bragas</v>
          </cell>
          <cell r="E487" t="str">
            <v>Ivan</v>
          </cell>
          <cell r="F487" t="str">
            <v>Larosa</v>
          </cell>
          <cell r="G487" t="str">
            <v>Van</v>
          </cell>
          <cell r="H487" t="str">
            <v>0915-716-2187</v>
          </cell>
          <cell r="I487" t="str">
            <v>1991-12-19</v>
          </cell>
          <cell r="J487">
            <v>1</v>
          </cell>
          <cell r="K487">
            <v>1</v>
          </cell>
          <cell r="M487" t="str">
            <v>04-2186441-4</v>
          </cell>
          <cell r="N487" t="str">
            <v>297-419-410</v>
          </cell>
          <cell r="O487">
            <v>43</v>
          </cell>
          <cell r="P487">
            <v>393</v>
          </cell>
          <cell r="Q487">
            <v>34</v>
          </cell>
          <cell r="R487">
            <v>8</v>
          </cell>
          <cell r="S487">
            <v>0</v>
          </cell>
          <cell r="T487" t="str">
            <v>Maridel L. Bragas
Blk11 Lot22 P2 Carlton Res.
Bgy. Dita, Sta. Rosa, Laguna
0948-275-1353</v>
          </cell>
          <cell r="U487" t="str">
            <v>2020-07-01</v>
          </cell>
        </row>
        <row r="488">
          <cell r="C488" t="str">
            <v>P078</v>
          </cell>
          <cell r="D488" t="str">
            <v>DueÃ±as</v>
          </cell>
          <cell r="E488" t="str">
            <v>Mark Jay</v>
          </cell>
          <cell r="F488" t="str">
            <v>Lagrana</v>
          </cell>
          <cell r="G488" t="str">
            <v>MJ</v>
          </cell>
          <cell r="H488" t="str">
            <v>0947-588-8886</v>
          </cell>
          <cell r="I488" t="str">
            <v>1992-10-29</v>
          </cell>
          <cell r="J488">
            <v>1</v>
          </cell>
          <cell r="K488">
            <v>1</v>
          </cell>
          <cell r="M488" t="str">
            <v>04-2456199-2</v>
          </cell>
          <cell r="N488" t="str">
            <v>329-341-524</v>
          </cell>
          <cell r="O488">
            <v>43</v>
          </cell>
          <cell r="P488">
            <v>472</v>
          </cell>
          <cell r="Q488">
            <v>34</v>
          </cell>
          <cell r="R488">
            <v>8</v>
          </cell>
          <cell r="S488">
            <v>0</v>
          </cell>
          <cell r="T488" t="str">
            <v>Alicia L. DueÃ±as
Bahid II, Matulatula,
Pola, Oriental Mindoro
0948-595-0038</v>
          </cell>
          <cell r="U488" t="str">
            <v>2020-07-01</v>
          </cell>
        </row>
        <row r="489">
          <cell r="C489" t="str">
            <v>P092</v>
          </cell>
          <cell r="D489" t="str">
            <v>Manaig</v>
          </cell>
          <cell r="E489" t="str">
            <v>Kem Nicol</v>
          </cell>
          <cell r="F489" t="str">
            <v>Elis</v>
          </cell>
          <cell r="G489" t="str">
            <v>Kem</v>
          </cell>
          <cell r="H489" t="str">
            <v>0927-510-9202</v>
          </cell>
          <cell r="I489" t="str">
            <v>1999-09-06</v>
          </cell>
          <cell r="J489">
            <v>1</v>
          </cell>
          <cell r="K489">
            <v>1</v>
          </cell>
          <cell r="M489" t="str">
            <v>04-4065855-9</v>
          </cell>
          <cell r="N489" t="str">
            <v>359-977-764</v>
          </cell>
          <cell r="O489">
            <v>43</v>
          </cell>
          <cell r="P489">
            <v>466</v>
          </cell>
          <cell r="Q489">
            <v>33</v>
          </cell>
          <cell r="R489">
            <v>8</v>
          </cell>
          <cell r="S489">
            <v>0</v>
          </cell>
          <cell r="T489" t="str">
            <v>Camela E. Manaig
Mangumit II, Sta. Regina Homes,
Canlubang, Calamba, Laguna
0967-552-0536</v>
          </cell>
          <cell r="U489" t="str">
            <v>2020-07-01</v>
          </cell>
        </row>
        <row r="490">
          <cell r="C490" t="str">
            <v>P093</v>
          </cell>
          <cell r="D490" t="str">
            <v>Manalo</v>
          </cell>
          <cell r="E490" t="str">
            <v>Rovelyn</v>
          </cell>
          <cell r="F490" t="str">
            <v>Melendrez</v>
          </cell>
          <cell r="G490" t="str">
            <v>Rovie</v>
          </cell>
          <cell r="H490" t="str">
            <v>0946-426-5452</v>
          </cell>
          <cell r="I490" t="str">
            <v>1995-01-03</v>
          </cell>
          <cell r="J490">
            <v>2</v>
          </cell>
          <cell r="K490">
            <v>1</v>
          </cell>
          <cell r="M490" t="str">
            <v>04-2917728-4</v>
          </cell>
          <cell r="N490" t="str">
            <v>454-327-806</v>
          </cell>
          <cell r="O490">
            <v>43</v>
          </cell>
          <cell r="P490">
            <v>363</v>
          </cell>
          <cell r="Q490">
            <v>34</v>
          </cell>
          <cell r="R490">
            <v>8</v>
          </cell>
          <cell r="S490">
            <v>0</v>
          </cell>
          <cell r="T490" t="str">
            <v>Rowena M. Manalo
Guinobatan, Calapan,
Oriental Mindoro
0946-980-4219</v>
          </cell>
          <cell r="U490" t="str">
            <v>2020-07-01</v>
          </cell>
        </row>
        <row r="491">
          <cell r="C491" t="str">
            <v>P094</v>
          </cell>
          <cell r="D491" t="str">
            <v>Marcos</v>
          </cell>
          <cell r="E491" t="str">
            <v>Marlon</v>
          </cell>
          <cell r="F491" t="str">
            <v>Cayog</v>
          </cell>
          <cell r="G491" t="str">
            <v>Mhon</v>
          </cell>
          <cell r="H491" t="str">
            <v>0921-358-8996</v>
          </cell>
          <cell r="I491" t="str">
            <v>1991-11-10</v>
          </cell>
          <cell r="J491">
            <v>1</v>
          </cell>
          <cell r="K491">
            <v>1</v>
          </cell>
          <cell r="M491" t="str">
            <v>34-2091065-4</v>
          </cell>
          <cell r="N491" t="str">
            <v>715-902-382</v>
          </cell>
          <cell r="O491">
            <v>43</v>
          </cell>
          <cell r="P491">
            <v>472</v>
          </cell>
          <cell r="Q491">
            <v>34</v>
          </cell>
          <cell r="R491">
            <v>8</v>
          </cell>
          <cell r="S491">
            <v>0</v>
          </cell>
          <cell r="T491" t="str">
            <v>Ma. Angelita Marcos
Doctora's Compd, Mayapa,
Calamba City, Laguna
0948-788-2622</v>
          </cell>
          <cell r="U491" t="str">
            <v>2020-07-01</v>
          </cell>
        </row>
        <row r="492">
          <cell r="C492" t="str">
            <v>P053</v>
          </cell>
          <cell r="D492" t="str">
            <v>Pan</v>
          </cell>
          <cell r="E492" t="str">
            <v>Eugene</v>
          </cell>
          <cell r="F492" t="str">
            <v>Caraballe</v>
          </cell>
          <cell r="G492" t="str">
            <v>Gene</v>
          </cell>
          <cell r="H492">
            <v>9438648858</v>
          </cell>
          <cell r="I492" t="str">
            <v>1995-08-09</v>
          </cell>
          <cell r="J492">
            <v>1</v>
          </cell>
          <cell r="K492">
            <v>1</v>
          </cell>
          <cell r="M492" t="str">
            <v>07-3213186-5</v>
          </cell>
          <cell r="N492" t="str">
            <v>474-352-273</v>
          </cell>
          <cell r="O492">
            <v>43</v>
          </cell>
          <cell r="P492">
            <v>502</v>
          </cell>
          <cell r="Q492">
            <v>62</v>
          </cell>
          <cell r="R492">
            <v>12</v>
          </cell>
          <cell r="S492">
            <v>0</v>
          </cell>
          <cell r="T492" t="str">
            <v>Emily Pan
169 Rizal Villlage Paciano Rizal Calamba City Laguna
09279117418
09279117418</v>
          </cell>
          <cell r="U492" t="str">
            <v>2020-07-01</v>
          </cell>
        </row>
        <row r="493">
          <cell r="C493" t="str">
            <v>P095</v>
          </cell>
          <cell r="D493" t="str">
            <v>Mayo</v>
          </cell>
          <cell r="E493" t="str">
            <v>Hazel</v>
          </cell>
          <cell r="F493" t="str">
            <v>Martinez</v>
          </cell>
          <cell r="G493" t="str">
            <v>Zhiel</v>
          </cell>
          <cell r="H493" t="str">
            <v>0918-568-5549</v>
          </cell>
          <cell r="I493" t="str">
            <v>1981-11-08</v>
          </cell>
          <cell r="J493">
            <v>2</v>
          </cell>
          <cell r="K493">
            <v>2</v>
          </cell>
          <cell r="L493" t="str">
            <v>Roger Saturno Mayo</v>
          </cell>
          <cell r="M493" t="str">
            <v>06-1758136-5</v>
          </cell>
          <cell r="N493" t="str">
            <v>206-100-785</v>
          </cell>
          <cell r="O493">
            <v>43</v>
          </cell>
          <cell r="P493">
            <v>472</v>
          </cell>
          <cell r="Q493">
            <v>34</v>
          </cell>
          <cell r="R493">
            <v>8</v>
          </cell>
          <cell r="S493">
            <v>0</v>
          </cell>
          <cell r="T493" t="str">
            <v>Roger S. Mayo
P2 Burok-burok, Bgy. Dita,
Sta. Rosa, Laguna
0921-933-4152</v>
          </cell>
          <cell r="U493" t="str">
            <v>2020-07-01</v>
          </cell>
        </row>
        <row r="494">
          <cell r="C494" t="str">
            <v>P054</v>
          </cell>
          <cell r="D494" t="str">
            <v>Latayan</v>
          </cell>
          <cell r="E494" t="str">
            <v>Desiree</v>
          </cell>
          <cell r="F494" t="str">
            <v>Perez</v>
          </cell>
          <cell r="G494" t="str">
            <v>Dhes</v>
          </cell>
          <cell r="H494">
            <v>9386674177</v>
          </cell>
          <cell r="I494" t="str">
            <v>1995-12-18</v>
          </cell>
          <cell r="J494">
            <v>2</v>
          </cell>
          <cell r="K494">
            <v>2</v>
          </cell>
          <cell r="L494" t="str">
            <v>Carlo Morcilla Latayan</v>
          </cell>
          <cell r="M494" t="str">
            <v>34-5863969-3</v>
          </cell>
          <cell r="N494" t="str">
            <v>742-636-523</v>
          </cell>
          <cell r="O494">
            <v>43</v>
          </cell>
          <cell r="P494">
            <v>492</v>
          </cell>
          <cell r="Q494">
            <v>55</v>
          </cell>
          <cell r="R494">
            <v>11</v>
          </cell>
          <cell r="S494">
            <v>0</v>
          </cell>
          <cell r="T494" t="str">
            <v xml:space="preserve">Carlo M. Latayan
B11 Lot 1 Brgy. Banay Banay, Cabuyao, Laguna
0930-647-0914
</v>
          </cell>
          <cell r="U494" t="str">
            <v>2020-07-01</v>
          </cell>
        </row>
        <row r="495">
          <cell r="C495" t="str">
            <v>P096</v>
          </cell>
          <cell r="D495" t="str">
            <v>Nocus</v>
          </cell>
          <cell r="E495" t="str">
            <v>Janice</v>
          </cell>
          <cell r="F495" t="str">
            <v>Delos Santos</v>
          </cell>
          <cell r="G495" t="str">
            <v>Jha</v>
          </cell>
          <cell r="H495" t="str">
            <v>0951-325-2734</v>
          </cell>
          <cell r="I495" t="str">
            <v>1990-04-01</v>
          </cell>
          <cell r="J495">
            <v>2</v>
          </cell>
          <cell r="K495">
            <v>1</v>
          </cell>
          <cell r="M495" t="str">
            <v>04-2433334-0</v>
          </cell>
          <cell r="N495" t="str">
            <v>460-437-257</v>
          </cell>
          <cell r="O495">
            <v>43</v>
          </cell>
          <cell r="P495">
            <v>363</v>
          </cell>
          <cell r="Q495">
            <v>34</v>
          </cell>
          <cell r="R495">
            <v>8</v>
          </cell>
          <cell r="S495">
            <v>0</v>
          </cell>
          <cell r="T495" t="str">
            <v>Jonalyn Nocus
Bgy. San Cristobal,
Calamba City, Laguna
0955-382-0007</v>
          </cell>
          <cell r="U495" t="str">
            <v>2020-07-01</v>
          </cell>
        </row>
        <row r="496">
          <cell r="C496" t="str">
            <v>P101</v>
          </cell>
          <cell r="D496" t="str">
            <v>Ranao</v>
          </cell>
          <cell r="E496" t="str">
            <v>Cyril Alexandria</v>
          </cell>
          <cell r="F496" t="str">
            <v>Alegre</v>
          </cell>
          <cell r="G496" t="str">
            <v>Cyril</v>
          </cell>
          <cell r="H496" t="str">
            <v>0939-428-6062</v>
          </cell>
          <cell r="I496" t="str">
            <v>1994-04-01</v>
          </cell>
          <cell r="J496">
            <v>2</v>
          </cell>
          <cell r="K496">
            <v>1</v>
          </cell>
          <cell r="M496" t="str">
            <v>05-1136976-4</v>
          </cell>
          <cell r="N496" t="str">
            <v>348-899-455</v>
          </cell>
          <cell r="O496">
            <v>43</v>
          </cell>
          <cell r="P496">
            <v>393</v>
          </cell>
          <cell r="Q496">
            <v>34</v>
          </cell>
          <cell r="R496">
            <v>8</v>
          </cell>
          <cell r="S496">
            <v>0</v>
          </cell>
          <cell r="T496" t="str">
            <v>Jocelyn A. Ranao
Blk2 Lot9 Pina St, Ceris 3,
Canlubang, Calamba City, Laguna
0975-187-7364</v>
          </cell>
          <cell r="U496" t="str">
            <v>2020-07-01</v>
          </cell>
        </row>
        <row r="497">
          <cell r="C497" t="str">
            <v>P039</v>
          </cell>
          <cell r="D497" t="str">
            <v>Alonzo</v>
          </cell>
          <cell r="E497" t="str">
            <v>Jade</v>
          </cell>
          <cell r="F497" t="str">
            <v>Ebido</v>
          </cell>
          <cell r="G497" t="str">
            <v>Jhade</v>
          </cell>
          <cell r="H497" t="str">
            <v>0939-158-3340</v>
          </cell>
          <cell r="I497" t="str">
            <v>1989-06-20</v>
          </cell>
          <cell r="J497">
            <v>2</v>
          </cell>
          <cell r="K497">
            <v>1</v>
          </cell>
          <cell r="M497" t="str">
            <v>04-2029494-6</v>
          </cell>
          <cell r="N497" t="str">
            <v>309-437-801</v>
          </cell>
          <cell r="O497">
            <v>43</v>
          </cell>
          <cell r="P497">
            <v>502</v>
          </cell>
          <cell r="Q497">
            <v>62</v>
          </cell>
          <cell r="R497">
            <v>12</v>
          </cell>
          <cell r="S497">
            <v>0</v>
          </cell>
          <cell r="T497" t="str">
            <v>Jeronimo A. Alonzo
Ph1 B36 L43 Mabuhay City,
Baclaran, Cabuyao, Laguna
0919-859-1824</v>
          </cell>
          <cell r="U497" t="str">
            <v>2020-07-01</v>
          </cell>
        </row>
        <row r="498">
          <cell r="C498" t="str">
            <v>P041</v>
          </cell>
          <cell r="D498" t="str">
            <v>Maloles</v>
          </cell>
          <cell r="E498" t="str">
            <v>Jonalyn</v>
          </cell>
          <cell r="F498" t="str">
            <v>Biag</v>
          </cell>
          <cell r="G498" t="str">
            <v>Jona</v>
          </cell>
          <cell r="H498" t="str">
            <v>0950-344-1243</v>
          </cell>
          <cell r="I498" t="str">
            <v>1991-07-14</v>
          </cell>
          <cell r="J498">
            <v>2</v>
          </cell>
          <cell r="K498">
            <v>2</v>
          </cell>
          <cell r="L498" t="str">
            <v>Jerald Reyes Maloles</v>
          </cell>
          <cell r="M498" t="str">
            <v>04-2297168-1</v>
          </cell>
          <cell r="N498" t="str">
            <v>707-250-626</v>
          </cell>
          <cell r="O498">
            <v>43</v>
          </cell>
          <cell r="P498">
            <v>502</v>
          </cell>
          <cell r="Q498">
            <v>62</v>
          </cell>
          <cell r="R498">
            <v>12</v>
          </cell>
          <cell r="S498">
            <v>0</v>
          </cell>
          <cell r="T498" t="str">
            <v>Jerald R. Maloles
Ph 1 Lakeview, Halang, 
Calamba City, Laguna
0907-736-0303</v>
          </cell>
          <cell r="U498" t="str">
            <v>2020-07-14</v>
          </cell>
        </row>
        <row r="499">
          <cell r="C499" t="str">
            <v>P042</v>
          </cell>
          <cell r="D499" t="str">
            <v>Cauan</v>
          </cell>
          <cell r="E499" t="str">
            <v>Neil Anthony</v>
          </cell>
          <cell r="F499" t="str">
            <v>Pabalan</v>
          </cell>
          <cell r="G499" t="str">
            <v>Neil</v>
          </cell>
          <cell r="H499" t="str">
            <v>0951-357-5865</v>
          </cell>
          <cell r="I499" t="str">
            <v>1995-06-08</v>
          </cell>
          <cell r="J499">
            <v>1</v>
          </cell>
          <cell r="K499">
            <v>1</v>
          </cell>
          <cell r="M499" t="str">
            <v>04-3526534-2</v>
          </cell>
          <cell r="N499" t="str">
            <v>338-813-350</v>
          </cell>
          <cell r="O499">
            <v>43</v>
          </cell>
          <cell r="P499">
            <v>502</v>
          </cell>
          <cell r="Q499">
            <v>62</v>
          </cell>
          <cell r="R499">
            <v>12</v>
          </cell>
          <cell r="S499">
            <v>0</v>
          </cell>
          <cell r="T499" t="str">
            <v>Solita P. Cauan
234 San Juan, Calamba City, Laguna
0997-728-7928</v>
          </cell>
          <cell r="U499" t="str">
            <v>2020-07-01</v>
          </cell>
        </row>
        <row r="500">
          <cell r="C500" t="str">
            <v>P043</v>
          </cell>
          <cell r="D500" t="str">
            <v>Cervantes</v>
          </cell>
          <cell r="E500" t="str">
            <v>Judy Ann</v>
          </cell>
          <cell r="F500" t="str">
            <v>Dichoso</v>
          </cell>
          <cell r="G500" t="str">
            <v>Juday</v>
          </cell>
          <cell r="H500" t="str">
            <v>0935-836-7270</v>
          </cell>
          <cell r="I500" t="str">
            <v>1994-08-23</v>
          </cell>
          <cell r="J500">
            <v>2</v>
          </cell>
          <cell r="K500">
            <v>2</v>
          </cell>
          <cell r="L500" t="str">
            <v>Jeraph Sunio Cervantes</v>
          </cell>
          <cell r="M500" t="str">
            <v>04-3733364-1</v>
          </cell>
          <cell r="N500" t="str">
            <v>331-189-932</v>
          </cell>
          <cell r="O500">
            <v>43</v>
          </cell>
          <cell r="P500">
            <v>485</v>
          </cell>
          <cell r="Q500">
            <v>59</v>
          </cell>
          <cell r="R500">
            <v>11</v>
          </cell>
          <cell r="S500">
            <v>0</v>
          </cell>
          <cell r="T500" t="str">
            <v>Jeraph S. Cervantes
132-D Purok 3, Bgy. Sta. Anastacia,
Sto. Tomas, Batangas
0910-467-5113</v>
          </cell>
          <cell r="U500" t="str">
            <v>2020-07-01</v>
          </cell>
        </row>
        <row r="501">
          <cell r="C501" t="str">
            <v>P044</v>
          </cell>
          <cell r="D501" t="str">
            <v>Dimayuga</v>
          </cell>
          <cell r="E501" t="str">
            <v>Ericson</v>
          </cell>
          <cell r="F501" t="str">
            <v>Surara</v>
          </cell>
          <cell r="G501" t="str">
            <v>Eric</v>
          </cell>
          <cell r="H501" t="str">
            <v>0915-511-2430</v>
          </cell>
          <cell r="I501" t="str">
            <v>1997-01-04</v>
          </cell>
          <cell r="J501">
            <v>1</v>
          </cell>
          <cell r="K501">
            <v>1</v>
          </cell>
          <cell r="M501" t="str">
            <v>04-3529712-9</v>
          </cell>
          <cell r="N501" t="str">
            <v>321-357-675</v>
          </cell>
          <cell r="O501">
            <v>43</v>
          </cell>
          <cell r="P501">
            <v>502</v>
          </cell>
          <cell r="Q501">
            <v>62</v>
          </cell>
          <cell r="R501">
            <v>12</v>
          </cell>
          <cell r="S501">
            <v>0</v>
          </cell>
          <cell r="T501" t="str">
            <v>Eugene Dimayuga
790 Purok 3, Bucal
Calamba City, Laguna
0926-195-4968</v>
          </cell>
          <cell r="U501" t="str">
            <v>2020-07-01</v>
          </cell>
        </row>
        <row r="502">
          <cell r="C502" t="str">
            <v>P045</v>
          </cell>
          <cell r="D502" t="str">
            <v>Garcia</v>
          </cell>
          <cell r="E502" t="str">
            <v>Azela</v>
          </cell>
          <cell r="F502" t="str">
            <v>Caparas</v>
          </cell>
          <cell r="G502" t="str">
            <v>Azela</v>
          </cell>
          <cell r="H502" t="str">
            <v>0920-320-0880</v>
          </cell>
          <cell r="I502" t="str">
            <v>1994-10-31</v>
          </cell>
          <cell r="J502">
            <v>2</v>
          </cell>
          <cell r="K502">
            <v>1</v>
          </cell>
          <cell r="M502" t="str">
            <v>04-2742991-8</v>
          </cell>
          <cell r="N502" t="str">
            <v>316-070-504</v>
          </cell>
          <cell r="O502">
            <v>43</v>
          </cell>
          <cell r="P502">
            <v>502</v>
          </cell>
          <cell r="Q502">
            <v>62</v>
          </cell>
          <cell r="R502">
            <v>12</v>
          </cell>
          <cell r="S502">
            <v>0</v>
          </cell>
          <cell r="T502" t="str">
            <v>Delia C. Garcia
Sitio Matapat, Real,
Calamba City, Laguna
0946-574-0100</v>
          </cell>
          <cell r="U502" t="str">
            <v>2020-07-01</v>
          </cell>
        </row>
        <row r="503">
          <cell r="C503" t="str">
            <v>P046</v>
          </cell>
          <cell r="D503" t="str">
            <v>Macalalad</v>
          </cell>
          <cell r="E503" t="str">
            <v>Myra</v>
          </cell>
          <cell r="F503" t="str">
            <v>Mercado</v>
          </cell>
          <cell r="G503" t="str">
            <v>Mhy</v>
          </cell>
          <cell r="H503" t="str">
            <v>0915-945-1604</v>
          </cell>
          <cell r="I503" t="str">
            <v>1989-01-18</v>
          </cell>
          <cell r="J503">
            <v>2</v>
          </cell>
          <cell r="K503">
            <v>1</v>
          </cell>
          <cell r="M503" t="str">
            <v>34-0398780-8</v>
          </cell>
          <cell r="N503" t="str">
            <v>271-325-607</v>
          </cell>
          <cell r="O503">
            <v>43</v>
          </cell>
          <cell r="P503">
            <v>502</v>
          </cell>
          <cell r="Q503">
            <v>62</v>
          </cell>
          <cell r="R503">
            <v>12</v>
          </cell>
          <cell r="S503">
            <v>0</v>
          </cell>
          <cell r="T503" t="str">
            <v>Rosalinda M. Macalalad
B26 L5 Ph2 San Isidro Hts,
Banlic, Cabuyao, Laguna
0935-211-5945</v>
          </cell>
          <cell r="U503" t="str">
            <v>2020-07-01</v>
          </cell>
        </row>
        <row r="504">
          <cell r="C504" t="str">
            <v>P049</v>
          </cell>
          <cell r="D504" t="str">
            <v>Mercado</v>
          </cell>
          <cell r="E504" t="str">
            <v>Zayra</v>
          </cell>
          <cell r="F504" t="str">
            <v>Libit</v>
          </cell>
          <cell r="G504" t="str">
            <v>Zhay</v>
          </cell>
          <cell r="H504" t="str">
            <v>0908-187-6329</v>
          </cell>
          <cell r="I504" t="str">
            <v>1996-10-23</v>
          </cell>
          <cell r="J504">
            <v>2</v>
          </cell>
          <cell r="K504">
            <v>1</v>
          </cell>
          <cell r="M504" t="str">
            <v>04-2858545-3</v>
          </cell>
          <cell r="N504" t="str">
            <v>321-632-839</v>
          </cell>
          <cell r="O504">
            <v>43</v>
          </cell>
          <cell r="P504">
            <v>502</v>
          </cell>
          <cell r="Q504">
            <v>62</v>
          </cell>
          <cell r="R504">
            <v>12</v>
          </cell>
          <cell r="S504">
            <v>0</v>
          </cell>
          <cell r="T504" t="str">
            <v>Melody M. Vicente
Purok 4 Bgy. Gulod,
Cabuyao, Laguna
0949-399-0433</v>
          </cell>
          <cell r="U504" t="str">
            <v>2020-07-01</v>
          </cell>
        </row>
        <row r="505">
          <cell r="C505" t="str">
            <v>P037</v>
          </cell>
          <cell r="D505" t="str">
            <v>Abellera</v>
          </cell>
          <cell r="E505" t="str">
            <v>Kimberly</v>
          </cell>
          <cell r="F505" t="str">
            <v>Lontoc</v>
          </cell>
          <cell r="G505" t="str">
            <v>Kim</v>
          </cell>
          <cell r="H505" t="str">
            <v>0977-365-5768</v>
          </cell>
          <cell r="I505" t="str">
            <v>1999-01-12</v>
          </cell>
          <cell r="J505">
            <v>2</v>
          </cell>
          <cell r="K505">
            <v>1</v>
          </cell>
          <cell r="M505" t="str">
            <v>04-3889358-8</v>
          </cell>
          <cell r="N505" t="str">
            <v>701-869-534</v>
          </cell>
          <cell r="O505">
            <v>43</v>
          </cell>
          <cell r="P505">
            <v>502</v>
          </cell>
          <cell r="Q505">
            <v>62</v>
          </cell>
          <cell r="R505">
            <v>12</v>
          </cell>
          <cell r="S505">
            <v>0</v>
          </cell>
          <cell r="T505" t="str">
            <v>Geralyn Abellera
Guinayangan Quezon
09123067551</v>
          </cell>
          <cell r="U505" t="str">
            <v>2020-07-01</v>
          </cell>
        </row>
        <row r="506">
          <cell r="C506" t="str">
            <v>P040</v>
          </cell>
          <cell r="D506" t="str">
            <v>Bariso</v>
          </cell>
          <cell r="E506" t="str">
            <v>Jecel</v>
          </cell>
          <cell r="F506" t="str">
            <v>Requillas</v>
          </cell>
          <cell r="G506" t="str">
            <v>Cel</v>
          </cell>
          <cell r="H506" t="str">
            <v>0977-204-2541</v>
          </cell>
          <cell r="I506" t="str">
            <v>1996-12-30</v>
          </cell>
          <cell r="J506">
            <v>2</v>
          </cell>
          <cell r="K506">
            <v>1</v>
          </cell>
          <cell r="M506" t="str">
            <v>34-5681073-1</v>
          </cell>
          <cell r="N506" t="str">
            <v>338-850-228</v>
          </cell>
          <cell r="O506">
            <v>43</v>
          </cell>
          <cell r="P506">
            <v>502</v>
          </cell>
          <cell r="Q506">
            <v>62</v>
          </cell>
          <cell r="R506">
            <v>12</v>
          </cell>
          <cell r="S506">
            <v>0</v>
          </cell>
          <cell r="T506" t="str">
            <v>Ericson Dimayuga
Camp Vicente Lim, Mayapa,
Calamba City, Laguna
0915-511-2430</v>
          </cell>
          <cell r="U506" t="str">
            <v>2020-07-01</v>
          </cell>
        </row>
        <row r="507">
          <cell r="C507" t="str">
            <v>P051</v>
          </cell>
          <cell r="D507" t="str">
            <v>Morales</v>
          </cell>
          <cell r="E507" t="str">
            <v>Engelbert</v>
          </cell>
          <cell r="F507" t="str">
            <v>Teanila</v>
          </cell>
          <cell r="G507" t="str">
            <v>Bert</v>
          </cell>
          <cell r="I507" t="str">
            <v>1992-03-26</v>
          </cell>
          <cell r="J507">
            <v>1</v>
          </cell>
          <cell r="K507">
            <v>1</v>
          </cell>
          <cell r="M507" t="str">
            <v>05-1146978-7</v>
          </cell>
          <cell r="N507" t="str">
            <v>734-792-284</v>
          </cell>
          <cell r="O507">
            <v>43</v>
          </cell>
          <cell r="P507">
            <v>502</v>
          </cell>
          <cell r="Q507">
            <v>62</v>
          </cell>
          <cell r="R507">
            <v>12</v>
          </cell>
          <cell r="S507">
            <v>0</v>
          </cell>
          <cell r="T507" t="str">
            <v>Armind D. Cabral
Brgy. San Cristobal, Calamba City
0996020710</v>
          </cell>
          <cell r="U507" t="str">
            <v>2020-07-01</v>
          </cell>
        </row>
        <row r="508">
          <cell r="C508" t="str">
            <v>P052</v>
          </cell>
          <cell r="D508" t="str">
            <v>Orpilla</v>
          </cell>
          <cell r="E508" t="str">
            <v>Elnenia</v>
          </cell>
          <cell r="F508" t="str">
            <v>Munar</v>
          </cell>
          <cell r="G508" t="str">
            <v>NiÃ±a</v>
          </cell>
          <cell r="H508">
            <v>9394062861</v>
          </cell>
          <cell r="I508" t="str">
            <v>1995-10-27</v>
          </cell>
          <cell r="J508">
            <v>2</v>
          </cell>
          <cell r="K508">
            <v>1</v>
          </cell>
          <cell r="M508" t="str">
            <v>02-3782727-6</v>
          </cell>
          <cell r="N508" t="str">
            <v>352-190-288</v>
          </cell>
          <cell r="O508">
            <v>43</v>
          </cell>
          <cell r="P508">
            <v>492</v>
          </cell>
          <cell r="Q508">
            <v>55</v>
          </cell>
          <cell r="R508">
            <v>11</v>
          </cell>
          <cell r="S508">
            <v>0</v>
          </cell>
          <cell r="T508" t="str">
            <v>Joe Mari B. Nieva
Block 5 Lot 12, Diezmo, Cabuyao City</v>
          </cell>
          <cell r="U508" t="str">
            <v>2020-07-01</v>
          </cell>
        </row>
        <row r="509">
          <cell r="C509" t="str">
            <v>P069</v>
          </cell>
          <cell r="D509" t="str">
            <v>Seva</v>
          </cell>
          <cell r="E509" t="str">
            <v>Jojo</v>
          </cell>
          <cell r="F509" t="str">
            <v>Laynesa</v>
          </cell>
          <cell r="G509" t="str">
            <v>Jho</v>
          </cell>
          <cell r="H509">
            <v>9460515768</v>
          </cell>
          <cell r="I509" t="str">
            <v>1993-06-01</v>
          </cell>
          <cell r="J509">
            <v>1</v>
          </cell>
          <cell r="K509">
            <v>2</v>
          </cell>
          <cell r="L509" t="str">
            <v>Jheza Taruc Seva</v>
          </cell>
          <cell r="M509" t="str">
            <v>04-2843439-7</v>
          </cell>
          <cell r="N509" t="str">
            <v>337-026-122</v>
          </cell>
          <cell r="O509">
            <v>41</v>
          </cell>
          <cell r="P509">
            <v>494</v>
          </cell>
          <cell r="Q509">
            <v>57</v>
          </cell>
          <cell r="R509">
            <v>11</v>
          </cell>
          <cell r="S509">
            <v>0</v>
          </cell>
          <cell r="T509" t="str">
            <v>Jheza T. Seva
09485393649
9163 Sitio Basbas Brgy. Dila, Santa Rosa, Laguna</v>
          </cell>
          <cell r="U509" t="str">
            <v>2020-07-01</v>
          </cell>
        </row>
        <row r="510">
          <cell r="C510" t="str">
            <v>P055</v>
          </cell>
          <cell r="D510" t="str">
            <v>Pineda</v>
          </cell>
          <cell r="E510" t="str">
            <v>Marissa</v>
          </cell>
          <cell r="F510" t="str">
            <v>Maghanay</v>
          </cell>
          <cell r="G510" t="str">
            <v>Maris</v>
          </cell>
          <cell r="H510">
            <v>9239577084</v>
          </cell>
          <cell r="I510" t="str">
            <v>1992-02-24</v>
          </cell>
          <cell r="J510">
            <v>2</v>
          </cell>
          <cell r="K510">
            <v>1</v>
          </cell>
          <cell r="M510" t="str">
            <v>04-3441028-2</v>
          </cell>
          <cell r="N510" t="str">
            <v>501-054-706</v>
          </cell>
          <cell r="O510">
            <v>43</v>
          </cell>
          <cell r="P510">
            <v>502</v>
          </cell>
          <cell r="Q510">
            <v>62</v>
          </cell>
          <cell r="R510">
            <v>12</v>
          </cell>
          <cell r="S510">
            <v>0</v>
          </cell>
          <cell r="T510" t="str">
            <v>Ricardo L. Pineda
Tanong Malabon City
09517117852</v>
          </cell>
          <cell r="U510" t="str">
            <v>2020-07-01</v>
          </cell>
        </row>
        <row r="511">
          <cell r="C511" t="str">
            <v>P058</v>
          </cell>
          <cell r="D511" t="str">
            <v>Roces</v>
          </cell>
          <cell r="E511" t="str">
            <v>Dianne</v>
          </cell>
          <cell r="F511" t="str">
            <v>Beltran</v>
          </cell>
          <cell r="G511" t="str">
            <v>Yhan</v>
          </cell>
          <cell r="H511" t="str">
            <v>0910-919-0636</v>
          </cell>
          <cell r="I511" t="str">
            <v>1990-11-18</v>
          </cell>
          <cell r="J511">
            <v>2</v>
          </cell>
          <cell r="K511">
            <v>1</v>
          </cell>
          <cell r="M511" t="str">
            <v>04-1883717-9</v>
          </cell>
          <cell r="N511" t="str">
            <v>407-280-013</v>
          </cell>
          <cell r="O511">
            <v>43</v>
          </cell>
          <cell r="P511">
            <v>502</v>
          </cell>
          <cell r="Q511">
            <v>62</v>
          </cell>
          <cell r="R511">
            <v>12</v>
          </cell>
          <cell r="S511">
            <v>0</v>
          </cell>
          <cell r="T511" t="str">
            <v>Lea B. Roces
44 Mabolo St. Parian, Calamba City
09100835822</v>
          </cell>
          <cell r="U511" t="str">
            <v>2020-07-01</v>
          </cell>
        </row>
        <row r="512">
          <cell r="C512" t="str">
            <v>P059</v>
          </cell>
          <cell r="D512" t="str">
            <v>Signar</v>
          </cell>
          <cell r="E512" t="str">
            <v>Mary Ann</v>
          </cell>
          <cell r="F512" t="str">
            <v>Umapas</v>
          </cell>
          <cell r="G512" t="str">
            <v>Me-Ann</v>
          </cell>
          <cell r="I512" t="str">
            <v>1987-11-10</v>
          </cell>
          <cell r="J512">
            <v>2</v>
          </cell>
          <cell r="K512">
            <v>1</v>
          </cell>
          <cell r="M512" t="str">
            <v>34-3766394-9</v>
          </cell>
          <cell r="N512" t="str">
            <v>318-487-411</v>
          </cell>
          <cell r="O512">
            <v>43</v>
          </cell>
          <cell r="P512">
            <v>492</v>
          </cell>
          <cell r="Q512">
            <v>55</v>
          </cell>
          <cell r="R512">
            <v>11</v>
          </cell>
          <cell r="S512">
            <v>0</v>
          </cell>
          <cell r="T512" t="str">
            <v>Almido G. Umapas
Sta. QUiteria Caloocan Manila
09476353359</v>
          </cell>
          <cell r="U512" t="str">
            <v>2020-07-01</v>
          </cell>
        </row>
        <row r="513">
          <cell r="C513" t="str">
            <v>P071</v>
          </cell>
          <cell r="D513" t="str">
            <v>Balauro</v>
          </cell>
          <cell r="E513" t="str">
            <v>Rose Ashley</v>
          </cell>
          <cell r="F513" t="str">
            <v>Revilla</v>
          </cell>
          <cell r="G513" t="str">
            <v>Rose</v>
          </cell>
          <cell r="H513">
            <v>9356547605</v>
          </cell>
          <cell r="I513" t="str">
            <v>1999-10-13</v>
          </cell>
          <cell r="J513">
            <v>2</v>
          </cell>
          <cell r="K513">
            <v>1</v>
          </cell>
          <cell r="M513" t="str">
            <v>04-4161900-5</v>
          </cell>
          <cell r="N513" t="str">
            <v>359-974-055</v>
          </cell>
          <cell r="O513">
            <v>43</v>
          </cell>
          <cell r="P513">
            <v>472</v>
          </cell>
          <cell r="Q513">
            <v>34</v>
          </cell>
          <cell r="R513">
            <v>8</v>
          </cell>
          <cell r="S513">
            <v>0</v>
          </cell>
          <cell r="T513" t="str">
            <v>Charmie R. Balauro
09355231795
Phase 5 B31 L22 Mabuhay City Brgy. Mamatid, Cabuyao, Laguna</v>
          </cell>
          <cell r="U513" t="str">
            <v>2020-07-01</v>
          </cell>
        </row>
        <row r="514">
          <cell r="C514" t="str">
            <v>P062</v>
          </cell>
          <cell r="D514" t="str">
            <v>Varde</v>
          </cell>
          <cell r="E514" t="str">
            <v>Lea</v>
          </cell>
          <cell r="F514" t="str">
            <v>Miranda</v>
          </cell>
          <cell r="G514" t="str">
            <v>Ley</v>
          </cell>
          <cell r="H514">
            <v>9262297998</v>
          </cell>
          <cell r="I514" t="str">
            <v>1990-10-31</v>
          </cell>
          <cell r="J514">
            <v>2</v>
          </cell>
          <cell r="K514">
            <v>1</v>
          </cell>
          <cell r="M514" t="str">
            <v>04-2336252-9</v>
          </cell>
          <cell r="N514" t="str">
            <v>130-120-050</v>
          </cell>
          <cell r="O514">
            <v>43</v>
          </cell>
          <cell r="P514">
            <v>502</v>
          </cell>
          <cell r="Q514">
            <v>62</v>
          </cell>
          <cell r="R514">
            <v>12</v>
          </cell>
          <cell r="S514">
            <v>0</v>
          </cell>
          <cell r="T514" t="str">
            <v>Levina M. Varde
Bgy. Salingogon, Minalabac,
Camarines Sur
0926-780-2143</v>
          </cell>
          <cell r="U514" t="str">
            <v>2020-07-01</v>
          </cell>
        </row>
        <row r="515">
          <cell r="C515" t="str">
            <v>P063</v>
          </cell>
          <cell r="D515" t="str">
            <v>Vicente</v>
          </cell>
          <cell r="E515" t="str">
            <v>Ellaine</v>
          </cell>
          <cell r="F515" t="str">
            <v>Exconde</v>
          </cell>
          <cell r="G515" t="str">
            <v>Laine</v>
          </cell>
          <cell r="H515">
            <v>9517434106</v>
          </cell>
          <cell r="I515" t="str">
            <v>1999-11-18</v>
          </cell>
          <cell r="J515">
            <v>2</v>
          </cell>
          <cell r="K515">
            <v>1</v>
          </cell>
          <cell r="M515" t="str">
            <v>04-4043717-8</v>
          </cell>
          <cell r="N515" t="str">
            <v>346-839-886</v>
          </cell>
          <cell r="O515">
            <v>41</v>
          </cell>
          <cell r="P515">
            <v>497</v>
          </cell>
          <cell r="Q515">
            <v>68</v>
          </cell>
          <cell r="R515">
            <v>11</v>
          </cell>
          <cell r="S515">
            <v>0</v>
          </cell>
          <cell r="T515" t="str">
            <v>Elvira Vicente
Sulib, Pangil Laguna
09365031163</v>
          </cell>
          <cell r="U515" t="str">
            <v>2020-07-01</v>
          </cell>
        </row>
        <row r="516">
          <cell r="C516" t="str">
            <v>P103</v>
          </cell>
          <cell r="D516" t="str">
            <v>Sarmiento</v>
          </cell>
          <cell r="E516" t="str">
            <v>Jela</v>
          </cell>
          <cell r="F516" t="str">
            <v>Aquino</v>
          </cell>
          <cell r="G516" t="str">
            <v>Jela</v>
          </cell>
          <cell r="H516">
            <v>9082560889</v>
          </cell>
          <cell r="I516" t="str">
            <v>1991-01-25</v>
          </cell>
          <cell r="J516">
            <v>2</v>
          </cell>
          <cell r="K516">
            <v>2</v>
          </cell>
          <cell r="M516" t="str">
            <v>04-2052589-3</v>
          </cell>
          <cell r="N516" t="str">
            <v>315-251-343</v>
          </cell>
          <cell r="O516">
            <v>43</v>
          </cell>
          <cell r="P516">
            <v>472</v>
          </cell>
          <cell r="Q516">
            <v>34</v>
          </cell>
          <cell r="R516">
            <v>8</v>
          </cell>
          <cell r="S516">
            <v>0</v>
          </cell>
          <cell r="T516" t="str">
            <v>Jaymar D. Sarmiento
09994605820
Mangilag Sur Candelaria, Quezion</v>
          </cell>
          <cell r="U516" t="str">
            <v>2020-07-01</v>
          </cell>
        </row>
        <row r="517">
          <cell r="C517" t="str">
            <v>P104</v>
          </cell>
          <cell r="D517" t="str">
            <v>Sicoy</v>
          </cell>
          <cell r="E517" t="str">
            <v>Myline</v>
          </cell>
          <cell r="F517" t="str">
            <v>Yedra</v>
          </cell>
          <cell r="G517" t="str">
            <v>Mhai</v>
          </cell>
          <cell r="H517">
            <v>9667000619</v>
          </cell>
          <cell r="I517" t="str">
            <v>1992-11-14</v>
          </cell>
          <cell r="J517">
            <v>2</v>
          </cell>
          <cell r="K517">
            <v>1</v>
          </cell>
          <cell r="M517" t="str">
            <v>04-2483721-5</v>
          </cell>
          <cell r="N517" t="str">
            <v>311-475-039</v>
          </cell>
          <cell r="O517">
            <v>43</v>
          </cell>
          <cell r="P517">
            <v>472</v>
          </cell>
          <cell r="Q517">
            <v>34</v>
          </cell>
          <cell r="R517">
            <v>8</v>
          </cell>
          <cell r="S517">
            <v>0</v>
          </cell>
          <cell r="T517" t="str">
            <v>Raymart Gamboa
09667000619
Purok 2 Brgy. Banlic, Cabuyao</v>
          </cell>
          <cell r="U517" t="str">
            <v>2020-07-01</v>
          </cell>
        </row>
        <row r="518">
          <cell r="C518" t="str">
            <v>P067</v>
          </cell>
          <cell r="D518" t="str">
            <v>Espino</v>
          </cell>
          <cell r="E518" t="str">
            <v>John Philip</v>
          </cell>
          <cell r="F518" t="str">
            <v>Duhina</v>
          </cell>
          <cell r="G518" t="str">
            <v>Phil</v>
          </cell>
          <cell r="H518" t="str">
            <v>0907-557-2123</v>
          </cell>
          <cell r="I518" t="str">
            <v>1992-05-22</v>
          </cell>
          <cell r="J518">
            <v>1</v>
          </cell>
          <cell r="K518">
            <v>1</v>
          </cell>
          <cell r="M518" t="str">
            <v>04-2859197-1</v>
          </cell>
          <cell r="N518" t="str">
            <v>447-490-241</v>
          </cell>
          <cell r="O518">
            <v>41</v>
          </cell>
          <cell r="P518">
            <v>503</v>
          </cell>
          <cell r="Q518">
            <v>64</v>
          </cell>
          <cell r="R518">
            <v>12</v>
          </cell>
          <cell r="S518">
            <v>0</v>
          </cell>
          <cell r="T518" t="str">
            <v xml:space="preserve">Jhoana T. Mandac
8685 ME(E) Villa Soledad, San Cristobal, Calamba City
09109711432
</v>
          </cell>
          <cell r="U518" t="str">
            <v>2020-07-01</v>
          </cell>
        </row>
        <row r="519">
          <cell r="C519" t="str">
            <v>P105</v>
          </cell>
          <cell r="D519" t="str">
            <v xml:space="preserve">Soriano </v>
          </cell>
          <cell r="E519" t="str">
            <v xml:space="preserve">James </v>
          </cell>
          <cell r="F519" t="str">
            <v>Tangca</v>
          </cell>
          <cell r="G519" t="str">
            <v>James</v>
          </cell>
          <cell r="H519">
            <v>9454785264</v>
          </cell>
          <cell r="I519" t="str">
            <v>1999-06-30</v>
          </cell>
          <cell r="J519">
            <v>1</v>
          </cell>
          <cell r="K519">
            <v>1</v>
          </cell>
          <cell r="M519" t="str">
            <v>04-4054603-0</v>
          </cell>
          <cell r="N519" t="str">
            <v>747-798-576</v>
          </cell>
          <cell r="O519">
            <v>43</v>
          </cell>
          <cell r="P519">
            <v>472</v>
          </cell>
          <cell r="Q519">
            <v>34</v>
          </cell>
          <cell r="R519">
            <v>8</v>
          </cell>
          <cell r="S519">
            <v>0</v>
          </cell>
          <cell r="T519" t="str">
            <v>Camille Dela Cruz
09658238155
Brgy. Mamatid Cabuyao Laguna</v>
          </cell>
          <cell r="U519" t="str">
            <v>2020-07-01</v>
          </cell>
        </row>
        <row r="520">
          <cell r="C520" t="str">
            <v>P068</v>
          </cell>
          <cell r="D520" t="str">
            <v>Lorico</v>
          </cell>
          <cell r="E520" t="str">
            <v>Zandrex</v>
          </cell>
          <cell r="F520" t="str">
            <v>Cortez</v>
          </cell>
          <cell r="G520" t="str">
            <v>Drex</v>
          </cell>
          <cell r="H520" t="str">
            <v>0907-813-2581</v>
          </cell>
          <cell r="I520" t="str">
            <v>1997-10-27</v>
          </cell>
          <cell r="J520">
            <v>1</v>
          </cell>
          <cell r="K520">
            <v>1</v>
          </cell>
          <cell r="M520" t="str">
            <v>04-3847376-2</v>
          </cell>
          <cell r="N520" t="str">
            <v>336-201-938</v>
          </cell>
          <cell r="O520">
            <v>41</v>
          </cell>
          <cell r="P520">
            <v>494</v>
          </cell>
          <cell r="Q520">
            <v>57</v>
          </cell>
          <cell r="R520">
            <v>11</v>
          </cell>
          <cell r="S520">
            <v>0</v>
          </cell>
          <cell r="T520" t="str">
            <v>Angelo C. Lorico
Brgy. Padlos, Libmanan, Cam. Sur
09486120790</v>
          </cell>
          <cell r="U520" t="str">
            <v>2020-07-01</v>
          </cell>
        </row>
        <row r="521">
          <cell r="C521" t="str">
            <v>P106</v>
          </cell>
          <cell r="D521" t="str">
            <v>Sulat</v>
          </cell>
          <cell r="E521" t="str">
            <v>Carl Michael</v>
          </cell>
          <cell r="F521" t="str">
            <v>Dorado</v>
          </cell>
          <cell r="G521" t="str">
            <v>Awi</v>
          </cell>
          <cell r="H521">
            <v>9565934832</v>
          </cell>
          <cell r="I521" t="str">
            <v>1994-05-09</v>
          </cell>
          <cell r="J521">
            <v>1</v>
          </cell>
          <cell r="K521">
            <v>2</v>
          </cell>
          <cell r="L521" t="str">
            <v>Jhonice Malacad Handog</v>
          </cell>
          <cell r="M521" t="str">
            <v>04-2939326-2</v>
          </cell>
          <cell r="N521" t="str">
            <v xml:space="preserve">321-253-389 </v>
          </cell>
          <cell r="O521">
            <v>41</v>
          </cell>
          <cell r="P521">
            <v>393</v>
          </cell>
          <cell r="Q521">
            <v>34</v>
          </cell>
          <cell r="R521">
            <v>8</v>
          </cell>
          <cell r="S521">
            <v>0</v>
          </cell>
          <cell r="T521" t="str">
            <v>Jhonice H. Sulat
Blk. 7 Lot 44 Phase 3 Executive Mabuya Cabuyao Laguna</v>
          </cell>
          <cell r="U521" t="str">
            <v>2020-07-01</v>
          </cell>
        </row>
        <row r="522">
          <cell r="C522" t="str">
            <v>P107</v>
          </cell>
          <cell r="D522" t="str">
            <v>Talampas</v>
          </cell>
          <cell r="E522" t="str">
            <v>Myla</v>
          </cell>
          <cell r="F522" t="str">
            <v>Lozada</v>
          </cell>
          <cell r="G522" t="str">
            <v>Mhy</v>
          </cell>
          <cell r="H522">
            <v>9126777289</v>
          </cell>
          <cell r="I522" t="str">
            <v>1989-11-13</v>
          </cell>
          <cell r="J522">
            <v>2</v>
          </cell>
          <cell r="K522">
            <v>1</v>
          </cell>
          <cell r="M522" t="str">
            <v>04-1910502-0</v>
          </cell>
          <cell r="N522" t="str">
            <v>335-737-410</v>
          </cell>
          <cell r="O522">
            <v>43</v>
          </cell>
          <cell r="P522">
            <v>472</v>
          </cell>
          <cell r="Q522">
            <v>34</v>
          </cell>
          <cell r="R522">
            <v>8</v>
          </cell>
          <cell r="S522">
            <v>0</v>
          </cell>
          <cell r="T522" t="str">
            <v>Catherine Talampas
09216808455
B15 L11 Villa Palao Brgy. Banlic, Calamba, Laguna</v>
          </cell>
          <cell r="U522" t="str">
            <v>2020-07-01</v>
          </cell>
        </row>
        <row r="523">
          <cell r="C523" t="str">
            <v>P112</v>
          </cell>
          <cell r="D523" t="str">
            <v>Catamora</v>
          </cell>
          <cell r="E523" t="str">
            <v>Eyan Mae</v>
          </cell>
          <cell r="F523" t="str">
            <v>Sanoy</v>
          </cell>
          <cell r="G523" t="str">
            <v>Yan</v>
          </cell>
          <cell r="H523">
            <v>9351163105</v>
          </cell>
          <cell r="I523" t="str">
            <v>1994-08-05</v>
          </cell>
          <cell r="J523">
            <v>2</v>
          </cell>
          <cell r="K523">
            <v>1</v>
          </cell>
          <cell r="M523" t="str">
            <v>06-3688758-7</v>
          </cell>
          <cell r="N523" t="str">
            <v>474-381-300</v>
          </cell>
          <cell r="O523">
            <v>40</v>
          </cell>
          <cell r="P523">
            <v>510</v>
          </cell>
          <cell r="Q523">
            <v>72</v>
          </cell>
          <cell r="R523">
            <v>13</v>
          </cell>
          <cell r="S523">
            <v>0</v>
          </cell>
          <cell r="T523" t="str">
            <v>Jane May Rito
St. Christopher 1 Village, Paciano Rizal, Calamba City
0975-157-7638</v>
          </cell>
          <cell r="U523" t="str">
            <v>2020-07-01</v>
          </cell>
        </row>
        <row r="524">
          <cell r="C524" t="str">
            <v>P109</v>
          </cell>
          <cell r="D524" t="str">
            <v>Verdad</v>
          </cell>
          <cell r="E524" t="str">
            <v>Marjorie</v>
          </cell>
          <cell r="F524" t="str">
            <v>Ritual</v>
          </cell>
          <cell r="G524" t="str">
            <v>Majo</v>
          </cell>
          <cell r="H524">
            <v>9309852751</v>
          </cell>
          <cell r="I524" t="str">
            <v>1994-01-31</v>
          </cell>
          <cell r="J524">
            <v>2</v>
          </cell>
          <cell r="K524">
            <v>1</v>
          </cell>
          <cell r="M524" t="str">
            <v>34-6157861-5</v>
          </cell>
          <cell r="N524" t="str">
            <v>493-991-276</v>
          </cell>
          <cell r="O524">
            <v>43</v>
          </cell>
          <cell r="P524">
            <v>472</v>
          </cell>
          <cell r="Q524">
            <v>34</v>
          </cell>
          <cell r="R524">
            <v>8</v>
          </cell>
          <cell r="S524">
            <v>0</v>
          </cell>
          <cell r="T524" t="str">
            <v>Rey I. Jaranilla
09309852751</v>
          </cell>
          <cell r="U524" t="str">
            <v>2020-07-01</v>
          </cell>
        </row>
        <row r="525">
          <cell r="C525" t="str">
            <v>P029</v>
          </cell>
          <cell r="D525" t="str">
            <v>Farcon</v>
          </cell>
          <cell r="E525" t="str">
            <v>Jeffrey</v>
          </cell>
          <cell r="F525" t="str">
            <v>De Leon</v>
          </cell>
          <cell r="G525" t="str">
            <v>Jeff</v>
          </cell>
          <cell r="H525" t="str">
            <v>0917-730-6544</v>
          </cell>
          <cell r="I525" t="str">
            <v>1984-02-06</v>
          </cell>
          <cell r="J525">
            <v>1</v>
          </cell>
          <cell r="K525">
            <v>2</v>
          </cell>
          <cell r="L525" t="str">
            <v>Kate Maligalig Galero</v>
          </cell>
          <cell r="M525" t="str">
            <v>04-1633181-3</v>
          </cell>
          <cell r="N525" t="str">
            <v>247-990-334</v>
          </cell>
          <cell r="O525">
            <v>10</v>
          </cell>
          <cell r="P525">
            <v>403</v>
          </cell>
          <cell r="Q525">
            <v>51</v>
          </cell>
          <cell r="R525">
            <v>1</v>
          </cell>
          <cell r="S525">
            <v>0</v>
          </cell>
          <cell r="T525" t="str">
            <v>Kate G. Farcon
Blk15 Lot9, Southwynd Residences,
Bgy. Sta. Monica, San Pablo City
0995-134-5194</v>
          </cell>
          <cell r="U525" t="str">
            <v>2020-07-02</v>
          </cell>
        </row>
        <row r="526">
          <cell r="C526" t="str">
            <v>P119</v>
          </cell>
          <cell r="D526" t="str">
            <v>Manuevo</v>
          </cell>
          <cell r="E526" t="str">
            <v>Ira</v>
          </cell>
          <cell r="F526" t="str">
            <v>Banasihan</v>
          </cell>
          <cell r="G526" t="str">
            <v>Ira</v>
          </cell>
          <cell r="H526" t="str">
            <v>0995-236-8085</v>
          </cell>
          <cell r="I526" t="str">
            <v>1994-11-26</v>
          </cell>
          <cell r="J526">
            <v>2</v>
          </cell>
          <cell r="K526">
            <v>1</v>
          </cell>
          <cell r="M526" t="str">
            <v>04-2673809-5</v>
          </cell>
          <cell r="N526" t="str">
            <v>325-749-900</v>
          </cell>
          <cell r="O526">
            <v>32</v>
          </cell>
          <cell r="P526">
            <v>403</v>
          </cell>
          <cell r="Q526">
            <v>51</v>
          </cell>
          <cell r="R526">
            <v>1</v>
          </cell>
          <cell r="S526">
            <v>0</v>
          </cell>
          <cell r="T526" t="str">
            <v>Marices B. Tigle
5492 Maahas, Los Banos, Laguna
0907-838-7918</v>
          </cell>
          <cell r="U526" t="str">
            <v>2020-10-13</v>
          </cell>
        </row>
        <row r="527">
          <cell r="C527" t="str">
            <v>P121</v>
          </cell>
          <cell r="D527" t="str">
            <v>Nambayan</v>
          </cell>
          <cell r="E527" t="str">
            <v>Noreen</v>
          </cell>
          <cell r="F527" t="str">
            <v>Samosa</v>
          </cell>
          <cell r="G527" t="str">
            <v>Noreen</v>
          </cell>
          <cell r="H527" t="str">
            <v>0909-845-7431</v>
          </cell>
          <cell r="I527" t="str">
            <v>1997-11-09</v>
          </cell>
          <cell r="J527">
            <v>2</v>
          </cell>
          <cell r="K527">
            <v>1</v>
          </cell>
          <cell r="M527" t="str">
            <v>34-9191987-5</v>
          </cell>
          <cell r="N527" t="str">
            <v>387-266-192</v>
          </cell>
          <cell r="O527">
            <v>58</v>
          </cell>
          <cell r="P527">
            <v>9</v>
          </cell>
          <cell r="Q527">
            <v>4</v>
          </cell>
          <cell r="R527">
            <v>1</v>
          </cell>
          <cell r="S527">
            <v>0</v>
          </cell>
          <cell r="T527" t="str">
            <v xml:space="preserve">Bernardo C. Nambayan
#97 Purok 3, Bgy. Saimsim,
Calamba City, Laguna
0961-554-0952
</v>
          </cell>
          <cell r="U527" t="str">
            <v>2020-11-04</v>
          </cell>
        </row>
        <row r="528">
          <cell r="C528" t="str">
            <v>Q006</v>
          </cell>
          <cell r="D528" t="str">
            <v>Real</v>
          </cell>
          <cell r="E528" t="str">
            <v>Aileen</v>
          </cell>
          <cell r="F528" t="str">
            <v>CaÃ±ubas</v>
          </cell>
          <cell r="G528" t="str">
            <v>Aileen</v>
          </cell>
          <cell r="H528" t="str">
            <v>0915-797-5580</v>
          </cell>
          <cell r="I528" t="str">
            <v>1998-03-08</v>
          </cell>
          <cell r="J528">
            <v>2</v>
          </cell>
          <cell r="K528">
            <v>1</v>
          </cell>
          <cell r="M528" t="str">
            <v>04-4227905-9</v>
          </cell>
          <cell r="N528" t="str">
            <v>358-999-503</v>
          </cell>
          <cell r="O528">
            <v>52</v>
          </cell>
          <cell r="P528">
            <v>472</v>
          </cell>
          <cell r="Q528">
            <v>34</v>
          </cell>
          <cell r="R528">
            <v>8</v>
          </cell>
          <cell r="S528">
            <v>0</v>
          </cell>
          <cell r="T528" t="str">
            <v>Leo Y. Real
Blk3 Lot 32, Pittland,
Cabuyao City, Laguna
0995-973-8179</v>
          </cell>
          <cell r="U528" t="str">
            <v>2021-01-29</v>
          </cell>
        </row>
        <row r="529">
          <cell r="C529" t="str">
            <v>Q008</v>
          </cell>
          <cell r="D529" t="str">
            <v>Masbad</v>
          </cell>
          <cell r="E529" t="str">
            <v>Shernan</v>
          </cell>
          <cell r="F529" t="str">
            <v>Cosares</v>
          </cell>
          <cell r="G529" t="str">
            <v>Shernan</v>
          </cell>
          <cell r="H529">
            <v>9154386624</v>
          </cell>
          <cell r="I529" t="str">
            <v>1972-05-21</v>
          </cell>
          <cell r="J529">
            <v>1</v>
          </cell>
          <cell r="K529">
            <v>2</v>
          </cell>
          <cell r="L529" t="str">
            <v>Anna Leiza Cabiles Cabatuan</v>
          </cell>
          <cell r="M529" t="str">
            <v>06-1630578-8</v>
          </cell>
          <cell r="N529" t="str">
            <v>900-446-275</v>
          </cell>
          <cell r="O529">
            <v>8</v>
          </cell>
          <cell r="P529">
            <v>478</v>
          </cell>
          <cell r="Q529">
            <v>54</v>
          </cell>
          <cell r="R529">
            <v>9</v>
          </cell>
          <cell r="S529">
            <v>0</v>
          </cell>
          <cell r="T529" t="str">
            <v>Anna Leiza Masbad
B43 L5 Amaia Scapes Gen. Trias Cavite
0930-169-93-89</v>
          </cell>
          <cell r="U529" t="str">
            <v>2021-02-18</v>
          </cell>
        </row>
        <row r="530">
          <cell r="C530" t="str">
            <v>Q010</v>
          </cell>
          <cell r="D530" t="str">
            <v>Tamolang</v>
          </cell>
          <cell r="E530" t="str">
            <v>Aldous</v>
          </cell>
          <cell r="F530" t="str">
            <v>Aguilera</v>
          </cell>
          <cell r="G530" t="str">
            <v>Aldous</v>
          </cell>
          <cell r="H530" t="str">
            <v>0915-465-7219</v>
          </cell>
          <cell r="I530" t="str">
            <v>1994-10-07</v>
          </cell>
          <cell r="J530">
            <v>1</v>
          </cell>
          <cell r="K530">
            <v>1</v>
          </cell>
          <cell r="M530" t="str">
            <v>04-3554639-1</v>
          </cell>
          <cell r="N530" t="str">
            <v>460-670-094</v>
          </cell>
          <cell r="O530">
            <v>112</v>
          </cell>
          <cell r="P530">
            <v>487</v>
          </cell>
          <cell r="Q530">
            <v>61</v>
          </cell>
          <cell r="R530">
            <v>11</v>
          </cell>
          <cell r="S530">
            <v>0</v>
          </cell>
          <cell r="T530" t="str">
            <v>Annabel A. Tamolang
#270 Vanda St, Real,
Calamba City, Laguna
(049) 545-3056</v>
          </cell>
          <cell r="U530" t="str">
            <v>2021-02-26</v>
          </cell>
        </row>
        <row r="531">
          <cell r="C531" t="str">
            <v>Q014</v>
          </cell>
          <cell r="D531" t="str">
            <v>Catapang</v>
          </cell>
          <cell r="E531" t="str">
            <v>Albert</v>
          </cell>
          <cell r="F531" t="str">
            <v>Lucero</v>
          </cell>
          <cell r="G531" t="str">
            <v>Albert</v>
          </cell>
          <cell r="H531" t="str">
            <v>0949-348-4411</v>
          </cell>
          <cell r="I531" t="str">
            <v>1982-02-25</v>
          </cell>
          <cell r="J531">
            <v>1</v>
          </cell>
          <cell r="K531">
            <v>1</v>
          </cell>
          <cell r="M531" t="str">
            <v>04-3451631-9</v>
          </cell>
          <cell r="N531" t="str">
            <v>233-954-426</v>
          </cell>
          <cell r="O531">
            <v>43</v>
          </cell>
          <cell r="P531">
            <v>146</v>
          </cell>
          <cell r="Q531">
            <v>27</v>
          </cell>
          <cell r="R531">
            <v>6</v>
          </cell>
          <cell r="S531">
            <v>0</v>
          </cell>
          <cell r="T531" t="str">
            <v>Alicia L. Catapang
083 Capiz St, Malitlit,
Sta. Rosa City, Laguna
0956-235-3199</v>
          </cell>
          <cell r="U531" t="str">
            <v>2021-04-01</v>
          </cell>
        </row>
        <row r="532">
          <cell r="C532" t="str">
            <v>Q015</v>
          </cell>
          <cell r="D532" t="str">
            <v>Recto</v>
          </cell>
          <cell r="E532" t="str">
            <v>Rose May</v>
          </cell>
          <cell r="F532" t="str">
            <v>OdoÃ±o</v>
          </cell>
          <cell r="G532" t="str">
            <v>Rose</v>
          </cell>
          <cell r="H532" t="str">
            <v>0907-107-5567</v>
          </cell>
          <cell r="I532" t="str">
            <v>2000-02-19</v>
          </cell>
          <cell r="J532">
            <v>2</v>
          </cell>
          <cell r="K532">
            <v>1</v>
          </cell>
          <cell r="M532" t="str">
            <v>34-7674009-8</v>
          </cell>
          <cell r="N532" t="str">
            <v>354-119-455</v>
          </cell>
          <cell r="O532">
            <v>43</v>
          </cell>
          <cell r="P532">
            <v>455</v>
          </cell>
          <cell r="Q532">
            <v>20</v>
          </cell>
          <cell r="R532">
            <v>4</v>
          </cell>
          <cell r="S532">
            <v>0</v>
          </cell>
          <cell r="T532" t="str">
            <v>Sanelito O. Recto Jr.
Bgy. Mamatid, Cabuyao, Laguna
0910-845-6698</v>
          </cell>
          <cell r="U532" t="str">
            <v>2021-04-01</v>
          </cell>
        </row>
        <row r="533">
          <cell r="C533" t="str">
            <v>Q016</v>
          </cell>
          <cell r="D533" t="str">
            <v>Acueza</v>
          </cell>
          <cell r="E533" t="str">
            <v>Gean Patrick</v>
          </cell>
          <cell r="F533" t="str">
            <v>Gardon</v>
          </cell>
          <cell r="G533" t="str">
            <v>Patrick</v>
          </cell>
          <cell r="H533" t="str">
            <v>0905-248-4931</v>
          </cell>
          <cell r="I533" t="str">
            <v>1998-06-02</v>
          </cell>
          <cell r="J533">
            <v>1</v>
          </cell>
          <cell r="K533">
            <v>1</v>
          </cell>
          <cell r="M533" t="str">
            <v>04-3930384-4</v>
          </cell>
          <cell r="N533" t="str">
            <v>338-922-979</v>
          </cell>
          <cell r="O533">
            <v>43</v>
          </cell>
          <cell r="P533">
            <v>493</v>
          </cell>
          <cell r="Q533">
            <v>55</v>
          </cell>
          <cell r="R533">
            <v>11</v>
          </cell>
          <cell r="S533">
            <v>0</v>
          </cell>
          <cell r="T533" t="str">
            <v>Amalia G. Acueza
Sitio Lunao, Bgy. San Antonio,
Kalayaan, Laguna
0963-357-7204</v>
          </cell>
          <cell r="U533" t="str">
            <v>2021-04-01</v>
          </cell>
        </row>
        <row r="534">
          <cell r="C534" t="str">
            <v>Q017</v>
          </cell>
          <cell r="D534" t="str">
            <v>Aguiflor</v>
          </cell>
          <cell r="E534" t="str">
            <v>Zyra</v>
          </cell>
          <cell r="F534" t="str">
            <v>--</v>
          </cell>
          <cell r="G534" t="str">
            <v>Zy</v>
          </cell>
          <cell r="H534" t="str">
            <v>0912-690-9352</v>
          </cell>
          <cell r="I534" t="str">
            <v>1996-04-05</v>
          </cell>
          <cell r="J534">
            <v>2</v>
          </cell>
          <cell r="K534">
            <v>1</v>
          </cell>
          <cell r="M534" t="str">
            <v>04-2772341-0</v>
          </cell>
          <cell r="N534" t="str">
            <v>344-832-709</v>
          </cell>
          <cell r="O534">
            <v>43</v>
          </cell>
          <cell r="P534">
            <v>502</v>
          </cell>
          <cell r="Q534">
            <v>62</v>
          </cell>
          <cell r="R534">
            <v>12</v>
          </cell>
          <cell r="S534">
            <v>0</v>
          </cell>
          <cell r="T534" t="str">
            <v>Mayeth A. Magyaya
Bgy. Lawa, Calamba City, Laguna
0950-135-5318</v>
          </cell>
          <cell r="U534" t="str">
            <v>2021-04-01</v>
          </cell>
        </row>
        <row r="535">
          <cell r="C535" t="str">
            <v>Q018</v>
          </cell>
          <cell r="D535" t="str">
            <v>Ajela</v>
          </cell>
          <cell r="E535" t="str">
            <v>Ryan</v>
          </cell>
          <cell r="F535" t="str">
            <v>Revillame</v>
          </cell>
          <cell r="G535" t="str">
            <v>Ryan</v>
          </cell>
          <cell r="H535" t="str">
            <v>0977-737-2930</v>
          </cell>
          <cell r="I535" t="str">
            <v>1992-10-29</v>
          </cell>
          <cell r="J535">
            <v>1</v>
          </cell>
          <cell r="K535">
            <v>1</v>
          </cell>
          <cell r="M535" t="str">
            <v>04-3547247-8</v>
          </cell>
          <cell r="N535" t="str">
            <v>422-120-188</v>
          </cell>
          <cell r="O535">
            <v>55</v>
          </cell>
          <cell r="P535">
            <v>485</v>
          </cell>
          <cell r="Q535">
            <v>59</v>
          </cell>
          <cell r="R535">
            <v>11</v>
          </cell>
          <cell r="S535">
            <v>0</v>
          </cell>
          <cell r="T535" t="str">
            <v>Maria Dhona Baliling
B3 L35 Ph3 St Joseph 7
Marinig, Cabuyao, Laguna
0948-317-7966</v>
          </cell>
          <cell r="U535" t="str">
            <v>2021-04-01</v>
          </cell>
        </row>
        <row r="536">
          <cell r="C536" t="str">
            <v>Q020</v>
          </cell>
          <cell r="D536" t="str">
            <v>Bataanon</v>
          </cell>
          <cell r="E536" t="str">
            <v>Charry</v>
          </cell>
          <cell r="F536" t="str">
            <v>Sangcap</v>
          </cell>
          <cell r="G536" t="str">
            <v>Cha</v>
          </cell>
          <cell r="H536" t="str">
            <v>0930-709-3513</v>
          </cell>
          <cell r="I536" t="str">
            <v>1994-07-27</v>
          </cell>
          <cell r="J536">
            <v>2</v>
          </cell>
          <cell r="K536">
            <v>1</v>
          </cell>
          <cell r="M536" t="str">
            <v>04-2825286-7</v>
          </cell>
          <cell r="N536" t="str">
            <v>320-112-432</v>
          </cell>
          <cell r="O536">
            <v>43</v>
          </cell>
          <cell r="P536">
            <v>502</v>
          </cell>
          <cell r="Q536">
            <v>62</v>
          </cell>
          <cell r="R536">
            <v>12</v>
          </cell>
          <cell r="S536">
            <v>0</v>
          </cell>
          <cell r="T536" t="str">
            <v>Kris Anne Bataanon
B21 L17 Great Britain St, Villa La Prinza,
Bgy. Prinza, Calamba City, Laguna
0955-688-6144</v>
          </cell>
          <cell r="U536" t="str">
            <v>2021-04-01</v>
          </cell>
        </row>
        <row r="537">
          <cell r="C537" t="str">
            <v>Q021</v>
          </cell>
          <cell r="D537" t="str">
            <v>Bausa</v>
          </cell>
          <cell r="E537" t="str">
            <v>Evelyn</v>
          </cell>
          <cell r="F537" t="str">
            <v>Blazo</v>
          </cell>
          <cell r="G537" t="str">
            <v>Eevee</v>
          </cell>
          <cell r="H537" t="str">
            <v>0912-646-8689</v>
          </cell>
          <cell r="I537" t="str">
            <v>1997-09-02</v>
          </cell>
          <cell r="J537">
            <v>2</v>
          </cell>
          <cell r="K537">
            <v>1</v>
          </cell>
          <cell r="M537" t="str">
            <v>05-1294395-6</v>
          </cell>
          <cell r="N537" t="str">
            <v>351-876-583</v>
          </cell>
          <cell r="O537">
            <v>43</v>
          </cell>
          <cell r="P537">
            <v>502</v>
          </cell>
          <cell r="Q537">
            <v>62</v>
          </cell>
          <cell r="R537">
            <v>12</v>
          </cell>
          <cell r="S537">
            <v>0</v>
          </cell>
          <cell r="T537" t="str">
            <v>Mary Jean Bausa
East Drive, Sta. Rosa, Laguna
0909-606-6105</v>
          </cell>
          <cell r="U537" t="str">
            <v>2021-04-01</v>
          </cell>
        </row>
        <row r="538">
          <cell r="C538" t="str">
            <v>Q022</v>
          </cell>
          <cell r="D538" t="str">
            <v>Bernabe</v>
          </cell>
          <cell r="E538" t="str">
            <v>Neonilyn</v>
          </cell>
          <cell r="F538" t="str">
            <v>Villacuatro</v>
          </cell>
          <cell r="G538" t="str">
            <v>Lyn</v>
          </cell>
          <cell r="H538" t="str">
            <v>0951-148-6223</v>
          </cell>
          <cell r="I538" t="str">
            <v>1995-10-06</v>
          </cell>
          <cell r="J538">
            <v>2</v>
          </cell>
          <cell r="K538">
            <v>1</v>
          </cell>
          <cell r="M538" t="str">
            <v>04-3909470-0</v>
          </cell>
          <cell r="N538" t="str">
            <v>340-112-037</v>
          </cell>
          <cell r="O538">
            <v>43</v>
          </cell>
          <cell r="P538">
            <v>502</v>
          </cell>
          <cell r="Q538">
            <v>62</v>
          </cell>
          <cell r="R538">
            <v>12</v>
          </cell>
          <cell r="S538">
            <v>0</v>
          </cell>
          <cell r="T538" t="str">
            <v>Cresilda Bernabe
Blk 39 Lot 4 Manfil,
Canlubang, Calamba City, Laguna
0907-644-7391</v>
          </cell>
          <cell r="U538" t="str">
            <v>2021-04-01</v>
          </cell>
        </row>
        <row r="539">
          <cell r="C539" t="str">
            <v>Q023</v>
          </cell>
          <cell r="D539" t="str">
            <v>Burac</v>
          </cell>
          <cell r="E539" t="str">
            <v>Giselle</v>
          </cell>
          <cell r="F539" t="str">
            <v>Chavenia</v>
          </cell>
          <cell r="G539" t="str">
            <v>Gil</v>
          </cell>
          <cell r="H539" t="str">
            <v>0950-135-6125</v>
          </cell>
          <cell r="I539" t="str">
            <v>1998-02-11</v>
          </cell>
          <cell r="J539">
            <v>2</v>
          </cell>
          <cell r="K539">
            <v>1</v>
          </cell>
          <cell r="M539" t="str">
            <v>04-4104236-8</v>
          </cell>
          <cell r="N539" t="str">
            <v>374-922-465</v>
          </cell>
          <cell r="O539">
            <v>43</v>
          </cell>
          <cell r="P539">
            <v>502</v>
          </cell>
          <cell r="Q539">
            <v>62</v>
          </cell>
          <cell r="R539">
            <v>12</v>
          </cell>
          <cell r="S539">
            <v>0</v>
          </cell>
          <cell r="T539" t="str">
            <v>Donna Bhe Burac
Pasig City
0930-147-1199</v>
          </cell>
          <cell r="U539" t="str">
            <v>2021-04-01</v>
          </cell>
        </row>
        <row r="540">
          <cell r="C540" t="str">
            <v>Q024</v>
          </cell>
          <cell r="D540" t="str">
            <v>Cipres</v>
          </cell>
          <cell r="E540" t="str">
            <v>Rosalie</v>
          </cell>
          <cell r="F540" t="str">
            <v>Bongon</v>
          </cell>
          <cell r="G540" t="str">
            <v>Salie</v>
          </cell>
          <cell r="H540" t="str">
            <v>0946-751-1772</v>
          </cell>
          <cell r="I540" t="str">
            <v>1994-12-28</v>
          </cell>
          <cell r="J540">
            <v>2</v>
          </cell>
          <cell r="K540">
            <v>1</v>
          </cell>
          <cell r="M540" t="str">
            <v>04-2660108-3</v>
          </cell>
          <cell r="N540" t="str">
            <v>434-421-613</v>
          </cell>
          <cell r="O540">
            <v>43</v>
          </cell>
          <cell r="P540">
            <v>502</v>
          </cell>
          <cell r="Q540">
            <v>62</v>
          </cell>
          <cell r="R540">
            <v>12</v>
          </cell>
          <cell r="S540">
            <v>0</v>
          </cell>
          <cell r="T540" t="str">
            <v>Maritess C. Diapera
Bgy. San Isidro, Luisiana, Laguna
0909-301-4097</v>
          </cell>
          <cell r="U540" t="str">
            <v>2021-04-01</v>
          </cell>
        </row>
        <row r="541">
          <cell r="C541" t="str">
            <v>Q028</v>
          </cell>
          <cell r="D541" t="str">
            <v>Batoon</v>
          </cell>
          <cell r="E541" t="str">
            <v>Arianne</v>
          </cell>
          <cell r="F541" t="str">
            <v>De Torres</v>
          </cell>
          <cell r="G541" t="str">
            <v>Yann-Yann</v>
          </cell>
          <cell r="H541" t="str">
            <v>0991-355-74-70</v>
          </cell>
          <cell r="I541" t="str">
            <v>1993-06-07</v>
          </cell>
          <cell r="J541">
            <v>2</v>
          </cell>
          <cell r="K541">
            <v>2</v>
          </cell>
          <cell r="L541" t="str">
            <v>Jeffrey Sualog Batoon</v>
          </cell>
          <cell r="M541" t="str">
            <v>04-2411504-7</v>
          </cell>
          <cell r="N541" t="str">
            <v>410-692-007</v>
          </cell>
          <cell r="O541">
            <v>43</v>
          </cell>
          <cell r="P541">
            <v>493</v>
          </cell>
          <cell r="Q541">
            <v>55</v>
          </cell>
          <cell r="R541">
            <v>11</v>
          </cell>
          <cell r="S541">
            <v>0</v>
          </cell>
          <cell r="T541" t="str">
            <v>Jeffrey S. Batoon
Phase 2 Block 26 Lot 5A San Isidro Hieghts
Banlic, Cabuyao City, Laguna
09914180699</v>
          </cell>
          <cell r="U541" t="str">
            <v>2021-04-01</v>
          </cell>
        </row>
        <row r="542">
          <cell r="C542" t="str">
            <v>Q029</v>
          </cell>
          <cell r="D542" t="str">
            <v>Dooc</v>
          </cell>
          <cell r="E542" t="str">
            <v>Karla</v>
          </cell>
          <cell r="F542" t="str">
            <v>Balais</v>
          </cell>
          <cell r="G542" t="str">
            <v>Karla</v>
          </cell>
          <cell r="H542" t="str">
            <v>0950-118-3036</v>
          </cell>
          <cell r="I542" t="str">
            <v>1995-01-22</v>
          </cell>
          <cell r="J542">
            <v>2</v>
          </cell>
          <cell r="K542">
            <v>1</v>
          </cell>
          <cell r="M542" t="str">
            <v>04-2922954-3</v>
          </cell>
          <cell r="N542" t="str">
            <v>478-087-057</v>
          </cell>
          <cell r="O542">
            <v>43</v>
          </cell>
          <cell r="P542">
            <v>502</v>
          </cell>
          <cell r="Q542">
            <v>62</v>
          </cell>
          <cell r="R542">
            <v>12</v>
          </cell>
          <cell r="S542">
            <v>0</v>
          </cell>
          <cell r="T542" t="str">
            <v>Charisse Antida
Canlubang, Laguna
0950-190-7429</v>
          </cell>
          <cell r="U542" t="str">
            <v>2021-04-01</v>
          </cell>
        </row>
        <row r="543">
          <cell r="C543" t="str">
            <v>Q065</v>
          </cell>
          <cell r="D543" t="str">
            <v>Abelador</v>
          </cell>
          <cell r="E543" t="str">
            <v>May Ann</v>
          </cell>
          <cell r="F543" t="str">
            <v>CastaÃ±eto</v>
          </cell>
          <cell r="G543" t="str">
            <v>May</v>
          </cell>
          <cell r="H543" t="str">
            <v xml:space="preserve"> 0909-039-86-72</v>
          </cell>
          <cell r="I543" t="str">
            <v>1988-05-12</v>
          </cell>
          <cell r="J543">
            <v>2</v>
          </cell>
          <cell r="K543">
            <v>2</v>
          </cell>
          <cell r="L543" t="str">
            <v>Kenneth Bulaclac Abelador</v>
          </cell>
          <cell r="M543" t="str">
            <v>04-2019343-2</v>
          </cell>
          <cell r="N543" t="str">
            <v>309-513-577</v>
          </cell>
          <cell r="O543">
            <v>43</v>
          </cell>
          <cell r="P543">
            <v>472</v>
          </cell>
          <cell r="Q543">
            <v>34</v>
          </cell>
          <cell r="R543">
            <v>8</v>
          </cell>
          <cell r="S543">
            <v>0</v>
          </cell>
          <cell r="T543" t="str">
            <v>Kenneth B. Abelador
771 Dinulos Subd. Brgy. Paciano Rizal,
Calamba Laguna
09208337321</v>
          </cell>
          <cell r="U543" t="str">
            <v>2021-04-01</v>
          </cell>
        </row>
        <row r="544">
          <cell r="C544" t="str">
            <v>Q068</v>
          </cell>
          <cell r="D544" t="str">
            <v>Cuebellas</v>
          </cell>
          <cell r="E544" t="str">
            <v>Lilybeth</v>
          </cell>
          <cell r="F544" t="str">
            <v>Doclolero</v>
          </cell>
          <cell r="G544" t="str">
            <v>Lily</v>
          </cell>
          <cell r="H544">
            <v>9065073967</v>
          </cell>
          <cell r="I544" t="str">
            <v>1983-09-01</v>
          </cell>
          <cell r="J544">
            <v>2</v>
          </cell>
          <cell r="K544">
            <v>1</v>
          </cell>
          <cell r="M544" t="str">
            <v>33-5858508-3</v>
          </cell>
          <cell r="N544" t="str">
            <v>443-194-003</v>
          </cell>
          <cell r="O544">
            <v>43</v>
          </cell>
          <cell r="P544">
            <v>472</v>
          </cell>
          <cell r="Q544">
            <v>34</v>
          </cell>
          <cell r="R544">
            <v>8</v>
          </cell>
          <cell r="S544">
            <v>0</v>
          </cell>
          <cell r="T544" t="str">
            <v>Mario L. Mane
258 Kamatsili St. Looc,
Calamba City
09615931459</v>
          </cell>
          <cell r="U544" t="str">
            <v>2021-04-01</v>
          </cell>
        </row>
        <row r="545">
          <cell r="C545" t="str">
            <v>Q071</v>
          </cell>
          <cell r="D545" t="str">
            <v>Dichoso</v>
          </cell>
          <cell r="E545" t="str">
            <v>Leonisa</v>
          </cell>
          <cell r="F545" t="str">
            <v>De Mesa</v>
          </cell>
          <cell r="G545" t="str">
            <v>Nesa</v>
          </cell>
          <cell r="H545" t="str">
            <v>0907-1044957</v>
          </cell>
          <cell r="I545" t="str">
            <v>1989-03-20</v>
          </cell>
          <cell r="J545">
            <v>2</v>
          </cell>
          <cell r="K545">
            <v>1</v>
          </cell>
          <cell r="M545" t="str">
            <v>04-1885639-6</v>
          </cell>
          <cell r="N545" t="str">
            <v>263-742-889</v>
          </cell>
          <cell r="O545">
            <v>43</v>
          </cell>
          <cell r="P545">
            <v>472</v>
          </cell>
          <cell r="Q545">
            <v>34</v>
          </cell>
          <cell r="R545">
            <v>8</v>
          </cell>
          <cell r="S545">
            <v>0</v>
          </cell>
          <cell r="T545" t="str">
            <v>Ronald LaviÃ±a
186 San Isidro
Cabuyao Laguna
0948-209-54-27</v>
          </cell>
          <cell r="U545" t="str">
            <v>2021-04-05</v>
          </cell>
        </row>
        <row r="546">
          <cell r="C546" t="str">
            <v>Q072</v>
          </cell>
          <cell r="D546" t="str">
            <v>Fidelino</v>
          </cell>
          <cell r="E546" t="str">
            <v>Irine</v>
          </cell>
          <cell r="F546" t="str">
            <v>Liwanagan</v>
          </cell>
          <cell r="G546" t="str">
            <v>Irine</v>
          </cell>
          <cell r="H546">
            <v>9389492322</v>
          </cell>
          <cell r="I546" t="str">
            <v>1999-01-09</v>
          </cell>
          <cell r="J546">
            <v>2</v>
          </cell>
          <cell r="K546">
            <v>1</v>
          </cell>
          <cell r="M546" t="str">
            <v>04-4044306-5</v>
          </cell>
          <cell r="N546" t="str">
            <v>349-073-989</v>
          </cell>
          <cell r="O546">
            <v>43</v>
          </cell>
          <cell r="P546">
            <v>472</v>
          </cell>
          <cell r="Q546">
            <v>34</v>
          </cell>
          <cell r="R546">
            <v>8</v>
          </cell>
          <cell r="S546">
            <v>0</v>
          </cell>
          <cell r="T546" t="str">
            <v>Charlene Fidelino
San Antonio, Paciano, Calamba Laguna
09564283568</v>
          </cell>
          <cell r="U546" t="str">
            <v>2021-04-01</v>
          </cell>
        </row>
        <row r="547">
          <cell r="C547" t="str">
            <v>Q030</v>
          </cell>
          <cell r="D547" t="str">
            <v>Eleptico</v>
          </cell>
          <cell r="E547" t="str">
            <v>Albert</v>
          </cell>
          <cell r="F547" t="str">
            <v>Nano</v>
          </cell>
          <cell r="G547" t="str">
            <v>Mhikel</v>
          </cell>
          <cell r="H547" t="str">
            <v>0956-632-3209</v>
          </cell>
          <cell r="I547" t="str">
            <v>1992-09-12</v>
          </cell>
          <cell r="J547">
            <v>1</v>
          </cell>
          <cell r="K547">
            <v>1</v>
          </cell>
          <cell r="M547" t="str">
            <v>05-1359107-7</v>
          </cell>
          <cell r="N547" t="str">
            <v>336-772-464</v>
          </cell>
          <cell r="O547">
            <v>43</v>
          </cell>
          <cell r="P547">
            <v>502</v>
          </cell>
          <cell r="Q547">
            <v>62</v>
          </cell>
          <cell r="R547">
            <v>12</v>
          </cell>
          <cell r="S547">
            <v>0</v>
          </cell>
          <cell r="T547" t="str">
            <v>Myra Macalalad
San Isidro Heights, San Isidro,
Cabuyao City, Laguna
0946-632-3901</v>
          </cell>
          <cell r="U547" t="str">
            <v>2021-04-01</v>
          </cell>
        </row>
        <row r="548">
          <cell r="C548" t="str">
            <v>Q031</v>
          </cell>
          <cell r="D548" t="str">
            <v>Ellares</v>
          </cell>
          <cell r="E548" t="str">
            <v>John Hazel</v>
          </cell>
          <cell r="F548" t="str">
            <v>Rosal</v>
          </cell>
          <cell r="G548" t="str">
            <v>John</v>
          </cell>
          <cell r="H548" t="str">
            <v>0930-421-5122</v>
          </cell>
          <cell r="I548" t="str">
            <v>1995-09-02</v>
          </cell>
          <cell r="J548">
            <v>1</v>
          </cell>
          <cell r="K548">
            <v>1</v>
          </cell>
          <cell r="M548" t="str">
            <v>04-2860006-6</v>
          </cell>
          <cell r="N548" t="str">
            <v>326-806-234</v>
          </cell>
          <cell r="O548">
            <v>43</v>
          </cell>
          <cell r="P548">
            <v>502</v>
          </cell>
          <cell r="Q548">
            <v>62</v>
          </cell>
          <cell r="R548">
            <v>12</v>
          </cell>
          <cell r="S548">
            <v>0</v>
          </cell>
          <cell r="T548" t="str">
            <v>Jacee Ann Ellares
Tocok, San Fabian, Pangasinan 
0912-834-7175</v>
          </cell>
          <cell r="U548" t="str">
            <v>2021-04-01</v>
          </cell>
        </row>
        <row r="549">
          <cell r="C549" t="str">
            <v>Q032</v>
          </cell>
          <cell r="D549" t="str">
            <v>Espiritu Jr</v>
          </cell>
          <cell r="E549" t="str">
            <v>Charlito</v>
          </cell>
          <cell r="F549" t="str">
            <v>Cari</v>
          </cell>
          <cell r="G549" t="str">
            <v>Cha</v>
          </cell>
          <cell r="H549" t="str">
            <v>0909-638-0628</v>
          </cell>
          <cell r="I549" t="str">
            <v>1994-09-14</v>
          </cell>
          <cell r="J549">
            <v>1</v>
          </cell>
          <cell r="K549">
            <v>1</v>
          </cell>
          <cell r="M549" t="str">
            <v>04-3917840-6</v>
          </cell>
          <cell r="N549" t="str">
            <v>339-302-639</v>
          </cell>
          <cell r="O549">
            <v>43</v>
          </cell>
          <cell r="P549">
            <v>502</v>
          </cell>
          <cell r="Q549">
            <v>62</v>
          </cell>
          <cell r="R549">
            <v>12</v>
          </cell>
          <cell r="S549">
            <v>0</v>
          </cell>
          <cell r="T549" t="str">
            <v>Shaira Hain
Paciano Rizal, Calamba City, Laguna
0909-638-0628</v>
          </cell>
          <cell r="U549" t="str">
            <v>2021-04-01</v>
          </cell>
        </row>
        <row r="550">
          <cell r="C550" t="str">
            <v>Q033</v>
          </cell>
          <cell r="D550" t="str">
            <v>Facun</v>
          </cell>
          <cell r="E550" t="str">
            <v>Carmela</v>
          </cell>
          <cell r="F550" t="str">
            <v>Fernandez</v>
          </cell>
          <cell r="G550" t="str">
            <v>Mela</v>
          </cell>
          <cell r="H550" t="str">
            <v>0930-935-1822</v>
          </cell>
          <cell r="I550" t="str">
            <v>1994-12-08</v>
          </cell>
          <cell r="J550">
            <v>2</v>
          </cell>
          <cell r="K550">
            <v>1</v>
          </cell>
          <cell r="M550" t="str">
            <v>02-3857575-0</v>
          </cell>
          <cell r="N550" t="str">
            <v>353-101-877</v>
          </cell>
          <cell r="O550">
            <v>43</v>
          </cell>
          <cell r="P550">
            <v>502</v>
          </cell>
          <cell r="Q550">
            <v>62</v>
          </cell>
          <cell r="R550">
            <v>12</v>
          </cell>
          <cell r="S550">
            <v>0</v>
          </cell>
          <cell r="T550" t="str">
            <v>Carlito B. Facun
Bgy. Vargas, Sta. Ignacia, Tarlac
0918-505-4366</v>
          </cell>
          <cell r="U550" t="str">
            <v>2021-04-01</v>
          </cell>
        </row>
        <row r="551">
          <cell r="C551" t="str">
            <v>Q073</v>
          </cell>
          <cell r="D551" t="str">
            <v>Laguador</v>
          </cell>
          <cell r="E551" t="str">
            <v>Richard</v>
          </cell>
          <cell r="F551" t="str">
            <v>Guieb</v>
          </cell>
          <cell r="G551" t="str">
            <v>Chard</v>
          </cell>
          <cell r="H551">
            <v>9454555448</v>
          </cell>
          <cell r="I551" t="str">
            <v>1987-12-09</v>
          </cell>
          <cell r="J551">
            <v>1</v>
          </cell>
          <cell r="K551">
            <v>1</v>
          </cell>
          <cell r="M551" t="str">
            <v>04-3947153-0</v>
          </cell>
          <cell r="N551" t="str">
            <v>299-050-849</v>
          </cell>
          <cell r="O551">
            <v>43</v>
          </cell>
          <cell r="P551">
            <v>472</v>
          </cell>
          <cell r="Q551">
            <v>34</v>
          </cell>
          <cell r="R551">
            <v>8</v>
          </cell>
          <cell r="S551">
            <v>0</v>
          </cell>
          <cell r="T551" t="str">
            <v>Judy Ann G. Laguador
Grand Acacia Brgy. Banay Banay Cabuyao Laguna
09095141470</v>
          </cell>
          <cell r="U551" t="str">
            <v>2021-04-01</v>
          </cell>
        </row>
        <row r="552">
          <cell r="C552" t="str">
            <v>Q034</v>
          </cell>
          <cell r="D552" t="str">
            <v>Gorospe</v>
          </cell>
          <cell r="E552" t="str">
            <v xml:space="preserve">Mary Grace </v>
          </cell>
          <cell r="F552" t="str">
            <v>Bigata</v>
          </cell>
          <cell r="G552" t="str">
            <v>Ace</v>
          </cell>
          <cell r="H552" t="str">
            <v>0938623-4071</v>
          </cell>
          <cell r="I552" t="str">
            <v>1998-03-28</v>
          </cell>
          <cell r="J552">
            <v>2</v>
          </cell>
          <cell r="K552">
            <v>1</v>
          </cell>
          <cell r="M552" t="str">
            <v>04-4066411-6</v>
          </cell>
          <cell r="N552" t="str">
            <v>346-510-129</v>
          </cell>
          <cell r="O552">
            <v>43</v>
          </cell>
          <cell r="P552">
            <v>502</v>
          </cell>
          <cell r="Q552">
            <v>62</v>
          </cell>
          <cell r="R552">
            <v>12</v>
          </cell>
          <cell r="S552">
            <v>0</v>
          </cell>
          <cell r="T552" t="str">
            <v>Andrew Gorospe
Monte Calvario, Buhi,
Camarines Sur
0930-109-2299</v>
          </cell>
          <cell r="U552" t="str">
            <v>2021-04-01</v>
          </cell>
        </row>
        <row r="553">
          <cell r="C553" t="str">
            <v>Q074</v>
          </cell>
          <cell r="D553" t="str">
            <v>Luna</v>
          </cell>
          <cell r="E553" t="str">
            <v>Melissa</v>
          </cell>
          <cell r="F553" t="str">
            <v>Delos Reyes</v>
          </cell>
          <cell r="G553" t="str">
            <v>Lisa</v>
          </cell>
          <cell r="H553">
            <v>9097341228</v>
          </cell>
          <cell r="I553" t="str">
            <v>1994-05-10</v>
          </cell>
          <cell r="J553">
            <v>2</v>
          </cell>
          <cell r="K553">
            <v>1</v>
          </cell>
          <cell r="M553" t="str">
            <v>04-3915787-0</v>
          </cell>
          <cell r="N553" t="str">
            <v>702-121-269</v>
          </cell>
          <cell r="O553">
            <v>43</v>
          </cell>
          <cell r="P553">
            <v>393</v>
          </cell>
          <cell r="Q553">
            <v>34</v>
          </cell>
          <cell r="R553">
            <v>8</v>
          </cell>
          <cell r="S553">
            <v>0</v>
          </cell>
          <cell r="T553" t="str">
            <v>Melanie L. Ruiz
Brgy. Lamesa SItio Ilaya Calamba Laguna
09359118620</v>
          </cell>
          <cell r="U553" t="str">
            <v>2021-04-01</v>
          </cell>
        </row>
        <row r="554">
          <cell r="C554" t="str">
            <v>Q075</v>
          </cell>
          <cell r="D554" t="str">
            <v>Mandigma</v>
          </cell>
          <cell r="E554" t="str">
            <v>Jonathan</v>
          </cell>
          <cell r="F554" t="str">
            <v>Alcantara</v>
          </cell>
          <cell r="G554" t="str">
            <v>Nathan</v>
          </cell>
          <cell r="H554">
            <v>9060243134</v>
          </cell>
          <cell r="I554" t="str">
            <v>1984-08-17</v>
          </cell>
          <cell r="J554">
            <v>1</v>
          </cell>
          <cell r="K554">
            <v>1</v>
          </cell>
          <cell r="M554" t="str">
            <v>04-2233481-7</v>
          </cell>
          <cell r="N554" t="str">
            <v>294-917-950</v>
          </cell>
          <cell r="O554">
            <v>43</v>
          </cell>
          <cell r="P554">
            <v>393</v>
          </cell>
          <cell r="Q554">
            <v>34</v>
          </cell>
          <cell r="R554">
            <v>8</v>
          </cell>
          <cell r="S554">
            <v>0</v>
          </cell>
          <cell r="T554" t="str">
            <v>Jesusan A.Mandigma
104 Brgy. Hanggan, Calauan Laguna
09335556419</v>
          </cell>
          <cell r="U554" t="str">
            <v>2021-04-01</v>
          </cell>
        </row>
        <row r="555">
          <cell r="C555" t="str">
            <v>Q076</v>
          </cell>
          <cell r="D555" t="str">
            <v>Mayo</v>
          </cell>
          <cell r="E555" t="str">
            <v>Rolando</v>
          </cell>
          <cell r="F555" t="str">
            <v>Monces</v>
          </cell>
          <cell r="G555" t="str">
            <v>Rolan</v>
          </cell>
          <cell r="H555">
            <v>9508578441</v>
          </cell>
          <cell r="I555" t="str">
            <v>1991-04-10</v>
          </cell>
          <cell r="J555">
            <v>1</v>
          </cell>
          <cell r="K555">
            <v>1</v>
          </cell>
          <cell r="M555" t="str">
            <v>02-3320100-3</v>
          </cell>
          <cell r="N555" t="str">
            <v>398-613-794</v>
          </cell>
          <cell r="O555">
            <v>43</v>
          </cell>
          <cell r="P555">
            <v>472</v>
          </cell>
          <cell r="Q555">
            <v>34</v>
          </cell>
          <cell r="R555">
            <v>8</v>
          </cell>
          <cell r="S555">
            <v>0</v>
          </cell>
          <cell r="T555" t="str">
            <v>Armando NiÃ±o Mayo Sr.
San Jose Mayapa Calamba City
09305778814</v>
          </cell>
          <cell r="U555" t="str">
            <v>2021-04-01</v>
          </cell>
        </row>
        <row r="556">
          <cell r="C556" t="str">
            <v>Q037</v>
          </cell>
          <cell r="D556" t="str">
            <v>Legion</v>
          </cell>
          <cell r="E556" t="str">
            <v>Jenny Rose</v>
          </cell>
          <cell r="F556" t="str">
            <v>Presas</v>
          </cell>
          <cell r="G556" t="str">
            <v>Jenny</v>
          </cell>
          <cell r="H556" t="str">
            <v>0910-431-3462</v>
          </cell>
          <cell r="I556" t="str">
            <v>1997-09-30</v>
          </cell>
          <cell r="J556">
            <v>2</v>
          </cell>
          <cell r="K556">
            <v>1</v>
          </cell>
          <cell r="M556" t="str">
            <v>04-3839514-1</v>
          </cell>
          <cell r="N556" t="str">
            <v>700-833-535</v>
          </cell>
          <cell r="O556">
            <v>43</v>
          </cell>
          <cell r="P556">
            <v>502</v>
          </cell>
          <cell r="Q556">
            <v>62</v>
          </cell>
          <cell r="R556">
            <v>12</v>
          </cell>
          <cell r="S556">
            <v>0</v>
          </cell>
          <cell r="T556" t="str">
            <v>Gilbert P. Legion
Bgy. Tibag, Calamba City, Laguna
0938-323-2181</v>
          </cell>
          <cell r="U556" t="str">
            <v>2021-04-01</v>
          </cell>
        </row>
        <row r="557">
          <cell r="C557" t="str">
            <v>Q077</v>
          </cell>
          <cell r="D557" t="str">
            <v>Morales</v>
          </cell>
          <cell r="E557" t="str">
            <v>Annielyn</v>
          </cell>
          <cell r="F557" t="str">
            <v>Montalban</v>
          </cell>
          <cell r="G557" t="str">
            <v>Annie</v>
          </cell>
          <cell r="H557">
            <v>9196823125</v>
          </cell>
          <cell r="I557" t="str">
            <v>1992-09-13</v>
          </cell>
          <cell r="J557">
            <v>2</v>
          </cell>
          <cell r="K557">
            <v>1</v>
          </cell>
          <cell r="M557" t="str">
            <v>04-2600682-4</v>
          </cell>
          <cell r="N557" t="str">
            <v>428-944-485</v>
          </cell>
          <cell r="O557">
            <v>43</v>
          </cell>
          <cell r="P557">
            <v>393</v>
          </cell>
          <cell r="Q557">
            <v>34</v>
          </cell>
          <cell r="R557">
            <v>8</v>
          </cell>
          <cell r="S557">
            <v>0</v>
          </cell>
          <cell r="T557" t="str">
            <v>Jonel A. Tonel
Solib Pangil Laguna
09217729948</v>
          </cell>
          <cell r="U557" t="str">
            <v>2021-04-01</v>
          </cell>
        </row>
        <row r="558">
          <cell r="C558" t="str">
            <v>Q038</v>
          </cell>
          <cell r="D558" t="str">
            <v>Loma</v>
          </cell>
          <cell r="E558" t="str">
            <v>Liezel</v>
          </cell>
          <cell r="F558" t="str">
            <v>Iliw-iliw</v>
          </cell>
          <cell r="G558" t="str">
            <v>Zel</v>
          </cell>
          <cell r="H558" t="str">
            <v>0927-495-1208</v>
          </cell>
          <cell r="I558" t="str">
            <v>1985-09-16</v>
          </cell>
          <cell r="J558">
            <v>2</v>
          </cell>
          <cell r="K558">
            <v>2</v>
          </cell>
          <cell r="L558" t="str">
            <v>Erwin Manilag Loma</v>
          </cell>
          <cell r="M558" t="str">
            <v>04-1465518-0</v>
          </cell>
          <cell r="N558" t="str">
            <v>332-119-410</v>
          </cell>
          <cell r="O558">
            <v>43</v>
          </cell>
          <cell r="P558">
            <v>502</v>
          </cell>
          <cell r="Q558">
            <v>62</v>
          </cell>
          <cell r="R558">
            <v>12</v>
          </cell>
          <cell r="S558">
            <v>0</v>
          </cell>
          <cell r="T558" t="str">
            <v>Erma Velligaz
Sitio Iraq, Macabling, 
Sta. Rosa City, Laguna
0946-844-7322</v>
          </cell>
          <cell r="U558" t="str">
            <v>2021-04-01</v>
          </cell>
        </row>
        <row r="559">
          <cell r="C559" t="str">
            <v>Q078</v>
          </cell>
          <cell r="D559" t="str">
            <v>Pitallano</v>
          </cell>
          <cell r="E559" t="str">
            <v>Lanie</v>
          </cell>
          <cell r="F559" t="str">
            <v>Canapit</v>
          </cell>
          <cell r="G559" t="str">
            <v>Lan</v>
          </cell>
          <cell r="H559">
            <v>9481379689</v>
          </cell>
          <cell r="I559" t="str">
            <v>1992-06-26</v>
          </cell>
          <cell r="J559">
            <v>2</v>
          </cell>
          <cell r="K559">
            <v>1</v>
          </cell>
          <cell r="M559" t="str">
            <v>05-1320602-9</v>
          </cell>
          <cell r="N559" t="str">
            <v>348-894-598</v>
          </cell>
          <cell r="O559">
            <v>43</v>
          </cell>
          <cell r="P559">
            <v>472</v>
          </cell>
          <cell r="Q559">
            <v>34</v>
          </cell>
          <cell r="R559">
            <v>8</v>
          </cell>
          <cell r="S559">
            <v>0</v>
          </cell>
          <cell r="T559" t="str">
            <v>Harold P. Radores
Mayapa Calamba City
09095680295</v>
          </cell>
          <cell r="U559" t="str">
            <v>2021-04-01</v>
          </cell>
        </row>
        <row r="560">
          <cell r="C560" t="str">
            <v>Q079</v>
          </cell>
          <cell r="D560" t="str">
            <v>Rodelas</v>
          </cell>
          <cell r="E560" t="str">
            <v>Mary Grace</v>
          </cell>
          <cell r="F560" t="str">
            <v>Moreno</v>
          </cell>
          <cell r="G560" t="str">
            <v>Grace</v>
          </cell>
          <cell r="H560">
            <v>9208684293</v>
          </cell>
          <cell r="I560" t="str">
            <v>1998-12-27</v>
          </cell>
          <cell r="J560">
            <v>2</v>
          </cell>
          <cell r="K560">
            <v>1</v>
          </cell>
          <cell r="M560" t="str">
            <v>34-6457204-5</v>
          </cell>
          <cell r="N560" t="str">
            <v>350-666-906</v>
          </cell>
          <cell r="O560">
            <v>43</v>
          </cell>
          <cell r="P560">
            <v>472</v>
          </cell>
          <cell r="Q560">
            <v>34</v>
          </cell>
          <cell r="R560">
            <v>8</v>
          </cell>
          <cell r="S560">
            <v>0</v>
          </cell>
          <cell r="T560" t="str">
            <v>Mary Rose Rodelas
B3 L32 Bayabas St., Millwood Subd. 
Pulo, Cabuyao Laguna
09506380294</v>
          </cell>
          <cell r="U560" t="str">
            <v>2021-04-01</v>
          </cell>
        </row>
        <row r="561">
          <cell r="C561" t="str">
            <v>Q081</v>
          </cell>
          <cell r="D561" t="str">
            <v>Rodriguez</v>
          </cell>
          <cell r="E561" t="str">
            <v>Jammiel</v>
          </cell>
          <cell r="F561" t="str">
            <v>Alcabasa</v>
          </cell>
          <cell r="G561" t="str">
            <v>Jam</v>
          </cell>
          <cell r="H561">
            <v>9077498643</v>
          </cell>
          <cell r="I561" t="str">
            <v>1992-09-14</v>
          </cell>
          <cell r="J561">
            <v>2</v>
          </cell>
          <cell r="K561">
            <v>1</v>
          </cell>
          <cell r="M561" t="str">
            <v>04-2769408-6</v>
          </cell>
          <cell r="N561" t="str">
            <v>449-836-544</v>
          </cell>
          <cell r="O561">
            <v>43</v>
          </cell>
          <cell r="P561">
            <v>472</v>
          </cell>
          <cell r="Q561">
            <v>34</v>
          </cell>
          <cell r="R561">
            <v>8</v>
          </cell>
          <cell r="S561">
            <v>0</v>
          </cell>
          <cell r="T561" t="str">
            <v>Agustin Rodriguez
S03 GUlod, Cabuyao Laguna
09077498643</v>
          </cell>
          <cell r="U561" t="str">
            <v>2021-04-01</v>
          </cell>
        </row>
        <row r="562">
          <cell r="C562" t="str">
            <v>Q082</v>
          </cell>
          <cell r="D562" t="str">
            <v>Somera</v>
          </cell>
          <cell r="E562" t="str">
            <v>Diansy</v>
          </cell>
          <cell r="F562" t="str">
            <v>Derder</v>
          </cell>
          <cell r="G562" t="str">
            <v>Dian</v>
          </cell>
          <cell r="H562">
            <v>9456173833</v>
          </cell>
          <cell r="I562" t="str">
            <v>1993-12-05</v>
          </cell>
          <cell r="J562">
            <v>2</v>
          </cell>
          <cell r="K562">
            <v>1</v>
          </cell>
          <cell r="M562" t="str">
            <v>34-3559501-9</v>
          </cell>
          <cell r="N562" t="str">
            <v>323-606-279</v>
          </cell>
          <cell r="O562">
            <v>43</v>
          </cell>
          <cell r="P562">
            <v>472</v>
          </cell>
          <cell r="Q562">
            <v>34</v>
          </cell>
          <cell r="R562">
            <v>8</v>
          </cell>
          <cell r="S562">
            <v>0</v>
          </cell>
          <cell r="T562" t="str">
            <v>Bengie Somera
San Valley Sucat ParaÃ±aque
09389351575</v>
          </cell>
          <cell r="U562" t="str">
            <v>2021-04-01</v>
          </cell>
        </row>
        <row r="563">
          <cell r="C563" t="str">
            <v>Q084</v>
          </cell>
          <cell r="D563" t="str">
            <v>Mendez</v>
          </cell>
          <cell r="E563" t="str">
            <v>Benjou Angelo</v>
          </cell>
          <cell r="F563">
            <v>0</v>
          </cell>
          <cell r="G563" t="str">
            <v>Jho</v>
          </cell>
          <cell r="H563">
            <v>9278223805</v>
          </cell>
          <cell r="I563" t="str">
            <v>1995-09-18</v>
          </cell>
          <cell r="J563">
            <v>1</v>
          </cell>
          <cell r="K563">
            <v>1</v>
          </cell>
          <cell r="M563" t="str">
            <v>04-2798282-4</v>
          </cell>
          <cell r="N563" t="str">
            <v>330-337-867</v>
          </cell>
          <cell r="O563">
            <v>40</v>
          </cell>
          <cell r="P563">
            <v>349</v>
          </cell>
          <cell r="Q563">
            <v>35</v>
          </cell>
          <cell r="R563">
            <v>8</v>
          </cell>
          <cell r="S563">
            <v>0</v>
          </cell>
          <cell r="T563" t="str">
            <v>Maria Clarice Mendez
Macabling, Sta.Rosa Laguna
09263124485</v>
          </cell>
          <cell r="U563" t="str">
            <v>2021-04-01</v>
          </cell>
        </row>
        <row r="564">
          <cell r="C564" t="str">
            <v>Q040</v>
          </cell>
          <cell r="D564" t="str">
            <v>Manangkil</v>
          </cell>
          <cell r="E564" t="str">
            <v>Jenny Rose</v>
          </cell>
          <cell r="F564" t="str">
            <v>Dela Cruz</v>
          </cell>
          <cell r="G564" t="str">
            <v>Jhen</v>
          </cell>
          <cell r="H564" t="str">
            <v>0951-317-9148</v>
          </cell>
          <cell r="I564" t="str">
            <v>1990-05-08</v>
          </cell>
          <cell r="J564">
            <v>2</v>
          </cell>
          <cell r="K564">
            <v>1</v>
          </cell>
          <cell r="M564" t="str">
            <v>04-1894302-1</v>
          </cell>
          <cell r="N564" t="str">
            <v>403-147-541</v>
          </cell>
          <cell r="O564">
            <v>43</v>
          </cell>
          <cell r="P564">
            <v>492</v>
          </cell>
          <cell r="Q564">
            <v>55</v>
          </cell>
          <cell r="R564">
            <v>11</v>
          </cell>
          <cell r="S564">
            <v>0</v>
          </cell>
          <cell r="T564" t="str">
            <v>Cecilia D. Manangkil
Sampiruhan, Calamba City
0919-443-3541</v>
          </cell>
          <cell r="U564" t="str">
            <v>2021-04-01</v>
          </cell>
        </row>
        <row r="565">
          <cell r="C565" t="str">
            <v>Q085</v>
          </cell>
          <cell r="D565" t="str">
            <v>Ramos</v>
          </cell>
          <cell r="E565" t="str">
            <v>R-Jay</v>
          </cell>
          <cell r="F565" t="str">
            <v>Jabat</v>
          </cell>
          <cell r="G565" t="str">
            <v>R-Jay</v>
          </cell>
          <cell r="H565">
            <v>9318792373</v>
          </cell>
          <cell r="I565" t="str">
            <v>1999-04-11</v>
          </cell>
          <cell r="J565">
            <v>1</v>
          </cell>
          <cell r="K565">
            <v>1</v>
          </cell>
          <cell r="M565" t="str">
            <v>04-4242099-2</v>
          </cell>
          <cell r="N565" t="str">
            <v>704-806-136</v>
          </cell>
          <cell r="O565">
            <v>40</v>
          </cell>
          <cell r="P565">
            <v>349</v>
          </cell>
          <cell r="Q565">
            <v>35</v>
          </cell>
          <cell r="R565">
            <v>8</v>
          </cell>
          <cell r="S565">
            <v>0</v>
          </cell>
          <cell r="T565" t="str">
            <v>Nelia Ramos
Cueto St., Ilaya, Calapan City
Orriental Mindoro
09993325243</v>
          </cell>
          <cell r="U565" t="str">
            <v>2021-04-01</v>
          </cell>
        </row>
        <row r="566">
          <cell r="C566" t="str">
            <v>Q041</v>
          </cell>
          <cell r="D566" t="str">
            <v>Manforte</v>
          </cell>
          <cell r="E566" t="str">
            <v>Evangeline</v>
          </cell>
          <cell r="F566" t="str">
            <v>Jaquilmo</v>
          </cell>
          <cell r="G566" t="str">
            <v>Vangie</v>
          </cell>
          <cell r="H566" t="str">
            <v>0948-436-3782</v>
          </cell>
          <cell r="I566" t="str">
            <v>1984-11-05</v>
          </cell>
          <cell r="J566">
            <v>2</v>
          </cell>
          <cell r="K566">
            <v>2</v>
          </cell>
          <cell r="L566" t="str">
            <v>Aldrin Arca Manforte</v>
          </cell>
          <cell r="M566" t="str">
            <v>04-1354398-9</v>
          </cell>
          <cell r="N566" t="str">
            <v>932-042-902</v>
          </cell>
          <cell r="O566">
            <v>43</v>
          </cell>
          <cell r="P566">
            <v>502</v>
          </cell>
          <cell r="Q566">
            <v>62</v>
          </cell>
          <cell r="R566">
            <v>12</v>
          </cell>
          <cell r="S566">
            <v>0</v>
          </cell>
          <cell r="T566" t="str">
            <v>Jinky Jaquilmo
Paciano, Calamba City, Laguna
0946-200-0259</v>
          </cell>
          <cell r="U566" t="str">
            <v>2021-04-01</v>
          </cell>
        </row>
        <row r="567">
          <cell r="C567" t="str">
            <v>Q086</v>
          </cell>
          <cell r="D567" t="str">
            <v>Clavo</v>
          </cell>
          <cell r="E567" t="str">
            <v>Ronel</v>
          </cell>
          <cell r="F567" t="str">
            <v>Albay</v>
          </cell>
          <cell r="G567" t="str">
            <v>Ronel</v>
          </cell>
          <cell r="H567">
            <v>9092851400</v>
          </cell>
          <cell r="I567" t="str">
            <v>1989-02-23</v>
          </cell>
          <cell r="J567">
            <v>1</v>
          </cell>
          <cell r="K567">
            <v>2</v>
          </cell>
          <cell r="L567" t="str">
            <v>Marjerie GUevarra Hernandez</v>
          </cell>
          <cell r="M567" t="str">
            <v>04-4001717-4</v>
          </cell>
          <cell r="N567" t="str">
            <v>344-138-773</v>
          </cell>
          <cell r="O567">
            <v>43</v>
          </cell>
          <cell r="P567">
            <v>453</v>
          </cell>
          <cell r="Q567">
            <v>20</v>
          </cell>
          <cell r="R567">
            <v>4</v>
          </cell>
          <cell r="S567">
            <v>0</v>
          </cell>
          <cell r="T567" t="str">
            <v>Susana Clavo
Brgy. Taytay Nagcarlan Laguna
09467078055</v>
          </cell>
          <cell r="U567" t="str">
            <v>2021-04-01</v>
          </cell>
        </row>
        <row r="568">
          <cell r="C568" t="str">
            <v>Q045</v>
          </cell>
          <cell r="D568" t="str">
            <v>Mendoza</v>
          </cell>
          <cell r="E568" t="str">
            <v xml:space="preserve">Rowena </v>
          </cell>
          <cell r="F568" t="str">
            <v>Reyes</v>
          </cell>
          <cell r="G568" t="str">
            <v>Cror</v>
          </cell>
          <cell r="H568" t="str">
            <v>0925-869-8823</v>
          </cell>
          <cell r="I568" t="str">
            <v>1979-10-07</v>
          </cell>
          <cell r="J568">
            <v>2</v>
          </cell>
          <cell r="K568">
            <v>2</v>
          </cell>
          <cell r="L568" t="str">
            <v>Christopher Receno Mendoza</v>
          </cell>
          <cell r="M568" t="str">
            <v>02-1586568-7</v>
          </cell>
          <cell r="N568" t="str">
            <v>208-791-776</v>
          </cell>
          <cell r="O568">
            <v>43</v>
          </cell>
          <cell r="P568">
            <v>502</v>
          </cell>
          <cell r="Q568">
            <v>62</v>
          </cell>
          <cell r="R568">
            <v>12</v>
          </cell>
          <cell r="S568">
            <v>0</v>
          </cell>
          <cell r="T568" t="str">
            <v>Christopher R. Mendoza
Blk15 Lot124 Ph3 Cluster,
Mabuhay City, Mamatid, Cabuyao, Laguna
0922-814-4608</v>
          </cell>
          <cell r="U568" t="str">
            <v>2021-04-01</v>
          </cell>
        </row>
        <row r="569">
          <cell r="C569" t="str">
            <v>Q088</v>
          </cell>
          <cell r="D569" t="str">
            <v>De Leon</v>
          </cell>
          <cell r="E569" t="str">
            <v>Jerald</v>
          </cell>
          <cell r="F569" t="str">
            <v>Elises</v>
          </cell>
          <cell r="G569" t="str">
            <v>Jerald</v>
          </cell>
          <cell r="H569">
            <v>9757830543</v>
          </cell>
          <cell r="I569" t="str">
            <v>1994-11-02</v>
          </cell>
          <cell r="J569">
            <v>1</v>
          </cell>
          <cell r="K569">
            <v>1</v>
          </cell>
          <cell r="M569" t="str">
            <v>04-2720392-7</v>
          </cell>
          <cell r="N569" t="str">
            <v>711-436-550</v>
          </cell>
          <cell r="O569">
            <v>43</v>
          </cell>
          <cell r="P569">
            <v>317</v>
          </cell>
          <cell r="Q569">
            <v>20</v>
          </cell>
          <cell r="R569">
            <v>4</v>
          </cell>
          <cell r="S569">
            <v>0</v>
          </cell>
          <cell r="T569" t="str">
            <v>Cherryfel Gaan
Brgy. San Isidro, Cabuyao Laguna
09210153586</v>
          </cell>
          <cell r="U569" t="str">
            <v>2021-04-01</v>
          </cell>
        </row>
        <row r="570">
          <cell r="C570" t="str">
            <v>Q090</v>
          </cell>
          <cell r="D570" t="str">
            <v>Hilla</v>
          </cell>
          <cell r="E570" t="str">
            <v>Russel Dave</v>
          </cell>
          <cell r="F570" t="str">
            <v>Berioso</v>
          </cell>
          <cell r="G570" t="str">
            <v>Russel</v>
          </cell>
          <cell r="H570">
            <v>9074758057</v>
          </cell>
          <cell r="I570" t="str">
            <v>1989-04-03</v>
          </cell>
          <cell r="J570">
            <v>1</v>
          </cell>
          <cell r="K570">
            <v>1</v>
          </cell>
          <cell r="M570" t="str">
            <v>33-9993595-1</v>
          </cell>
          <cell r="N570" t="str">
            <v>254-560-227</v>
          </cell>
          <cell r="O570">
            <v>43</v>
          </cell>
          <cell r="P570">
            <v>453</v>
          </cell>
          <cell r="Q570">
            <v>20</v>
          </cell>
          <cell r="R570">
            <v>4</v>
          </cell>
          <cell r="S570">
            <v>0</v>
          </cell>
          <cell r="T570" t="str">
            <v>Rudy A. Hilla
Zone 6 B10 Brgy Fatima General Santos City
09504540578</v>
          </cell>
          <cell r="U570" t="str">
            <v>2021-04-01</v>
          </cell>
        </row>
        <row r="571">
          <cell r="C571" t="str">
            <v>Q093</v>
          </cell>
          <cell r="D571" t="str">
            <v>Lacar</v>
          </cell>
          <cell r="E571" t="str">
            <v>Michael</v>
          </cell>
          <cell r="F571" t="str">
            <v>Cabangal</v>
          </cell>
          <cell r="G571" t="str">
            <v>Khel</v>
          </cell>
          <cell r="H571">
            <v>9967365265</v>
          </cell>
          <cell r="I571" t="str">
            <v>1987-09-05</v>
          </cell>
          <cell r="J571">
            <v>1</v>
          </cell>
          <cell r="K571">
            <v>1</v>
          </cell>
          <cell r="M571" t="str">
            <v>04-1690310-2</v>
          </cell>
          <cell r="N571" t="str">
            <v>304-736-942</v>
          </cell>
          <cell r="O571">
            <v>41</v>
          </cell>
          <cell r="P571">
            <v>370</v>
          </cell>
          <cell r="Q571">
            <v>49</v>
          </cell>
          <cell r="R571">
            <v>8</v>
          </cell>
          <cell r="S571">
            <v>0</v>
          </cell>
          <cell r="T571" t="str">
            <v>Rose Marie Lacar
Purok 6 1010 Camp. Vicente Lim Mayapa,
Calamba City
09303690556</v>
          </cell>
          <cell r="U571" t="str">
            <v>2021-04-01</v>
          </cell>
        </row>
        <row r="572">
          <cell r="C572" t="str">
            <v>Q080</v>
          </cell>
          <cell r="D572" t="str">
            <v>Rodrigo</v>
          </cell>
          <cell r="E572" t="str">
            <v>Judie Ann</v>
          </cell>
          <cell r="F572" t="str">
            <v>Casem</v>
          </cell>
          <cell r="G572" t="str">
            <v>Judy</v>
          </cell>
          <cell r="H572" t="str">
            <v>0995-095-5800</v>
          </cell>
          <cell r="I572" t="str">
            <v>1995-08-20</v>
          </cell>
          <cell r="J572">
            <v>2</v>
          </cell>
          <cell r="K572">
            <v>1</v>
          </cell>
          <cell r="M572" t="str">
            <v>01-2407533-5</v>
          </cell>
          <cell r="N572" t="str">
            <v>455-973-134</v>
          </cell>
          <cell r="O572">
            <v>43</v>
          </cell>
          <cell r="P572">
            <v>472</v>
          </cell>
          <cell r="Q572">
            <v>34</v>
          </cell>
          <cell r="R572">
            <v>8</v>
          </cell>
          <cell r="S572">
            <v>0</v>
          </cell>
          <cell r="T572" t="str">
            <v>Pilar Casem
75 Jasmine St, St. Christopher II,
Mayapa, Calamba City, Laguna
0965-408-2558</v>
          </cell>
          <cell r="U572" t="str">
            <v>2021-04-01</v>
          </cell>
        </row>
        <row r="573">
          <cell r="C573" t="str">
            <v>Q042</v>
          </cell>
          <cell r="D573" t="str">
            <v>Marturillas</v>
          </cell>
          <cell r="E573" t="str">
            <v>Sarah</v>
          </cell>
          <cell r="F573" t="str">
            <v>Ramirez</v>
          </cell>
          <cell r="G573" t="str">
            <v>Sarah</v>
          </cell>
          <cell r="H573" t="str">
            <v>0961-413-9569</v>
          </cell>
          <cell r="I573" t="str">
            <v>1994-06-03</v>
          </cell>
          <cell r="J573">
            <v>2</v>
          </cell>
          <cell r="K573">
            <v>1</v>
          </cell>
          <cell r="M573" t="str">
            <v>08-2504961-5</v>
          </cell>
          <cell r="N573" t="str">
            <v>324-224-988</v>
          </cell>
          <cell r="O573">
            <v>43</v>
          </cell>
          <cell r="P573">
            <v>502</v>
          </cell>
          <cell r="Q573">
            <v>62</v>
          </cell>
          <cell r="R573">
            <v>12</v>
          </cell>
          <cell r="S573">
            <v>0</v>
          </cell>
          <cell r="T573" t="str">
            <v>Roselyn Marturillas
Blk26 Lot4 P1, Villa de Calamba,
La Mesa, Calamba City, Laguna
0961-413-9569</v>
          </cell>
          <cell r="U573" t="str">
            <v>2021-04-01</v>
          </cell>
        </row>
        <row r="574">
          <cell r="C574" t="str">
            <v>Q049</v>
          </cell>
          <cell r="D574" t="str">
            <v>Panaglima</v>
          </cell>
          <cell r="E574" t="str">
            <v>Edrian</v>
          </cell>
          <cell r="F574" t="str">
            <v>Hostalero</v>
          </cell>
          <cell r="G574" t="str">
            <v>Edri</v>
          </cell>
          <cell r="H574" t="str">
            <v>0951-637-3872</v>
          </cell>
          <cell r="I574" t="str">
            <v>1993-07-23</v>
          </cell>
          <cell r="J574">
            <v>1</v>
          </cell>
          <cell r="K574">
            <v>1</v>
          </cell>
          <cell r="M574" t="str">
            <v>04-2506734-3</v>
          </cell>
          <cell r="N574" t="str">
            <v>330-952-886</v>
          </cell>
          <cell r="O574">
            <v>43</v>
          </cell>
          <cell r="P574">
            <v>493</v>
          </cell>
          <cell r="Q574">
            <v>55</v>
          </cell>
          <cell r="R574">
            <v>11</v>
          </cell>
          <cell r="S574">
            <v>0</v>
          </cell>
          <cell r="T574" t="str">
            <v>Marilyn Panaglima
Balibago, Sta. Rosa City, Laguna
0946-448-8425</v>
          </cell>
          <cell r="U574" t="str">
            <v>2021-04-01</v>
          </cell>
        </row>
        <row r="575">
          <cell r="C575" t="str">
            <v>Q050</v>
          </cell>
          <cell r="D575" t="str">
            <v>Ramos</v>
          </cell>
          <cell r="E575" t="str">
            <v>Jorlan</v>
          </cell>
          <cell r="F575" t="str">
            <v>DueÃ±as</v>
          </cell>
          <cell r="G575" t="str">
            <v>Jorlan</v>
          </cell>
          <cell r="I575" t="str">
            <v>1998-08-06</v>
          </cell>
          <cell r="J575">
            <v>1</v>
          </cell>
          <cell r="K575">
            <v>1</v>
          </cell>
          <cell r="M575" t="str">
            <v>04-4053209-9</v>
          </cell>
          <cell r="N575" t="str">
            <v>720-159-079</v>
          </cell>
          <cell r="O575">
            <v>43</v>
          </cell>
          <cell r="P575">
            <v>493</v>
          </cell>
          <cell r="Q575">
            <v>55</v>
          </cell>
          <cell r="R575">
            <v>11</v>
          </cell>
          <cell r="S575">
            <v>0</v>
          </cell>
          <cell r="T575" t="str">
            <v>Cyla Ramos
Pahilahan, Pola, Oriental Mindoro
0930-253-2581</v>
          </cell>
          <cell r="U575" t="str">
            <v>2021-04-01</v>
          </cell>
        </row>
        <row r="576">
          <cell r="C576" t="str">
            <v>Q051</v>
          </cell>
          <cell r="D576" t="str">
            <v>Regaya</v>
          </cell>
          <cell r="E576" t="str">
            <v>Reynald</v>
          </cell>
          <cell r="F576" t="str">
            <v>Neones</v>
          </cell>
          <cell r="G576" t="str">
            <v>Nald</v>
          </cell>
          <cell r="H576" t="str">
            <v>0918-486-468-5</v>
          </cell>
          <cell r="I576" t="str">
            <v>1998-06-20</v>
          </cell>
          <cell r="J576">
            <v>1</v>
          </cell>
          <cell r="K576">
            <v>1</v>
          </cell>
          <cell r="M576" t="str">
            <v>34-6549198-9</v>
          </cell>
          <cell r="N576" t="str">
            <v>336-787-441</v>
          </cell>
          <cell r="O576">
            <v>43</v>
          </cell>
          <cell r="P576">
            <v>502</v>
          </cell>
          <cell r="Q576">
            <v>62</v>
          </cell>
          <cell r="R576">
            <v>12</v>
          </cell>
          <cell r="S576">
            <v>0</v>
          </cell>
          <cell r="T576" t="str">
            <v>Nolito Regaya
Natasan, Libon, Albay
0951-623-6173</v>
          </cell>
          <cell r="U576" t="str">
            <v>2021-04-01</v>
          </cell>
        </row>
        <row r="577">
          <cell r="C577" t="str">
            <v>Q053</v>
          </cell>
          <cell r="D577" t="str">
            <v>Romero</v>
          </cell>
          <cell r="E577" t="str">
            <v>Cindy</v>
          </cell>
          <cell r="F577" t="str">
            <v>Paez</v>
          </cell>
          <cell r="G577" t="str">
            <v>Cindy</v>
          </cell>
          <cell r="H577" t="str">
            <v>0956-951-2225</v>
          </cell>
          <cell r="I577" t="str">
            <v>1999-09-18</v>
          </cell>
          <cell r="J577">
            <v>2</v>
          </cell>
          <cell r="K577">
            <v>1</v>
          </cell>
          <cell r="M577" t="str">
            <v>04-4055951-9</v>
          </cell>
          <cell r="N577" t="str">
            <v>362-303-359</v>
          </cell>
          <cell r="O577">
            <v>43</v>
          </cell>
          <cell r="P577">
            <v>493</v>
          </cell>
          <cell r="Q577">
            <v>55</v>
          </cell>
          <cell r="R577">
            <v>11</v>
          </cell>
          <cell r="S577">
            <v>0</v>
          </cell>
          <cell r="T577" t="str">
            <v>Miguel P. Romero Jr.
165 Salcedo Compd,
Paciano, Calamba City, Laguna
0998-480-7882</v>
          </cell>
          <cell r="U577" t="str">
            <v>2021-04-01</v>
          </cell>
        </row>
        <row r="578">
          <cell r="C578" t="str">
            <v>Q054</v>
          </cell>
          <cell r="D578" t="str">
            <v>Saludo</v>
          </cell>
          <cell r="E578" t="str">
            <v>Rosela</v>
          </cell>
          <cell r="F578" t="str">
            <v>Gulles</v>
          </cell>
          <cell r="G578" t="str">
            <v>Zhela</v>
          </cell>
          <cell r="H578" t="str">
            <v>0922-255-7631</v>
          </cell>
          <cell r="I578" t="str">
            <v>1988-08-19</v>
          </cell>
          <cell r="J578">
            <v>2</v>
          </cell>
          <cell r="K578">
            <v>2</v>
          </cell>
          <cell r="L578" t="str">
            <v>Rodel Nalasa Saludo</v>
          </cell>
          <cell r="M578" t="str">
            <v>34-0150223-0</v>
          </cell>
          <cell r="N578" t="str">
            <v>250-193-997</v>
          </cell>
          <cell r="O578">
            <v>43</v>
          </cell>
          <cell r="P578">
            <v>502</v>
          </cell>
          <cell r="Q578">
            <v>62</v>
          </cell>
          <cell r="R578">
            <v>12</v>
          </cell>
          <cell r="S578">
            <v>0</v>
          </cell>
          <cell r="T578" t="str">
            <v>Rodel N. Saludo
Blk20 Lot35 San Isidro Heights,
Bgy. Banlic, Cabuyao, Laguna
0923-545-3903</v>
          </cell>
          <cell r="U578" t="str">
            <v>2021-04-01</v>
          </cell>
        </row>
        <row r="579">
          <cell r="C579" t="str">
            <v>Q056</v>
          </cell>
          <cell r="D579" t="str">
            <v xml:space="preserve">Santurcas </v>
          </cell>
          <cell r="E579" t="str">
            <v xml:space="preserve">Jerson </v>
          </cell>
          <cell r="F579" t="str">
            <v>Lozada</v>
          </cell>
          <cell r="G579" t="str">
            <v>Son</v>
          </cell>
          <cell r="H579" t="str">
            <v>0966-557-6645</v>
          </cell>
          <cell r="I579" t="str">
            <v>1995-11-03</v>
          </cell>
          <cell r="J579">
            <v>1</v>
          </cell>
          <cell r="K579">
            <v>2</v>
          </cell>
          <cell r="L579" t="str">
            <v>Sheena Tiangha Buyco</v>
          </cell>
          <cell r="M579" t="str">
            <v>04-3673916-5</v>
          </cell>
          <cell r="N579" t="str">
            <v>330-330-231</v>
          </cell>
          <cell r="O579">
            <v>43</v>
          </cell>
          <cell r="P579">
            <v>502</v>
          </cell>
          <cell r="Q579">
            <v>62</v>
          </cell>
          <cell r="R579">
            <v>12</v>
          </cell>
          <cell r="S579">
            <v>0</v>
          </cell>
          <cell r="T579" t="str">
            <v>Sheena B. Santurcas
Bgy. Mapagong I, Calamba, Laguna
0926-647-7874</v>
          </cell>
          <cell r="U579" t="str">
            <v>2021-04-01</v>
          </cell>
        </row>
        <row r="580">
          <cell r="C580" t="str">
            <v>Q057</v>
          </cell>
          <cell r="D580" t="str">
            <v>Satosa</v>
          </cell>
          <cell r="E580" t="str">
            <v>Carla Monique</v>
          </cell>
          <cell r="F580" t="str">
            <v>Bonite</v>
          </cell>
          <cell r="G580" t="str">
            <v>Lala</v>
          </cell>
          <cell r="H580" t="str">
            <v>0935-567-7148</v>
          </cell>
          <cell r="I580" t="str">
            <v>1999-05-26</v>
          </cell>
          <cell r="J580">
            <v>2</v>
          </cell>
          <cell r="K580">
            <v>1</v>
          </cell>
          <cell r="M580" t="str">
            <v>04-4043720-4</v>
          </cell>
          <cell r="N580" t="str">
            <v>346-836-559</v>
          </cell>
          <cell r="O580">
            <v>32</v>
          </cell>
          <cell r="P580">
            <v>497</v>
          </cell>
          <cell r="Q580">
            <v>68</v>
          </cell>
          <cell r="R580">
            <v>11</v>
          </cell>
          <cell r="S580">
            <v>0</v>
          </cell>
          <cell r="T580" t="str">
            <v>Jorge B. Balitaan
Balian, Pangil, Laguna
0909-276-0308</v>
          </cell>
          <cell r="U580" t="str">
            <v>2021-04-01</v>
          </cell>
        </row>
        <row r="581">
          <cell r="C581" t="str">
            <v>Q058</v>
          </cell>
          <cell r="D581" t="str">
            <v>Tagle</v>
          </cell>
          <cell r="E581" t="str">
            <v>Enilyn</v>
          </cell>
          <cell r="F581" t="str">
            <v>Mestiola</v>
          </cell>
          <cell r="G581" t="str">
            <v>Lyn</v>
          </cell>
          <cell r="H581" t="str">
            <v>0948-156-9741</v>
          </cell>
          <cell r="I581" t="str">
            <v>1994-09-07</v>
          </cell>
          <cell r="J581">
            <v>2</v>
          </cell>
          <cell r="K581">
            <v>1</v>
          </cell>
          <cell r="M581" t="str">
            <v>05-1196499-4</v>
          </cell>
          <cell r="N581" t="str">
            <v>351-877-989</v>
          </cell>
          <cell r="O581">
            <v>43</v>
          </cell>
          <cell r="P581">
            <v>502</v>
          </cell>
          <cell r="Q581">
            <v>62</v>
          </cell>
          <cell r="R581">
            <v>12</v>
          </cell>
          <cell r="S581">
            <v>0</v>
          </cell>
          <cell r="T581" t="str">
            <v>Robert Mendez
Real, Calamba, Laguna
0951-645-7893</v>
          </cell>
          <cell r="U581" t="str">
            <v>2021-04-01</v>
          </cell>
        </row>
        <row r="582">
          <cell r="C582" t="str">
            <v>Q059</v>
          </cell>
          <cell r="D582" t="str">
            <v>Udarbe</v>
          </cell>
          <cell r="E582" t="str">
            <v>Marites</v>
          </cell>
          <cell r="F582" t="str">
            <v>Taguba</v>
          </cell>
          <cell r="G582" t="str">
            <v>Mateth</v>
          </cell>
          <cell r="H582" t="str">
            <v>0936-183-2202</v>
          </cell>
          <cell r="I582" t="str">
            <v>1995-12-27</v>
          </cell>
          <cell r="J582">
            <v>2</v>
          </cell>
          <cell r="K582">
            <v>2</v>
          </cell>
          <cell r="L582" t="str">
            <v>Marnel Ubias Udarbe</v>
          </cell>
          <cell r="M582" t="str">
            <v>04-3375014-7</v>
          </cell>
          <cell r="N582" t="str">
            <v>351-877-244</v>
          </cell>
          <cell r="O582">
            <v>41</v>
          </cell>
          <cell r="P582">
            <v>502</v>
          </cell>
          <cell r="Q582">
            <v>62</v>
          </cell>
          <cell r="R582">
            <v>12</v>
          </cell>
          <cell r="S582">
            <v>0</v>
          </cell>
          <cell r="T582" t="str">
            <v>Marnel U. Udarbe
St. Felix Ville, Bgy. Diezmo, 
Cabuyao City, Laguna
0997-296-8276</v>
          </cell>
          <cell r="U582" t="str">
            <v>2021-04-01</v>
          </cell>
        </row>
        <row r="583">
          <cell r="C583" t="str">
            <v>Q063</v>
          </cell>
          <cell r="D583" t="str">
            <v>Precilla</v>
          </cell>
          <cell r="E583" t="str">
            <v>Madonna</v>
          </cell>
          <cell r="F583" t="str">
            <v>Cahilig</v>
          </cell>
          <cell r="G583" t="str">
            <v>Donna</v>
          </cell>
          <cell r="H583">
            <v>9124700448</v>
          </cell>
          <cell r="I583" t="str">
            <v>1992-02-22</v>
          </cell>
          <cell r="J583">
            <v>2</v>
          </cell>
          <cell r="K583">
            <v>1</v>
          </cell>
          <cell r="M583" t="str">
            <v>04-2190543-8</v>
          </cell>
          <cell r="N583" t="str">
            <v>482-284-619</v>
          </cell>
          <cell r="O583">
            <v>40</v>
          </cell>
          <cell r="P583">
            <v>488</v>
          </cell>
          <cell r="Q583">
            <v>58</v>
          </cell>
          <cell r="R583">
            <v>11</v>
          </cell>
          <cell r="S583">
            <v>0</v>
          </cell>
          <cell r="T583" t="str">
            <v>Nerisa Cahilig Precilla
Cupang Antipolo City
09124700448</v>
          </cell>
          <cell r="U583" t="str">
            <v>2021-04-01</v>
          </cell>
        </row>
        <row r="584">
          <cell r="C584" t="str">
            <v>Q064</v>
          </cell>
          <cell r="D584" t="str">
            <v>Remigio</v>
          </cell>
          <cell r="E584" t="str">
            <v>Avegael</v>
          </cell>
          <cell r="F584" t="str">
            <v>Mortega</v>
          </cell>
          <cell r="G584" t="str">
            <v>AB</v>
          </cell>
          <cell r="H584">
            <v>9094397481</v>
          </cell>
          <cell r="I584" t="str">
            <v>1988-09-18</v>
          </cell>
          <cell r="J584">
            <v>2</v>
          </cell>
          <cell r="K584">
            <v>1</v>
          </cell>
          <cell r="M584" t="str">
            <v>04-2936477-0</v>
          </cell>
          <cell r="N584" t="str">
            <v>351-643-940</v>
          </cell>
          <cell r="O584">
            <v>40</v>
          </cell>
          <cell r="P584">
            <v>488</v>
          </cell>
          <cell r="Q584">
            <v>58</v>
          </cell>
          <cell r="R584">
            <v>11</v>
          </cell>
          <cell r="S584">
            <v>0</v>
          </cell>
          <cell r="T584" t="str">
            <v>Geraldine M. Remigio
B8 L46 Falcon St., Camella Homes Woodhills
San Pedro Laguna
09234294885</v>
          </cell>
          <cell r="U584" t="str">
            <v>2021-04-01</v>
          </cell>
        </row>
        <row r="585">
          <cell r="C585" t="str">
            <v>Q055</v>
          </cell>
          <cell r="D585" t="str">
            <v>Santos</v>
          </cell>
          <cell r="E585" t="str">
            <v>Liezel</v>
          </cell>
          <cell r="F585" t="str">
            <v>Santiago</v>
          </cell>
          <cell r="G585" t="str">
            <v>Ethel</v>
          </cell>
          <cell r="H585">
            <v>9296823840</v>
          </cell>
          <cell r="I585" t="str">
            <v>1985-12-15</v>
          </cell>
          <cell r="J585">
            <v>2</v>
          </cell>
          <cell r="K585">
            <v>2</v>
          </cell>
          <cell r="L585" t="str">
            <v>Roldan Mendoza Santos</v>
          </cell>
          <cell r="M585" t="str">
            <v>04-1538600-5</v>
          </cell>
          <cell r="N585" t="str">
            <v>261-681-574</v>
          </cell>
          <cell r="O585">
            <v>43</v>
          </cell>
          <cell r="P585">
            <v>493</v>
          </cell>
          <cell r="Q585">
            <v>55</v>
          </cell>
          <cell r="R585">
            <v>11</v>
          </cell>
          <cell r="S585">
            <v>0</v>
          </cell>
          <cell r="T585" t="str">
            <v>Roldan Santos
B8 L8 St. Joseph HOmes Annex Laguerta Calamba City Laguna
09309966465</v>
          </cell>
          <cell r="U585" t="str">
            <v>2021-04-06</v>
          </cell>
        </row>
        <row r="586">
          <cell r="C586" t="str">
            <v>Q035</v>
          </cell>
          <cell r="D586" t="str">
            <v>Jaen</v>
          </cell>
          <cell r="E586" t="str">
            <v xml:space="preserve">Avegail </v>
          </cell>
          <cell r="F586" t="str">
            <v>De Chavez</v>
          </cell>
          <cell r="G586" t="str">
            <v>Abby</v>
          </cell>
          <cell r="H586" t="str">
            <v>0948-626-9472</v>
          </cell>
          <cell r="I586" t="str">
            <v>1996-08-22</v>
          </cell>
          <cell r="J586">
            <v>2</v>
          </cell>
          <cell r="K586">
            <v>1</v>
          </cell>
          <cell r="M586" t="str">
            <v>04-3768233-4</v>
          </cell>
          <cell r="N586" t="str">
            <v>330-778-885</v>
          </cell>
          <cell r="O586">
            <v>43</v>
          </cell>
          <cell r="P586">
            <v>502</v>
          </cell>
          <cell r="Q586">
            <v>62</v>
          </cell>
          <cell r="R586">
            <v>12</v>
          </cell>
          <cell r="S586">
            <v>0</v>
          </cell>
          <cell r="T586" t="str">
            <v>Neil Jaen
Blk14 Lot8 Bgy. Gregoria de Jesus,
GMA, Cavite
0912-081-2745</v>
          </cell>
          <cell r="U586" t="str">
            <v>2021-04-14</v>
          </cell>
        </row>
        <row r="587">
          <cell r="C587" t="str">
            <v>Q097</v>
          </cell>
          <cell r="D587" t="str">
            <v>Tomas</v>
          </cell>
          <cell r="E587" t="str">
            <v>John Jr.</v>
          </cell>
          <cell r="F587" t="str">
            <v>Villegas</v>
          </cell>
          <cell r="G587" t="str">
            <v>John</v>
          </cell>
          <cell r="H587" t="str">
            <v>0950-361-5532</v>
          </cell>
          <cell r="I587" t="str">
            <v>1992-05-05</v>
          </cell>
          <cell r="J587">
            <v>1</v>
          </cell>
          <cell r="K587">
            <v>1</v>
          </cell>
          <cell r="M587" t="str">
            <v>04-3562817-0</v>
          </cell>
          <cell r="N587" t="str">
            <v>322-053-059</v>
          </cell>
          <cell r="O587">
            <v>87</v>
          </cell>
          <cell r="P587">
            <v>375</v>
          </cell>
          <cell r="Q587">
            <v>51</v>
          </cell>
          <cell r="R587">
            <v>1</v>
          </cell>
          <cell r="S587">
            <v>0</v>
          </cell>
          <cell r="T587" t="str">
            <v>Nida V. Tomas
B5 L8 Ph3 Don Vicente Villas,
Bgy. Pulo, Cabuyao, Laguna
0927-853-1755</v>
          </cell>
          <cell r="U587" t="str">
            <v>2021-04-17</v>
          </cell>
        </row>
        <row r="588">
          <cell r="C588" t="str">
            <v>Q099</v>
          </cell>
          <cell r="D588" t="str">
            <v>Delos Reyes</v>
          </cell>
          <cell r="E588" t="str">
            <v>Jim Karlo</v>
          </cell>
          <cell r="F588" t="str">
            <v>Eusebio</v>
          </cell>
          <cell r="G588" t="str">
            <v>Jim</v>
          </cell>
          <cell r="H588" t="str">
            <v>0907-144-3828</v>
          </cell>
          <cell r="I588" t="str">
            <v>1996-06-27</v>
          </cell>
          <cell r="J588">
            <v>1</v>
          </cell>
          <cell r="K588">
            <v>1</v>
          </cell>
          <cell r="M588" t="str">
            <v>34-9951293-1</v>
          </cell>
          <cell r="N588" t="str">
            <v>389-856-047</v>
          </cell>
          <cell r="O588">
            <v>101</v>
          </cell>
          <cell r="P588">
            <v>406</v>
          </cell>
          <cell r="Q588">
            <v>51</v>
          </cell>
          <cell r="R588">
            <v>1</v>
          </cell>
          <cell r="S588">
            <v>0</v>
          </cell>
          <cell r="T588" t="str">
            <v>Enrico A. Delos Reyes
463 Purok 3 Gulod,
Cabuyao City, Laguna
0929-631-0139</v>
          </cell>
          <cell r="U588" t="str">
            <v>2021-04-29</v>
          </cell>
        </row>
        <row r="589">
          <cell r="C589" t="str">
            <v>Q104</v>
          </cell>
          <cell r="D589" t="str">
            <v>De Luna</v>
          </cell>
          <cell r="E589" t="str">
            <v>Rodel</v>
          </cell>
          <cell r="F589" t="str">
            <v>Batad</v>
          </cell>
          <cell r="G589" t="str">
            <v>Del</v>
          </cell>
          <cell r="H589" t="str">
            <v>0946-901-3140</v>
          </cell>
          <cell r="I589" t="str">
            <v>1996-12-15</v>
          </cell>
          <cell r="J589">
            <v>1</v>
          </cell>
          <cell r="K589">
            <v>1</v>
          </cell>
          <cell r="M589" t="str">
            <v>04-4094094-0</v>
          </cell>
          <cell r="N589" t="str">
            <v>723-293-481</v>
          </cell>
          <cell r="O589">
            <v>86</v>
          </cell>
          <cell r="P589">
            <v>390</v>
          </cell>
          <cell r="Q589">
            <v>33</v>
          </cell>
          <cell r="R589">
            <v>8</v>
          </cell>
          <cell r="S589">
            <v>0</v>
          </cell>
          <cell r="T589" t="str">
            <v>Elizabeth B. De Luna
Purok Mangga 1, Bgy. Mayao Crossing,
Lucena City, Quezon
0950-637-9151</v>
          </cell>
          <cell r="U589" t="str">
            <v>2021-06-08</v>
          </cell>
        </row>
        <row r="590">
          <cell r="C590" t="str">
            <v>Q108</v>
          </cell>
          <cell r="D590" t="str">
            <v>Domingo</v>
          </cell>
          <cell r="E590" t="str">
            <v>Jannus</v>
          </cell>
          <cell r="F590" t="str">
            <v>---</v>
          </cell>
          <cell r="G590" t="str">
            <v>Jannus</v>
          </cell>
          <cell r="H590" t="str">
            <v>0928-728-5612</v>
          </cell>
          <cell r="I590" t="str">
            <v>1997-10-19</v>
          </cell>
          <cell r="J590">
            <v>1</v>
          </cell>
          <cell r="K590">
            <v>1</v>
          </cell>
          <cell r="M590" t="str">
            <v>35-0068971-1</v>
          </cell>
          <cell r="O590">
            <v>101</v>
          </cell>
          <cell r="P590">
            <v>406</v>
          </cell>
          <cell r="Q590">
            <v>51</v>
          </cell>
          <cell r="R590">
            <v>1</v>
          </cell>
          <cell r="S590">
            <v>0</v>
          </cell>
          <cell r="T590" t="str">
            <v>May P. Domingo
Blk 6 Lot 25 Basel St.
Bgy. Malusak, Sta. Rosa City
0968-254-3241</v>
          </cell>
          <cell r="U590" t="str">
            <v>2021-06-22</v>
          </cell>
        </row>
        <row r="591">
          <cell r="C591" t="str">
            <v>Q107</v>
          </cell>
          <cell r="D591" t="str">
            <v>Atienza</v>
          </cell>
          <cell r="E591" t="str">
            <v>Leilanie</v>
          </cell>
          <cell r="F591" t="str">
            <v>Onofre</v>
          </cell>
          <cell r="G591" t="str">
            <v>Lei</v>
          </cell>
          <cell r="H591" t="str">
            <v>0916-840-5022</v>
          </cell>
          <cell r="I591" t="str">
            <v>1998-10-05</v>
          </cell>
          <cell r="J591">
            <v>2</v>
          </cell>
          <cell r="K591">
            <v>1</v>
          </cell>
          <cell r="M591" t="str">
            <v>35-0192627-9</v>
          </cell>
          <cell r="N591" t="str">
            <v>505-890-207</v>
          </cell>
          <cell r="O591">
            <v>58</v>
          </cell>
          <cell r="P591">
            <v>9</v>
          </cell>
          <cell r="Q591">
            <v>4</v>
          </cell>
          <cell r="R591">
            <v>1</v>
          </cell>
          <cell r="S591">
            <v>0</v>
          </cell>
          <cell r="T591" t="str">
            <v>Juliana O. Atienza
567 Purok 3B, Bgy. Pansol,
Calamba City, Laguna
0965-273-1380</v>
          </cell>
          <cell r="U591" t="str">
            <v>2021-06-22</v>
          </cell>
        </row>
        <row r="592">
          <cell r="C592" t="str">
            <v>Q111</v>
          </cell>
          <cell r="D592" t="str">
            <v>Odaka</v>
          </cell>
          <cell r="E592" t="str">
            <v>Koji</v>
          </cell>
          <cell r="F592" t="str">
            <v>--</v>
          </cell>
          <cell r="G592" t="str">
            <v>Odaka</v>
          </cell>
          <cell r="I592" t="str">
            <v>1972-04-07</v>
          </cell>
          <cell r="J592">
            <v>1</v>
          </cell>
          <cell r="K592">
            <v>2</v>
          </cell>
          <cell r="L592" t="str">
            <v>Mika Odaka</v>
          </cell>
          <cell r="N592" t="str">
            <v>429-668-141</v>
          </cell>
          <cell r="O592">
            <v>63</v>
          </cell>
          <cell r="P592">
            <v>464</v>
          </cell>
          <cell r="Q592">
            <v>36</v>
          </cell>
          <cell r="R592">
            <v>8</v>
          </cell>
          <cell r="S592">
            <v>0</v>
          </cell>
          <cell r="U592" t="str">
            <v>2021-07-01</v>
          </cell>
        </row>
        <row r="593">
          <cell r="C593" t="str">
            <v>Q113</v>
          </cell>
          <cell r="D593" t="str">
            <v>Retusto</v>
          </cell>
          <cell r="E593" t="str">
            <v>Christian</v>
          </cell>
          <cell r="F593" t="str">
            <v>Borja</v>
          </cell>
          <cell r="G593" t="str">
            <v>Chan</v>
          </cell>
          <cell r="H593" t="str">
            <v>0966-862-8590</v>
          </cell>
          <cell r="I593" t="str">
            <v>1996-03-24</v>
          </cell>
          <cell r="J593">
            <v>1</v>
          </cell>
          <cell r="K593">
            <v>1</v>
          </cell>
          <cell r="M593" t="str">
            <v>04-3333682-0</v>
          </cell>
          <cell r="N593" t="str">
            <v>319-865-273</v>
          </cell>
          <cell r="O593">
            <v>101</v>
          </cell>
          <cell r="P593">
            <v>406</v>
          </cell>
          <cell r="Q593">
            <v>51</v>
          </cell>
          <cell r="R593">
            <v>1</v>
          </cell>
          <cell r="S593">
            <v>0</v>
          </cell>
          <cell r="T593" t="str">
            <v>Jingle Mary B. Retusto
#763 Purok IV, Palingon,
Calamba City, Laguna
0928-483-0393
0928-481-0393</v>
          </cell>
          <cell r="U593" t="str">
            <v>2021-07-09</v>
          </cell>
        </row>
        <row r="594">
          <cell r="C594" t="str">
            <v>Q117</v>
          </cell>
          <cell r="D594" t="str">
            <v>Borja</v>
          </cell>
          <cell r="E594" t="str">
            <v>Angel Loise</v>
          </cell>
          <cell r="F594" t="str">
            <v>Jara</v>
          </cell>
          <cell r="G594" t="str">
            <v>Angel</v>
          </cell>
          <cell r="H594" t="str">
            <v>0910-896-8003</v>
          </cell>
          <cell r="I594" t="str">
            <v>1999-01-18</v>
          </cell>
          <cell r="J594">
            <v>2</v>
          </cell>
          <cell r="K594">
            <v>1</v>
          </cell>
          <cell r="M594" t="str">
            <v>04-3914049-2</v>
          </cell>
          <cell r="N594" t="str">
            <v>505-892-304</v>
          </cell>
          <cell r="O594">
            <v>52</v>
          </cell>
          <cell r="P594">
            <v>502</v>
          </cell>
          <cell r="Q594">
            <v>62</v>
          </cell>
          <cell r="R594">
            <v>12</v>
          </cell>
          <cell r="S594">
            <v>0</v>
          </cell>
          <cell r="T594" t="str">
            <v>Kim Ryan Abenales
S5 Blk4 Lot37 Blue Isle Subd,
Sta Maria, Sto Tomas, Batangas
0930-376-8359</v>
          </cell>
          <cell r="U594" t="str">
            <v>2021-07-26</v>
          </cell>
        </row>
        <row r="595">
          <cell r="C595" t="str">
            <v>Q121</v>
          </cell>
          <cell r="D595" t="str">
            <v>Pagtalunan</v>
          </cell>
          <cell r="E595" t="str">
            <v>Christian Daniele</v>
          </cell>
          <cell r="F595">
            <v>0</v>
          </cell>
          <cell r="G595" t="str">
            <v>Chris</v>
          </cell>
          <cell r="H595" t="str">
            <v>0955-402-7181</v>
          </cell>
          <cell r="I595" t="str">
            <v>1996-11-09</v>
          </cell>
          <cell r="J595">
            <v>1</v>
          </cell>
          <cell r="K595">
            <v>1</v>
          </cell>
          <cell r="M595" t="str">
            <v>04-2988834-0</v>
          </cell>
          <cell r="N595" t="str">
            <v>467-890-756</v>
          </cell>
          <cell r="O595">
            <v>101</v>
          </cell>
          <cell r="P595">
            <v>406</v>
          </cell>
          <cell r="Q595">
            <v>51</v>
          </cell>
          <cell r="R595">
            <v>1</v>
          </cell>
          <cell r="S595">
            <v>0</v>
          </cell>
          <cell r="T595" t="str">
            <v>Felisa D. Pagtalunan
495 Mt. Makiling St, Palingon,
Calamba City, Laguna
0917-881-8787</v>
          </cell>
          <cell r="U595" t="str">
            <v>2021-09-03</v>
          </cell>
        </row>
        <row r="596">
          <cell r="C596" t="str">
            <v>Q126</v>
          </cell>
          <cell r="D596" t="str">
            <v>Jaquilmac</v>
          </cell>
          <cell r="E596" t="str">
            <v>Hilda Leah</v>
          </cell>
          <cell r="F596" t="str">
            <v>Badiable</v>
          </cell>
          <cell r="G596" t="str">
            <v>Leah</v>
          </cell>
          <cell r="H596" t="str">
            <v>0999-818-9964</v>
          </cell>
          <cell r="I596" t="str">
            <v>1970-08-26</v>
          </cell>
          <cell r="J596">
            <v>2</v>
          </cell>
          <cell r="K596">
            <v>1</v>
          </cell>
          <cell r="M596" t="str">
            <v>04-3072057-8</v>
          </cell>
          <cell r="N596" t="str">
            <v>709-952-446</v>
          </cell>
          <cell r="O596">
            <v>95</v>
          </cell>
          <cell r="P596">
            <v>401</v>
          </cell>
          <cell r="Q596">
            <v>51</v>
          </cell>
          <cell r="R596">
            <v>1</v>
          </cell>
          <cell r="S596">
            <v>0</v>
          </cell>
          <cell r="T596" t="str">
            <v>Cecilia B. Jaquilmac
12 Bangkal St, Ceris 1,
Canlubang, Calamba City, Laguna
0910-755-2562</v>
          </cell>
          <cell r="U596" t="str">
            <v>2021-10-04</v>
          </cell>
        </row>
        <row r="597">
          <cell r="C597" t="str">
            <v>Q127</v>
          </cell>
          <cell r="D597" t="str">
            <v>Ronquez</v>
          </cell>
          <cell r="E597" t="str">
            <v>Miguel Darren</v>
          </cell>
          <cell r="F597" t="str">
            <v>Roasa</v>
          </cell>
          <cell r="G597" t="str">
            <v>Darren</v>
          </cell>
          <cell r="H597" t="str">
            <v>0976-017-8994</v>
          </cell>
          <cell r="I597" t="str">
            <v>1997-11-14</v>
          </cell>
          <cell r="J597">
            <v>1</v>
          </cell>
          <cell r="K597">
            <v>1</v>
          </cell>
          <cell r="M597" t="str">
            <v>34-9651655-8</v>
          </cell>
          <cell r="N597" t="str">
            <v>514-211-880</v>
          </cell>
          <cell r="O597">
            <v>101</v>
          </cell>
          <cell r="P597">
            <v>406</v>
          </cell>
          <cell r="Q597">
            <v>51</v>
          </cell>
          <cell r="R597">
            <v>1</v>
          </cell>
          <cell r="S597">
            <v>0</v>
          </cell>
          <cell r="T597" t="str">
            <v xml:space="preserve">Ma. Cristina R. Ronquez
068 Purok 1 Ibaba, Marinig,
Cabuyao City, Laguna
0916-283-4685
</v>
          </cell>
          <cell r="U597" t="str">
            <v>2021-12-01</v>
          </cell>
        </row>
        <row r="598">
          <cell r="C598" t="str">
            <v>R001</v>
          </cell>
          <cell r="D598" t="str">
            <v>Gadon</v>
          </cell>
          <cell r="E598" t="str">
            <v>Carol</v>
          </cell>
          <cell r="F598" t="str">
            <v>Portacio</v>
          </cell>
          <cell r="G598" t="str">
            <v>Cindy</v>
          </cell>
          <cell r="H598">
            <v>9208205925</v>
          </cell>
          <cell r="I598" t="str">
            <v>1995-10-19</v>
          </cell>
          <cell r="J598">
            <v>2</v>
          </cell>
          <cell r="K598">
            <v>1</v>
          </cell>
          <cell r="M598" t="str">
            <v>34-5608253-0</v>
          </cell>
          <cell r="N598" t="str">
            <v>326-395-290</v>
          </cell>
          <cell r="O598">
            <v>32</v>
          </cell>
          <cell r="P598">
            <v>491</v>
          </cell>
          <cell r="Q598">
            <v>56</v>
          </cell>
          <cell r="R598">
            <v>11</v>
          </cell>
          <cell r="S598">
            <v>0</v>
          </cell>
          <cell r="T598" t="str">
            <v>Joan G. Ibasco
Mamatid, Cabuyao Laguna
0998-315-1903</v>
          </cell>
          <cell r="U598" t="str">
            <v>2022-01-03</v>
          </cell>
        </row>
        <row r="599">
          <cell r="C599" t="str">
            <v>R002</v>
          </cell>
          <cell r="D599" t="str">
            <v>Palentinos</v>
          </cell>
          <cell r="E599" t="str">
            <v>Jasmin</v>
          </cell>
          <cell r="F599" t="str">
            <v>Gonzaga</v>
          </cell>
          <cell r="G599" t="str">
            <v>Jaz</v>
          </cell>
          <cell r="H599">
            <v>9053385988</v>
          </cell>
          <cell r="I599" t="str">
            <v>1978-02-15</v>
          </cell>
          <cell r="J599">
            <v>2</v>
          </cell>
          <cell r="K599">
            <v>1</v>
          </cell>
          <cell r="M599" t="str">
            <v>33-4039176-4</v>
          </cell>
          <cell r="N599" t="str">
            <v>217-439-758</v>
          </cell>
          <cell r="O599">
            <v>80</v>
          </cell>
          <cell r="P599">
            <v>402</v>
          </cell>
          <cell r="Q599">
            <v>51</v>
          </cell>
          <cell r="R599">
            <v>1</v>
          </cell>
          <cell r="S599">
            <v>0</v>
          </cell>
          <cell r="T599" t="str">
            <v>Marites ArgaÃ±osa
Regidor St., Majayjay Laguna
09388720769</v>
          </cell>
          <cell r="U599" t="str">
            <v>2022-01-04</v>
          </cell>
        </row>
        <row r="600">
          <cell r="C600" t="str">
            <v>R004</v>
          </cell>
          <cell r="D600" t="str">
            <v>Rey</v>
          </cell>
          <cell r="E600" t="str">
            <v>Mary Joyce</v>
          </cell>
          <cell r="F600" t="str">
            <v>Canceran</v>
          </cell>
          <cell r="G600" t="str">
            <v>Joyce</v>
          </cell>
          <cell r="H600" t="str">
            <v>0945-365-5251</v>
          </cell>
          <cell r="I600" t="str">
            <v>1997-09-09</v>
          </cell>
          <cell r="J600">
            <v>2</v>
          </cell>
          <cell r="K600">
            <v>1</v>
          </cell>
          <cell r="M600" t="str">
            <v>04-3959496-7</v>
          </cell>
          <cell r="N600" t="str">
            <v>707-499-825</v>
          </cell>
          <cell r="O600">
            <v>52</v>
          </cell>
          <cell r="P600">
            <v>363</v>
          </cell>
          <cell r="Q600">
            <v>34</v>
          </cell>
          <cell r="R600">
            <v>8</v>
          </cell>
          <cell r="S600">
            <v>0</v>
          </cell>
          <cell r="T600" t="str">
            <v>Aileen C. Rey
102 Centerville Subd, Bgy. Paciano Rizal,
Calamba City, Laguna
0905-920-2330</v>
          </cell>
          <cell r="U600" t="str">
            <v>2022-01-13</v>
          </cell>
        </row>
        <row r="601">
          <cell r="C601" t="str">
            <v>R008</v>
          </cell>
          <cell r="D601" t="str">
            <v>Zagala</v>
          </cell>
          <cell r="E601" t="str">
            <v>Florenz Rohanie</v>
          </cell>
          <cell r="F601" t="str">
            <v>Racelis</v>
          </cell>
          <cell r="G601" t="str">
            <v>Rohan</v>
          </cell>
          <cell r="H601" t="str">
            <v>0905-634-4310</v>
          </cell>
          <cell r="I601" t="str">
            <v>1999-03-08</v>
          </cell>
          <cell r="J601">
            <v>2</v>
          </cell>
          <cell r="K601">
            <v>1</v>
          </cell>
          <cell r="M601" t="str">
            <v>34-9434506-4</v>
          </cell>
          <cell r="N601" t="str">
            <v>377-294-906</v>
          </cell>
          <cell r="O601">
            <v>87</v>
          </cell>
          <cell r="P601">
            <v>401</v>
          </cell>
          <cell r="Q601">
            <v>51</v>
          </cell>
          <cell r="R601">
            <v>1</v>
          </cell>
          <cell r="S601">
            <v>0</v>
          </cell>
          <cell r="T601" t="str">
            <v>Romeo B. Zagala
Blk 21 Lot 4 New Mahogany Village,
San Isidro, Cabuyao, Laguna
0995-136-9809</v>
          </cell>
          <cell r="U601" t="str">
            <v>2022-01-26</v>
          </cell>
        </row>
        <row r="602">
          <cell r="C602" t="str">
            <v>R012</v>
          </cell>
          <cell r="D602" t="str">
            <v>Desamero</v>
          </cell>
          <cell r="E602" t="str">
            <v>Redentor Jr.</v>
          </cell>
          <cell r="F602" t="str">
            <v>Bobis</v>
          </cell>
          <cell r="G602" t="str">
            <v>Red</v>
          </cell>
          <cell r="H602" t="str">
            <v>0948-170-7442</v>
          </cell>
          <cell r="I602" t="str">
            <v>1993-09-13</v>
          </cell>
          <cell r="J602">
            <v>1</v>
          </cell>
          <cell r="K602">
            <v>1</v>
          </cell>
          <cell r="M602" t="str">
            <v>04-2551669-0</v>
          </cell>
          <cell r="N602" t="str">
            <v>343-108-698</v>
          </cell>
          <cell r="O602">
            <v>41</v>
          </cell>
          <cell r="P602">
            <v>474</v>
          </cell>
          <cell r="Q602">
            <v>49</v>
          </cell>
          <cell r="R602">
            <v>8</v>
          </cell>
          <cell r="S602">
            <v>0</v>
          </cell>
          <cell r="T602" t="str">
            <v>Reina May R. Bato
Blk 19 Lot 64 Ph2 Ext., Mabuhay City
Mamatid, Cabuyao, Laguna
0948-170-7442</v>
          </cell>
          <cell r="U602" t="str">
            <v>2022-02-12</v>
          </cell>
        </row>
        <row r="603">
          <cell r="C603" t="str">
            <v>R017</v>
          </cell>
          <cell r="D603" t="str">
            <v>Quidor</v>
          </cell>
          <cell r="E603" t="str">
            <v>Cherry Joy</v>
          </cell>
          <cell r="F603" t="str">
            <v>Calvario</v>
          </cell>
          <cell r="G603" t="str">
            <v>Cherry</v>
          </cell>
          <cell r="H603" t="str">
            <v>0938-051-6421</v>
          </cell>
          <cell r="I603" t="str">
            <v>1999-05-10</v>
          </cell>
          <cell r="J603">
            <v>2</v>
          </cell>
          <cell r="K603">
            <v>1</v>
          </cell>
          <cell r="M603" t="str">
            <v>04-4250941-5</v>
          </cell>
          <cell r="N603" t="str">
            <v>738-746-365</v>
          </cell>
          <cell r="O603">
            <v>40</v>
          </cell>
          <cell r="P603">
            <v>489</v>
          </cell>
          <cell r="Q603">
            <v>58</v>
          </cell>
          <cell r="R603">
            <v>11</v>
          </cell>
          <cell r="S603">
            <v>0</v>
          </cell>
          <cell r="T603" t="str">
            <v>Clarita C. Quidor
Bgy. Pinagtubigan Weste,
Perez, Quezon
0910-052-0722</v>
          </cell>
          <cell r="U603" t="str">
            <v>2022-03-01</v>
          </cell>
        </row>
        <row r="604">
          <cell r="C604" t="str">
            <v>R018</v>
          </cell>
          <cell r="D604" t="str">
            <v>Soriano</v>
          </cell>
          <cell r="E604" t="str">
            <v>Edmark</v>
          </cell>
          <cell r="F604" t="str">
            <v>Bandong</v>
          </cell>
          <cell r="G604" t="str">
            <v>Ed</v>
          </cell>
          <cell r="H604" t="str">
            <v>0909-654-0284</v>
          </cell>
          <cell r="I604" t="str">
            <v>1997-10-28</v>
          </cell>
          <cell r="J604">
            <v>1</v>
          </cell>
          <cell r="K604">
            <v>1</v>
          </cell>
          <cell r="M604" t="str">
            <v>34-6673078-8</v>
          </cell>
          <cell r="N604" t="str">
            <v>731-959-037</v>
          </cell>
          <cell r="O604">
            <v>40</v>
          </cell>
          <cell r="P604">
            <v>488</v>
          </cell>
          <cell r="Q604">
            <v>58</v>
          </cell>
          <cell r="R604">
            <v>11</v>
          </cell>
          <cell r="S604">
            <v>0</v>
          </cell>
          <cell r="T604" t="str">
            <v>Marita B. Soriano
San Carlos City, Pangasinan
0970-361-5311</v>
          </cell>
          <cell r="U604" t="str">
            <v>2022-03-01</v>
          </cell>
        </row>
        <row r="605">
          <cell r="C605" t="str">
            <v>R021</v>
          </cell>
          <cell r="D605" t="str">
            <v>Gadil</v>
          </cell>
          <cell r="E605" t="str">
            <v>Creselyn</v>
          </cell>
          <cell r="F605" t="str">
            <v>Javier</v>
          </cell>
          <cell r="G605" t="str">
            <v>Celine</v>
          </cell>
          <cell r="H605" t="str">
            <v>0992-267-0221</v>
          </cell>
          <cell r="I605" t="str">
            <v>1997-11-15</v>
          </cell>
          <cell r="J605">
            <v>2</v>
          </cell>
          <cell r="K605">
            <v>1</v>
          </cell>
          <cell r="M605" t="str">
            <v>35-0749898-9</v>
          </cell>
          <cell r="N605" t="str">
            <v>399-735-582</v>
          </cell>
          <cell r="O605">
            <v>52</v>
          </cell>
          <cell r="P605">
            <v>502</v>
          </cell>
          <cell r="Q605">
            <v>62</v>
          </cell>
          <cell r="R605">
            <v>12</v>
          </cell>
          <cell r="S605">
            <v>0</v>
          </cell>
          <cell r="T605" t="str">
            <v>Mark Millson Turico
236 Emerald St, Shineland Village,
Bgy. Sala, Cabuyao, Laguna
0955-427-6699</v>
          </cell>
          <cell r="U605" t="str">
            <v>2022-03-08</v>
          </cell>
        </row>
        <row r="606">
          <cell r="C606" t="str">
            <v>R022</v>
          </cell>
          <cell r="D606" t="str">
            <v>Abuan</v>
          </cell>
          <cell r="E606" t="str">
            <v>Jeomart</v>
          </cell>
          <cell r="F606" t="str">
            <v>Dimaano</v>
          </cell>
          <cell r="G606" t="str">
            <v>Jeomart</v>
          </cell>
          <cell r="H606" t="str">
            <v>0905-887-4465</v>
          </cell>
          <cell r="I606" t="str">
            <v>1996-10-09</v>
          </cell>
          <cell r="J606">
            <v>1</v>
          </cell>
          <cell r="K606">
            <v>1</v>
          </cell>
          <cell r="M606" t="str">
            <v>34-9093905-0</v>
          </cell>
          <cell r="N606" t="str">
            <v>361-130-113</v>
          </cell>
          <cell r="O606">
            <v>86</v>
          </cell>
          <cell r="P606">
            <v>384</v>
          </cell>
          <cell r="Q606">
            <v>19</v>
          </cell>
          <cell r="R606">
            <v>4</v>
          </cell>
          <cell r="S606">
            <v>0</v>
          </cell>
          <cell r="T606" t="str">
            <v>Maritess D. Abuan
Bgy. Palola, Lucban, Quezon
0926-377-4594</v>
          </cell>
          <cell r="U606" t="str">
            <v>2022-03-14</v>
          </cell>
        </row>
        <row r="607">
          <cell r="C607" t="str">
            <v>R025</v>
          </cell>
          <cell r="D607" t="str">
            <v>Balaoing</v>
          </cell>
          <cell r="E607" t="str">
            <v>Merry Monarch</v>
          </cell>
          <cell r="F607" t="str">
            <v>Naveza</v>
          </cell>
          <cell r="G607" t="str">
            <v>Monarch</v>
          </cell>
          <cell r="H607" t="str">
            <v>0905-353-9635</v>
          </cell>
          <cell r="I607" t="str">
            <v>1991-09-25</v>
          </cell>
          <cell r="J607">
            <v>2</v>
          </cell>
          <cell r="K607">
            <v>1</v>
          </cell>
          <cell r="M607" t="str">
            <v>02-2910799-1</v>
          </cell>
          <cell r="N607" t="str">
            <v>263-337-491</v>
          </cell>
          <cell r="O607">
            <v>32</v>
          </cell>
          <cell r="P607">
            <v>491</v>
          </cell>
          <cell r="Q607">
            <v>56</v>
          </cell>
          <cell r="R607">
            <v>11</v>
          </cell>
          <cell r="S607">
            <v>0</v>
          </cell>
          <cell r="T607" t="str">
            <v>Richard Dean V. Kiunisala
Blk28 Lot18 Ph1, Calle 5 VDC,
Lamesa, Calamba City, Laguna
0916-794-1846</v>
          </cell>
          <cell r="U607" t="str">
            <v>2022-03-16</v>
          </cell>
        </row>
        <row r="608">
          <cell r="C608" t="str">
            <v>R097</v>
          </cell>
          <cell r="D608" t="str">
            <v>Luna</v>
          </cell>
          <cell r="E608" t="str">
            <v>Kimberly Ann</v>
          </cell>
          <cell r="F608" t="str">
            <v>Consulta</v>
          </cell>
          <cell r="G608" t="str">
            <v>Kim</v>
          </cell>
          <cell r="H608" t="str">
            <v>0965-035-7355</v>
          </cell>
          <cell r="I608" t="str">
            <v>1996-11-15</v>
          </cell>
          <cell r="J608">
            <v>2</v>
          </cell>
          <cell r="K608">
            <v>2</v>
          </cell>
          <cell r="L608" t="str">
            <v>Benjamin Vivas Luna Jr</v>
          </cell>
          <cell r="M608" t="str">
            <v>05-1268163-2</v>
          </cell>
          <cell r="N608" t="str">
            <v>362-302-728</v>
          </cell>
          <cell r="O608">
            <v>43</v>
          </cell>
          <cell r="P608">
            <v>492</v>
          </cell>
          <cell r="Q608">
            <v>55</v>
          </cell>
          <cell r="R608">
            <v>11</v>
          </cell>
          <cell r="S608">
            <v>0</v>
          </cell>
          <cell r="T608" t="str">
            <v>Benjamin V. Luna Jr
Mabolo St, Parian,
Calamba City, Laguna
0930-070-1471</v>
          </cell>
          <cell r="U608" t="str">
            <v>2022-04-01</v>
          </cell>
        </row>
        <row r="609">
          <cell r="C609" t="str">
            <v>R030</v>
          </cell>
          <cell r="D609" t="str">
            <v>Kato</v>
          </cell>
          <cell r="E609" t="str">
            <v>Yuji</v>
          </cell>
          <cell r="F609">
            <v>0</v>
          </cell>
          <cell r="G609" t="str">
            <v>Kato</v>
          </cell>
          <cell r="I609" t="str">
            <v>1964-04-08</v>
          </cell>
          <cell r="J609">
            <v>1</v>
          </cell>
          <cell r="K609">
            <v>1</v>
          </cell>
          <cell r="N609" t="str">
            <v>606-656-108</v>
          </cell>
          <cell r="O609">
            <v>7</v>
          </cell>
          <cell r="P609">
            <v>484</v>
          </cell>
          <cell r="Q609">
            <v>60</v>
          </cell>
          <cell r="R609">
            <v>11</v>
          </cell>
          <cell r="S609">
            <v>0</v>
          </cell>
          <cell r="U609" t="str">
            <v>2022-04-01</v>
          </cell>
        </row>
        <row r="610">
          <cell r="C610" t="str">
            <v>R031</v>
          </cell>
          <cell r="D610" t="str">
            <v>Tomura</v>
          </cell>
          <cell r="E610" t="str">
            <v>Naohiro</v>
          </cell>
          <cell r="F610">
            <v>0</v>
          </cell>
          <cell r="G610" t="str">
            <v>Tomura</v>
          </cell>
          <cell r="I610" t="str">
            <v>1972-07-26</v>
          </cell>
          <cell r="J610">
            <v>1</v>
          </cell>
          <cell r="K610">
            <v>2</v>
          </cell>
          <cell r="L610" t="str">
            <v>Mayumi Tomura</v>
          </cell>
          <cell r="N610" t="str">
            <v>606-655-076</v>
          </cell>
          <cell r="O610">
            <v>63</v>
          </cell>
          <cell r="P610">
            <v>497</v>
          </cell>
          <cell r="Q610">
            <v>68</v>
          </cell>
          <cell r="R610">
            <v>11</v>
          </cell>
          <cell r="S610">
            <v>0</v>
          </cell>
          <cell r="U610" t="str">
            <v>2022-04-01</v>
          </cell>
        </row>
        <row r="611">
          <cell r="C611" t="str">
            <v>R032</v>
          </cell>
          <cell r="D611" t="str">
            <v>Garcia</v>
          </cell>
          <cell r="E611" t="str">
            <v>Ily Marie</v>
          </cell>
          <cell r="F611" t="str">
            <v>Gonzales</v>
          </cell>
          <cell r="G611" t="str">
            <v>Ily</v>
          </cell>
          <cell r="H611" t="str">
            <v>0995-580-9961</v>
          </cell>
          <cell r="I611" t="str">
            <v>1997-07-16</v>
          </cell>
          <cell r="J611">
            <v>2</v>
          </cell>
          <cell r="K611">
            <v>1</v>
          </cell>
          <cell r="M611" t="str">
            <v>34-5793040-3</v>
          </cell>
          <cell r="N611" t="str">
            <v>483-029-742</v>
          </cell>
          <cell r="O611">
            <v>85</v>
          </cell>
          <cell r="P611">
            <v>10</v>
          </cell>
          <cell r="Q611">
            <v>5</v>
          </cell>
          <cell r="R611">
            <v>1</v>
          </cell>
          <cell r="S611">
            <v>0</v>
          </cell>
          <cell r="T611" t="str">
            <v>Teresita G. Garcia
Blk142 L14 Ph2, Mabuhay,
Mamatid, Cabuyao, Laguna
0965-846-9432</v>
          </cell>
          <cell r="U611" t="str">
            <v>2022-04-01</v>
          </cell>
        </row>
        <row r="612">
          <cell r="C612" t="str">
            <v>R110</v>
          </cell>
          <cell r="D612" t="str">
            <v>Vizcarra</v>
          </cell>
          <cell r="E612" t="str">
            <v>Bernadette</v>
          </cell>
          <cell r="F612" t="str">
            <v>Quiambao</v>
          </cell>
          <cell r="G612" t="str">
            <v>Dette</v>
          </cell>
          <cell r="H612" t="str">
            <v>0935-270-4687</v>
          </cell>
          <cell r="I612" t="str">
            <v>1993-02-01</v>
          </cell>
          <cell r="J612">
            <v>2</v>
          </cell>
          <cell r="K612">
            <v>2</v>
          </cell>
          <cell r="L612" t="str">
            <v>Jayron Tenorio Vizcarra</v>
          </cell>
          <cell r="M612" t="str">
            <v>01-2340482-6</v>
          </cell>
          <cell r="N612" t="str">
            <v>455-611-292</v>
          </cell>
          <cell r="O612">
            <v>96</v>
          </cell>
          <cell r="P612">
            <v>470</v>
          </cell>
          <cell r="Q612">
            <v>37</v>
          </cell>
          <cell r="R612">
            <v>8</v>
          </cell>
          <cell r="S612">
            <v>0</v>
          </cell>
          <cell r="T612" t="str">
            <v>Jayron T. Vizcarra
211 Emerald St, Shineland Village,
Bgy. Sala, Cabuyao City, Laguna
0965-162-1748</v>
          </cell>
          <cell r="U612" t="str">
            <v>2022-04-01</v>
          </cell>
        </row>
        <row r="613">
          <cell r="C613" t="str">
            <v>R033</v>
          </cell>
          <cell r="D613" t="str">
            <v>Manuel</v>
          </cell>
          <cell r="E613" t="str">
            <v>Nica Louise</v>
          </cell>
          <cell r="F613" t="str">
            <v>Villaflores</v>
          </cell>
          <cell r="G613" t="str">
            <v>Nica</v>
          </cell>
          <cell r="H613" t="str">
            <v>0998-236-4931</v>
          </cell>
          <cell r="I613" t="str">
            <v>1999-08-05</v>
          </cell>
          <cell r="J613">
            <v>2</v>
          </cell>
          <cell r="K613">
            <v>1</v>
          </cell>
          <cell r="M613" t="str">
            <v>04-4217269-3</v>
          </cell>
          <cell r="N613" t="str">
            <v>758-779-779</v>
          </cell>
          <cell r="O613">
            <v>87</v>
          </cell>
          <cell r="P613">
            <v>401</v>
          </cell>
          <cell r="Q613">
            <v>51</v>
          </cell>
          <cell r="R613">
            <v>1</v>
          </cell>
          <cell r="S613">
            <v>0</v>
          </cell>
          <cell r="T613" t="str">
            <v>Loida V. Manuel
Barrio, Canlubang, Calamba, Laguna
0949-840-2949</v>
          </cell>
          <cell r="U613" t="str">
            <v>2022-04-01</v>
          </cell>
        </row>
        <row r="614">
          <cell r="C614" t="str">
            <v>R034</v>
          </cell>
          <cell r="D614" t="str">
            <v>Aguenza</v>
          </cell>
          <cell r="E614" t="str">
            <v>Roland</v>
          </cell>
          <cell r="F614" t="str">
            <v>Borras</v>
          </cell>
          <cell r="G614" t="str">
            <v>Lhan</v>
          </cell>
          <cell r="H614" t="str">
            <v>0920-723-9787</v>
          </cell>
          <cell r="I614" t="str">
            <v>1993-11-12</v>
          </cell>
          <cell r="J614">
            <v>1</v>
          </cell>
          <cell r="K614">
            <v>1</v>
          </cell>
          <cell r="M614" t="str">
            <v>05-1355883-2</v>
          </cell>
          <cell r="N614" t="str">
            <v>700-106-949</v>
          </cell>
          <cell r="O614">
            <v>40</v>
          </cell>
          <cell r="P614">
            <v>439</v>
          </cell>
          <cell r="Q614">
            <v>21</v>
          </cell>
          <cell r="R614">
            <v>4</v>
          </cell>
          <cell r="S614">
            <v>0</v>
          </cell>
          <cell r="T614" t="str">
            <v>Rolando R. Aguenza
Bagangan Sr, Lupi, Camarines Sur
0970-239-1030</v>
          </cell>
          <cell r="U614" t="str">
            <v>2022-04-01</v>
          </cell>
        </row>
        <row r="615">
          <cell r="C615" t="str">
            <v>R038</v>
          </cell>
          <cell r="D615" t="str">
            <v>Padilla</v>
          </cell>
          <cell r="E615" t="str">
            <v>Jayson</v>
          </cell>
          <cell r="F615" t="str">
            <v>Bautista</v>
          </cell>
          <cell r="G615" t="str">
            <v>Son</v>
          </cell>
          <cell r="H615" t="str">
            <v>0995-542-6867</v>
          </cell>
          <cell r="I615" t="str">
            <v>2000-07-26</v>
          </cell>
          <cell r="J615">
            <v>1</v>
          </cell>
          <cell r="K615">
            <v>1</v>
          </cell>
          <cell r="M615" t="str">
            <v>34-8518616-4</v>
          </cell>
          <cell r="N615" t="str">
            <v>775-692-755</v>
          </cell>
          <cell r="O615">
            <v>43</v>
          </cell>
          <cell r="P615">
            <v>504</v>
          </cell>
          <cell r="Q615">
            <v>69</v>
          </cell>
          <cell r="R615">
            <v>13</v>
          </cell>
          <cell r="S615">
            <v>0</v>
          </cell>
          <cell r="T615" t="str">
            <v>Thonet B. Santos
Pansol, Calamba City, Laguna
0905-841-1698</v>
          </cell>
          <cell r="U615" t="str">
            <v>2022-04-01</v>
          </cell>
        </row>
        <row r="616">
          <cell r="C616" t="str">
            <v>R037</v>
          </cell>
          <cell r="D616" t="str">
            <v>Bragais Jr</v>
          </cell>
          <cell r="E616" t="str">
            <v>Santos</v>
          </cell>
          <cell r="F616" t="str">
            <v>Bilaos</v>
          </cell>
          <cell r="G616" t="str">
            <v>Jhay Ar</v>
          </cell>
          <cell r="H616" t="str">
            <v>0905-641-3950</v>
          </cell>
          <cell r="I616" t="str">
            <v>1985-12-14</v>
          </cell>
          <cell r="J616">
            <v>1</v>
          </cell>
          <cell r="K616">
            <v>1</v>
          </cell>
          <cell r="M616" t="str">
            <v>05-0987401-2</v>
          </cell>
          <cell r="N616" t="str">
            <v>310-230-464</v>
          </cell>
          <cell r="O616">
            <v>41</v>
          </cell>
          <cell r="P616">
            <v>503</v>
          </cell>
          <cell r="Q616">
            <v>64</v>
          </cell>
          <cell r="R616">
            <v>12</v>
          </cell>
          <cell r="S616">
            <v>0</v>
          </cell>
          <cell r="T616" t="str">
            <v>Grace Pornasa
Parian, Calamba City
0927-930-2683</v>
          </cell>
          <cell r="U616" t="str">
            <v>2022-04-01</v>
          </cell>
        </row>
        <row r="617">
          <cell r="C617" t="str">
            <v>R040</v>
          </cell>
          <cell r="D617" t="str">
            <v>Asis</v>
          </cell>
          <cell r="E617" t="str">
            <v>Irene</v>
          </cell>
          <cell r="F617" t="str">
            <v>Vela</v>
          </cell>
          <cell r="G617" t="str">
            <v>I</v>
          </cell>
          <cell r="H617" t="str">
            <v>0992-576-8819</v>
          </cell>
          <cell r="I617" t="str">
            <v>1989-05-11</v>
          </cell>
          <cell r="J617">
            <v>2</v>
          </cell>
          <cell r="K617">
            <v>2</v>
          </cell>
          <cell r="L617" t="str">
            <v>Leomar Brillantes Asis</v>
          </cell>
          <cell r="M617" t="str">
            <v>34-0466608-9</v>
          </cell>
          <cell r="N617" t="str">
            <v>308-185-977</v>
          </cell>
          <cell r="O617">
            <v>43</v>
          </cell>
          <cell r="P617">
            <v>452</v>
          </cell>
          <cell r="Q617">
            <v>20</v>
          </cell>
          <cell r="R617">
            <v>4</v>
          </cell>
          <cell r="S617">
            <v>0</v>
          </cell>
          <cell r="T617" t="str">
            <v>Leomar B. Asis
697 Ibayo P-6, Malitlit,
Sta Rosa, Laguna
0909-031-8506</v>
          </cell>
          <cell r="U617" t="str">
            <v>2022-04-01</v>
          </cell>
        </row>
        <row r="618">
          <cell r="C618" t="str">
            <v>R041</v>
          </cell>
          <cell r="D618" t="str">
            <v>Dayandante</v>
          </cell>
          <cell r="E618" t="str">
            <v>Carlo</v>
          </cell>
          <cell r="F618" t="str">
            <v>Lozada</v>
          </cell>
          <cell r="G618" t="str">
            <v>Carlo</v>
          </cell>
          <cell r="H618" t="str">
            <v>0966-530-8614</v>
          </cell>
          <cell r="I618" t="str">
            <v>1988-12-27</v>
          </cell>
          <cell r="J618">
            <v>1</v>
          </cell>
          <cell r="K618">
            <v>1</v>
          </cell>
          <cell r="M618" t="str">
            <v>34-4347979-0</v>
          </cell>
          <cell r="N618" t="str">
            <v>332-213-790</v>
          </cell>
          <cell r="O618">
            <v>43</v>
          </cell>
          <cell r="P618">
            <v>452</v>
          </cell>
          <cell r="Q618">
            <v>20</v>
          </cell>
          <cell r="R618">
            <v>4</v>
          </cell>
          <cell r="S618">
            <v>0</v>
          </cell>
          <cell r="T618" t="str">
            <v>Jean Dayandante
Bgy. Punta, Calamba, Laguna
0927-126-0090</v>
          </cell>
          <cell r="U618" t="str">
            <v>2022-04-01</v>
          </cell>
        </row>
        <row r="619">
          <cell r="C619" t="str">
            <v>R042</v>
          </cell>
          <cell r="D619" t="str">
            <v>Malto</v>
          </cell>
          <cell r="E619" t="str">
            <v>Ginalyn</v>
          </cell>
          <cell r="F619" t="str">
            <v>CaÃ±ete</v>
          </cell>
          <cell r="G619" t="str">
            <v>Jhen</v>
          </cell>
          <cell r="H619" t="str">
            <v>0915-064-2023</v>
          </cell>
          <cell r="I619" t="str">
            <v>1992-04-01</v>
          </cell>
          <cell r="J619">
            <v>2</v>
          </cell>
          <cell r="K619">
            <v>1</v>
          </cell>
          <cell r="M619" t="str">
            <v>34-6541135-4</v>
          </cell>
          <cell r="N619" t="str">
            <v>337-541-063</v>
          </cell>
          <cell r="O619">
            <v>43</v>
          </cell>
          <cell r="P619">
            <v>452</v>
          </cell>
          <cell r="Q619">
            <v>20</v>
          </cell>
          <cell r="R619">
            <v>4</v>
          </cell>
          <cell r="S619">
            <v>0</v>
          </cell>
          <cell r="T619" t="str">
            <v>Virgie C. Malto
Bgy. Lamesa, Calamba City, Laguna
0905-374-7566</v>
          </cell>
          <cell r="U619" t="str">
            <v>2022-04-01</v>
          </cell>
        </row>
        <row r="620">
          <cell r="C620" t="str">
            <v>R043</v>
          </cell>
          <cell r="D620" t="str">
            <v>Paramio</v>
          </cell>
          <cell r="E620" t="str">
            <v>Ivan James</v>
          </cell>
          <cell r="F620" t="str">
            <v>Cepeda</v>
          </cell>
          <cell r="G620" t="str">
            <v>Ivan</v>
          </cell>
          <cell r="H620" t="str">
            <v>0916-126-8765</v>
          </cell>
          <cell r="I620" t="str">
            <v>1990-04-19</v>
          </cell>
          <cell r="J620">
            <v>1</v>
          </cell>
          <cell r="K620">
            <v>1</v>
          </cell>
          <cell r="M620" t="str">
            <v>07-2672281-1</v>
          </cell>
          <cell r="N620" t="str">
            <v>410-961-540</v>
          </cell>
          <cell r="O620">
            <v>43</v>
          </cell>
          <cell r="P620">
            <v>452</v>
          </cell>
          <cell r="Q620">
            <v>20</v>
          </cell>
          <cell r="R620">
            <v>4</v>
          </cell>
          <cell r="S620">
            <v>0</v>
          </cell>
          <cell r="T620" t="str">
            <v>Ivy Joyce Paramio
Manes Cpd, Mabuhay Homes 2000 3E Apt
Sta. Rosa City, Laguna
0916-126-8765</v>
          </cell>
          <cell r="U620" t="str">
            <v>2022-04-01</v>
          </cell>
        </row>
        <row r="621">
          <cell r="C621" t="str">
            <v>R044</v>
          </cell>
          <cell r="D621" t="str">
            <v>Locion</v>
          </cell>
          <cell r="E621" t="str">
            <v>Regine</v>
          </cell>
          <cell r="F621" t="str">
            <v>Labaja</v>
          </cell>
          <cell r="G621" t="str">
            <v>Regine</v>
          </cell>
          <cell r="H621" t="str">
            <v>0966-794-2216</v>
          </cell>
          <cell r="I621" t="str">
            <v>1992-01-06</v>
          </cell>
          <cell r="J621">
            <v>2</v>
          </cell>
          <cell r="K621">
            <v>1</v>
          </cell>
          <cell r="M621" t="str">
            <v>04-2218625-6</v>
          </cell>
          <cell r="N621" t="str">
            <v>238-339-577</v>
          </cell>
          <cell r="O621">
            <v>43</v>
          </cell>
          <cell r="P621">
            <v>146</v>
          </cell>
          <cell r="Q621">
            <v>27</v>
          </cell>
          <cell r="R621">
            <v>6</v>
          </cell>
          <cell r="S621">
            <v>0</v>
          </cell>
          <cell r="T621" t="str">
            <v>Teodora S. Locion
Blk 12 Lot 23 Filinvest Homesite II-B
Langgam, San Pedro, Laguna
0933-825-2308</v>
          </cell>
          <cell r="U621" t="str">
            <v>2022-04-01</v>
          </cell>
        </row>
        <row r="622">
          <cell r="C622" t="str">
            <v>R045</v>
          </cell>
          <cell r="D622" t="str">
            <v>Acejo</v>
          </cell>
          <cell r="E622" t="str">
            <v>Edrian</v>
          </cell>
          <cell r="F622" t="str">
            <v>Palentinos</v>
          </cell>
          <cell r="G622" t="str">
            <v>Ian</v>
          </cell>
          <cell r="H622" t="str">
            <v>0992-390-3407</v>
          </cell>
          <cell r="I622" t="str">
            <v>1995-02-20</v>
          </cell>
          <cell r="J622">
            <v>1</v>
          </cell>
          <cell r="K622">
            <v>1</v>
          </cell>
          <cell r="M622" t="str">
            <v>04-2702175-6</v>
          </cell>
          <cell r="N622" t="str">
            <v>313-858-064</v>
          </cell>
          <cell r="O622">
            <v>43</v>
          </cell>
          <cell r="P622">
            <v>472</v>
          </cell>
          <cell r="Q622">
            <v>34</v>
          </cell>
          <cell r="R622">
            <v>8</v>
          </cell>
          <cell r="S622">
            <v>0</v>
          </cell>
          <cell r="T622" t="str">
            <v>Jesalyn Atizado
Jasmin St, Bgy. Parian,
Calamba City, Laguna
0991-483-9169</v>
          </cell>
          <cell r="U622" t="str">
            <v>2022-04-01</v>
          </cell>
        </row>
        <row r="623">
          <cell r="C623" t="str">
            <v>R046</v>
          </cell>
          <cell r="D623" t="str">
            <v>BolaÃ±o</v>
          </cell>
          <cell r="E623" t="str">
            <v>Raymond</v>
          </cell>
          <cell r="F623" t="str">
            <v>Alarcon</v>
          </cell>
          <cell r="G623" t="str">
            <v>RJ</v>
          </cell>
          <cell r="H623" t="str">
            <v>0975-157-4946</v>
          </cell>
          <cell r="I623" t="str">
            <v>1993-01-27</v>
          </cell>
          <cell r="J623">
            <v>1</v>
          </cell>
          <cell r="K623">
            <v>1</v>
          </cell>
          <cell r="M623" t="str">
            <v>34-9079266-6</v>
          </cell>
          <cell r="N623" t="str">
            <v>371-972-847</v>
          </cell>
          <cell r="O623">
            <v>43</v>
          </cell>
          <cell r="P623">
            <v>472</v>
          </cell>
          <cell r="Q623">
            <v>34</v>
          </cell>
          <cell r="R623">
            <v>8</v>
          </cell>
          <cell r="S623">
            <v>0</v>
          </cell>
          <cell r="T623" t="str">
            <v>Ronilo C. BolaÃ±o
Bgy. Quinale, Paete, Laguna
0948-600-7887</v>
          </cell>
          <cell r="U623" t="str">
            <v>2022-04-01</v>
          </cell>
        </row>
        <row r="624">
          <cell r="C624" t="str">
            <v>R047</v>
          </cell>
          <cell r="D624" t="str">
            <v>Cajayon</v>
          </cell>
          <cell r="E624" t="str">
            <v>Anna-Mae</v>
          </cell>
          <cell r="F624" t="str">
            <v>Baylon</v>
          </cell>
          <cell r="G624" t="str">
            <v>Anna</v>
          </cell>
          <cell r="H624" t="str">
            <v>0927-119-3919</v>
          </cell>
          <cell r="I624" t="str">
            <v>1995-06-28</v>
          </cell>
          <cell r="J624">
            <v>2</v>
          </cell>
          <cell r="K624">
            <v>1</v>
          </cell>
          <cell r="M624" t="str">
            <v>04-3584671-6</v>
          </cell>
          <cell r="N624" t="str">
            <v>322-925-556</v>
          </cell>
          <cell r="O624">
            <v>43</v>
          </cell>
          <cell r="P624">
            <v>472</v>
          </cell>
          <cell r="Q624">
            <v>34</v>
          </cell>
          <cell r="R624">
            <v>8</v>
          </cell>
          <cell r="S624">
            <v>0</v>
          </cell>
          <cell r="T624" t="str">
            <v>Myla B. Cajayon
Carlton Residence Blk 30 Lot 15
Dita, Sta. Rosa, Laguna
0995-455-4070</v>
          </cell>
          <cell r="U624" t="str">
            <v>2022-04-01</v>
          </cell>
        </row>
        <row r="625">
          <cell r="C625" t="str">
            <v>R048</v>
          </cell>
          <cell r="D625" t="str">
            <v>Capecinio</v>
          </cell>
          <cell r="E625" t="str">
            <v>Liezel</v>
          </cell>
          <cell r="F625" t="str">
            <v>Gildo</v>
          </cell>
          <cell r="G625" t="str">
            <v>Zhel</v>
          </cell>
          <cell r="H625" t="str">
            <v>0945-544-3851</v>
          </cell>
          <cell r="I625" t="str">
            <v>1990-11-23</v>
          </cell>
          <cell r="J625">
            <v>2</v>
          </cell>
          <cell r="K625">
            <v>1</v>
          </cell>
          <cell r="M625" t="str">
            <v>34-3591857-3</v>
          </cell>
          <cell r="N625" t="str">
            <v>336-095-710</v>
          </cell>
          <cell r="O625">
            <v>43</v>
          </cell>
          <cell r="P625">
            <v>472</v>
          </cell>
          <cell r="Q625">
            <v>34</v>
          </cell>
          <cell r="R625">
            <v>8</v>
          </cell>
          <cell r="S625">
            <v>0</v>
          </cell>
          <cell r="T625" t="str">
            <v>Janeth Capecinio
Paranaque City
0912-178-1827</v>
          </cell>
          <cell r="U625" t="str">
            <v>2022-04-01</v>
          </cell>
        </row>
        <row r="626">
          <cell r="C626" t="str">
            <v>R049</v>
          </cell>
          <cell r="D626" t="str">
            <v>CariÃ±o</v>
          </cell>
          <cell r="E626" t="str">
            <v>Jennalyn</v>
          </cell>
          <cell r="F626" t="str">
            <v>Refrea</v>
          </cell>
          <cell r="G626" t="str">
            <v>Jenna</v>
          </cell>
          <cell r="H626" t="str">
            <v>0931-932-3422</v>
          </cell>
          <cell r="I626" t="str">
            <v>1998-02-12</v>
          </cell>
          <cell r="J626">
            <v>2</v>
          </cell>
          <cell r="K626">
            <v>1</v>
          </cell>
          <cell r="M626" t="str">
            <v>04-3896536-4</v>
          </cell>
          <cell r="N626" t="str">
            <v>337-721-486</v>
          </cell>
          <cell r="O626">
            <v>43</v>
          </cell>
          <cell r="P626">
            <v>363</v>
          </cell>
          <cell r="Q626">
            <v>34</v>
          </cell>
          <cell r="R626">
            <v>8</v>
          </cell>
          <cell r="S626">
            <v>0</v>
          </cell>
          <cell r="T626" t="str">
            <v>Lauro R. CariÃ±o
Blk 1 Lot 13 Southville 6,
Kay-anlog, Calamba, Laguna
0907-671-8703</v>
          </cell>
          <cell r="U626" t="str">
            <v>2022-04-01</v>
          </cell>
        </row>
        <row r="627">
          <cell r="C627" t="str">
            <v>R050</v>
          </cell>
          <cell r="D627" t="str">
            <v>Darilay</v>
          </cell>
          <cell r="E627" t="str">
            <v>Katrina Mae</v>
          </cell>
          <cell r="F627" t="str">
            <v>Luares</v>
          </cell>
          <cell r="G627" t="str">
            <v>Kath</v>
          </cell>
          <cell r="H627" t="str">
            <v>0995-160-6471</v>
          </cell>
          <cell r="I627" t="str">
            <v>1994-11-13</v>
          </cell>
          <cell r="J627">
            <v>2</v>
          </cell>
          <cell r="K627">
            <v>1</v>
          </cell>
          <cell r="M627" t="str">
            <v>04-3617911-0</v>
          </cell>
          <cell r="N627" t="str">
            <v>478-939-110</v>
          </cell>
          <cell r="O627">
            <v>43</v>
          </cell>
          <cell r="P627">
            <v>393</v>
          </cell>
          <cell r="Q627">
            <v>34</v>
          </cell>
          <cell r="R627">
            <v>8</v>
          </cell>
          <cell r="S627">
            <v>0</v>
          </cell>
          <cell r="T627" t="str">
            <v>Evangeline L. Darilay
467 Rambutan, Real, Calamba, Laguna
0948-360-3336</v>
          </cell>
          <cell r="U627" t="str">
            <v>2022-04-01</v>
          </cell>
        </row>
        <row r="628">
          <cell r="C628" t="str">
            <v>R052</v>
          </cell>
          <cell r="D628" t="str">
            <v>Reyes</v>
          </cell>
          <cell r="E628" t="str">
            <v>Milanie</v>
          </cell>
          <cell r="F628" t="str">
            <v>Pagdonsolan</v>
          </cell>
          <cell r="G628" t="str">
            <v>Lhanie</v>
          </cell>
          <cell r="H628">
            <v>9564939161</v>
          </cell>
          <cell r="I628" t="str">
            <v>1994-07-09</v>
          </cell>
          <cell r="J628">
            <v>2</v>
          </cell>
          <cell r="K628">
            <v>1</v>
          </cell>
          <cell r="M628" t="str">
            <v>04-2899799-9</v>
          </cell>
          <cell r="N628" t="str">
            <v>327-423-853</v>
          </cell>
          <cell r="O628">
            <v>43</v>
          </cell>
          <cell r="P628">
            <v>393</v>
          </cell>
          <cell r="Q628">
            <v>34</v>
          </cell>
          <cell r="R628">
            <v>8</v>
          </cell>
          <cell r="S628">
            <v>0</v>
          </cell>
          <cell r="T628" t="str">
            <v>Marlyn P. Reyes
Blk 1 Lot 23 Farconville,
San Cristobal, Calamba, Laguna
0956-493-9161</v>
          </cell>
          <cell r="U628" t="str">
            <v>2022-04-01</v>
          </cell>
        </row>
        <row r="629">
          <cell r="C629" t="str">
            <v>R053</v>
          </cell>
          <cell r="D629" t="str">
            <v>Rito</v>
          </cell>
          <cell r="E629" t="str">
            <v>Jane May</v>
          </cell>
          <cell r="F629" t="str">
            <v>Perez</v>
          </cell>
          <cell r="G629" t="str">
            <v>Jane</v>
          </cell>
          <cell r="H629" t="str">
            <v>0975-157-7638</v>
          </cell>
          <cell r="I629" t="str">
            <v>1992-11-10</v>
          </cell>
          <cell r="J629">
            <v>2</v>
          </cell>
          <cell r="K629">
            <v>1</v>
          </cell>
          <cell r="M629" t="str">
            <v>04-2674286-1</v>
          </cell>
          <cell r="N629" t="str">
            <v>318-397-731</v>
          </cell>
          <cell r="O629">
            <v>43</v>
          </cell>
          <cell r="P629">
            <v>393</v>
          </cell>
          <cell r="Q629">
            <v>34</v>
          </cell>
          <cell r="R629">
            <v>8</v>
          </cell>
          <cell r="S629">
            <v>0</v>
          </cell>
          <cell r="T629" t="str">
            <v xml:space="preserve">Jane Joy Rito
St. Christopher 1, Paciano Rizal,
Calamba City, Laguna
</v>
          </cell>
          <cell r="U629" t="str">
            <v>2022-04-01</v>
          </cell>
        </row>
        <row r="630">
          <cell r="C630" t="str">
            <v>R054</v>
          </cell>
          <cell r="D630" t="str">
            <v>Agrade</v>
          </cell>
          <cell r="E630" t="str">
            <v>Emie</v>
          </cell>
          <cell r="F630" t="str">
            <v>Llanita</v>
          </cell>
          <cell r="G630" t="str">
            <v>Ems</v>
          </cell>
          <cell r="H630" t="str">
            <v>0961-118-9870</v>
          </cell>
          <cell r="I630" t="str">
            <v>1988-01-31</v>
          </cell>
          <cell r="J630">
            <v>2</v>
          </cell>
          <cell r="K630">
            <v>1</v>
          </cell>
          <cell r="M630" t="str">
            <v>04-1773703-4</v>
          </cell>
          <cell r="N630" t="str">
            <v>305-109-685</v>
          </cell>
          <cell r="O630">
            <v>43</v>
          </cell>
          <cell r="P630">
            <v>502</v>
          </cell>
          <cell r="Q630">
            <v>62</v>
          </cell>
          <cell r="R630">
            <v>12</v>
          </cell>
          <cell r="S630">
            <v>0</v>
          </cell>
          <cell r="T630" t="str">
            <v>Ginalyn Agrade
1845 Purok 4, Dita,
Sta. Rosa City, Laguna
0921-870-1215</v>
          </cell>
          <cell r="U630" t="str">
            <v>2022-04-01</v>
          </cell>
        </row>
        <row r="631">
          <cell r="C631" t="str">
            <v>R056</v>
          </cell>
          <cell r="D631" t="str">
            <v>Allied</v>
          </cell>
          <cell r="E631" t="str">
            <v>Marvin</v>
          </cell>
          <cell r="F631" t="str">
            <v>Masdo</v>
          </cell>
          <cell r="G631" t="str">
            <v>Marvs</v>
          </cell>
          <cell r="H631" t="str">
            <v>0969-300-1139</v>
          </cell>
          <cell r="I631" t="str">
            <v>1989-03-13</v>
          </cell>
          <cell r="J631">
            <v>1</v>
          </cell>
          <cell r="K631">
            <v>1</v>
          </cell>
          <cell r="M631" t="str">
            <v>34-3253710-6</v>
          </cell>
          <cell r="N631" t="str">
            <v>776-193-694</v>
          </cell>
          <cell r="O631">
            <v>40</v>
          </cell>
          <cell r="P631">
            <v>489</v>
          </cell>
          <cell r="Q631">
            <v>58</v>
          </cell>
          <cell r="R631">
            <v>11</v>
          </cell>
          <cell r="S631">
            <v>0</v>
          </cell>
          <cell r="T631" t="str">
            <v>Celia M. Allied
#27 Purok 1, Bgy. Parian,
Calamba City, Laguna
0999-687-0857</v>
          </cell>
          <cell r="U631" t="str">
            <v>2022-04-01</v>
          </cell>
        </row>
        <row r="632">
          <cell r="C632" t="str">
            <v>R057</v>
          </cell>
          <cell r="D632" t="str">
            <v>Alvar</v>
          </cell>
          <cell r="E632" t="str">
            <v>Maricel</v>
          </cell>
          <cell r="F632" t="str">
            <v>De Torres</v>
          </cell>
          <cell r="G632" t="str">
            <v>Cel</v>
          </cell>
          <cell r="H632" t="str">
            <v>0956-122-4216</v>
          </cell>
          <cell r="I632" t="str">
            <v>1981-01-29</v>
          </cell>
          <cell r="J632">
            <v>2</v>
          </cell>
          <cell r="K632">
            <v>2</v>
          </cell>
          <cell r="L632" t="str">
            <v>Benedictus Enano Alvar</v>
          </cell>
          <cell r="M632" t="str">
            <v>04-3321081-0</v>
          </cell>
          <cell r="N632" t="str">
            <v>366-973-674</v>
          </cell>
          <cell r="O632">
            <v>43</v>
          </cell>
          <cell r="P632">
            <v>492</v>
          </cell>
          <cell r="Q632">
            <v>55</v>
          </cell>
          <cell r="R632">
            <v>11</v>
          </cell>
          <cell r="S632">
            <v>0</v>
          </cell>
          <cell r="T632" t="str">
            <v>Lina D. Basilan
Barangay Boundery,
Concepcion, Batangas City
0956-122-4217</v>
          </cell>
          <cell r="U632" t="str">
            <v>2022-04-01</v>
          </cell>
        </row>
        <row r="633">
          <cell r="C633" t="str">
            <v>R058</v>
          </cell>
          <cell r="D633" t="str">
            <v>Ampeloquio</v>
          </cell>
          <cell r="E633" t="str">
            <v>Dioscoro Jr</v>
          </cell>
          <cell r="F633" t="str">
            <v>Tan</v>
          </cell>
          <cell r="G633" t="str">
            <v>Daion</v>
          </cell>
          <cell r="H633" t="str">
            <v>0992-377-9196</v>
          </cell>
          <cell r="I633" t="str">
            <v>1992-10-24</v>
          </cell>
          <cell r="J633">
            <v>1</v>
          </cell>
          <cell r="K633">
            <v>2</v>
          </cell>
          <cell r="L633" t="str">
            <v>Arriane Enriquez Padilla</v>
          </cell>
          <cell r="M633" t="str">
            <v>04-2760254-4</v>
          </cell>
          <cell r="N633" t="str">
            <v>445-598-353</v>
          </cell>
          <cell r="O633">
            <v>43</v>
          </cell>
          <cell r="P633">
            <v>492</v>
          </cell>
          <cell r="Q633">
            <v>55</v>
          </cell>
          <cell r="R633">
            <v>11</v>
          </cell>
          <cell r="S633">
            <v>0</v>
          </cell>
          <cell r="T633" t="str">
            <v>Arriane P. Ampeloquio
Bgy. Palingon, Calamba City, Laguna
0991-336-6887</v>
          </cell>
          <cell r="U633" t="str">
            <v>2022-04-01</v>
          </cell>
        </row>
        <row r="634">
          <cell r="C634" t="str">
            <v>R059</v>
          </cell>
          <cell r="D634" t="str">
            <v>Anore</v>
          </cell>
          <cell r="E634" t="str">
            <v>Rosalinda</v>
          </cell>
          <cell r="F634" t="str">
            <v>Gaviola</v>
          </cell>
          <cell r="G634" t="str">
            <v>Rosa</v>
          </cell>
          <cell r="H634" t="str">
            <v>0930-635-5700</v>
          </cell>
          <cell r="I634" t="str">
            <v>2000-06-25</v>
          </cell>
          <cell r="J634">
            <v>2</v>
          </cell>
          <cell r="K634">
            <v>1</v>
          </cell>
          <cell r="M634" t="str">
            <v>34-8299378-7</v>
          </cell>
          <cell r="N634" t="str">
            <v>389-071-524</v>
          </cell>
          <cell r="O634">
            <v>43</v>
          </cell>
          <cell r="P634">
            <v>502</v>
          </cell>
          <cell r="Q634">
            <v>62</v>
          </cell>
          <cell r="R634">
            <v>12</v>
          </cell>
          <cell r="S634">
            <v>0</v>
          </cell>
          <cell r="T634" t="str">
            <v>Rommel Gaviola
P-4 Bgy. Sinalhan,
Sta. Rosa City, Laguna
0948-758-3997</v>
          </cell>
          <cell r="U634" t="str">
            <v>2022-04-01</v>
          </cell>
        </row>
        <row r="635">
          <cell r="C635" t="str">
            <v>R061</v>
          </cell>
          <cell r="D635" t="str">
            <v>Argamosa</v>
          </cell>
          <cell r="E635" t="str">
            <v>Sheryl</v>
          </cell>
          <cell r="F635" t="str">
            <v>Delica</v>
          </cell>
          <cell r="G635" t="str">
            <v>She</v>
          </cell>
          <cell r="H635" t="str">
            <v>0938-456-8065</v>
          </cell>
          <cell r="I635" t="str">
            <v>1999-10-10</v>
          </cell>
          <cell r="J635">
            <v>2</v>
          </cell>
          <cell r="K635">
            <v>1</v>
          </cell>
          <cell r="M635" t="str">
            <v>04-4044666-4</v>
          </cell>
          <cell r="N635" t="str">
            <v>346-509-703</v>
          </cell>
          <cell r="O635">
            <v>43</v>
          </cell>
          <cell r="P635">
            <v>502</v>
          </cell>
          <cell r="Q635">
            <v>62</v>
          </cell>
          <cell r="R635">
            <v>12</v>
          </cell>
          <cell r="S635">
            <v>0</v>
          </cell>
          <cell r="T635" t="str">
            <v>Wenefreda D. Argamosa
Bgy. Ambulong, Tanauan City,
Batangas
0997-658-3995</v>
          </cell>
          <cell r="U635" t="str">
            <v>2022-04-01</v>
          </cell>
        </row>
        <row r="636">
          <cell r="C636" t="str">
            <v>R062</v>
          </cell>
          <cell r="D636" t="str">
            <v>Astoveza</v>
          </cell>
          <cell r="E636" t="str">
            <v>Mariel</v>
          </cell>
          <cell r="F636" t="str">
            <v>Sanchez</v>
          </cell>
          <cell r="G636" t="str">
            <v>Yhiel</v>
          </cell>
          <cell r="H636" t="str">
            <v>0961-5042317</v>
          </cell>
          <cell r="I636" t="str">
            <v>2000-11-24</v>
          </cell>
          <cell r="J636">
            <v>2</v>
          </cell>
          <cell r="K636">
            <v>1</v>
          </cell>
          <cell r="M636" t="str">
            <v>04-4240889-1</v>
          </cell>
          <cell r="N636" t="str">
            <v>363-231-843</v>
          </cell>
          <cell r="O636">
            <v>43</v>
          </cell>
          <cell r="P636">
            <v>492</v>
          </cell>
          <cell r="Q636">
            <v>55</v>
          </cell>
          <cell r="R636">
            <v>11</v>
          </cell>
          <cell r="S636">
            <v>0</v>
          </cell>
          <cell r="T636" t="str">
            <v>Adelfa Sanchez
Bgy. Sala, Cabuyao, Laguna
0905-629-0065</v>
          </cell>
          <cell r="U636" t="str">
            <v>2022-04-01</v>
          </cell>
        </row>
        <row r="637">
          <cell r="C637" t="str">
            <v>R063</v>
          </cell>
          <cell r="D637" t="str">
            <v>Bagu</v>
          </cell>
          <cell r="E637" t="str">
            <v>Rodalyn</v>
          </cell>
          <cell r="F637" t="str">
            <v>Velina</v>
          </cell>
          <cell r="G637" t="str">
            <v>Rhoda</v>
          </cell>
          <cell r="H637" t="str">
            <v>0930-677-4730</v>
          </cell>
          <cell r="I637" t="str">
            <v>1992-03-11</v>
          </cell>
          <cell r="J637">
            <v>2</v>
          </cell>
          <cell r="K637">
            <v>2</v>
          </cell>
          <cell r="L637" t="str">
            <v xml:space="preserve">Mark John Dee Mendiola Bagu </v>
          </cell>
          <cell r="M637" t="str">
            <v>04-2895491-6</v>
          </cell>
          <cell r="N637" t="str">
            <v>468-393-875</v>
          </cell>
          <cell r="O637">
            <v>43</v>
          </cell>
          <cell r="P637">
            <v>502</v>
          </cell>
          <cell r="Q637">
            <v>62</v>
          </cell>
          <cell r="R637">
            <v>12</v>
          </cell>
          <cell r="S637">
            <v>0</v>
          </cell>
          <cell r="T637" t="str">
            <v>Mark John Dee M. Bagu
Blk 27 Lot 63 Acasia Subd,
Banay-banay, Cabuyao, Laguna
0930-246-5430</v>
          </cell>
          <cell r="U637" t="str">
            <v>2022-04-01</v>
          </cell>
        </row>
        <row r="638">
          <cell r="C638" t="str">
            <v>R064</v>
          </cell>
          <cell r="D638" t="str">
            <v>Belda</v>
          </cell>
          <cell r="E638" t="str">
            <v>Judy Pearl</v>
          </cell>
          <cell r="F638">
            <v>0</v>
          </cell>
          <cell r="G638" t="str">
            <v>Pearl</v>
          </cell>
          <cell r="H638" t="str">
            <v>0965-488-3258</v>
          </cell>
          <cell r="I638" t="str">
            <v>2000-11-28</v>
          </cell>
          <cell r="J638">
            <v>2</v>
          </cell>
          <cell r="K638">
            <v>1</v>
          </cell>
          <cell r="M638" t="str">
            <v>05-1486093-0</v>
          </cell>
          <cell r="N638" t="str">
            <v>354-689-255</v>
          </cell>
          <cell r="O638">
            <v>43</v>
          </cell>
          <cell r="P638">
            <v>502</v>
          </cell>
          <cell r="Q638">
            <v>62</v>
          </cell>
          <cell r="R638">
            <v>12</v>
          </cell>
          <cell r="S638">
            <v>0</v>
          </cell>
          <cell r="T638" t="str">
            <v>Mary Grace Gorospe
Blk 20 Lot 5 Prince Village,
Banlic, Cabuyao, Laguna
0938-623-4071</v>
          </cell>
          <cell r="U638" t="str">
            <v>2022-04-01</v>
          </cell>
        </row>
        <row r="639">
          <cell r="C639" t="str">
            <v>R066</v>
          </cell>
          <cell r="D639" t="str">
            <v>Bondoy</v>
          </cell>
          <cell r="E639" t="str">
            <v>Christian</v>
          </cell>
          <cell r="F639" t="str">
            <v>Belardo</v>
          </cell>
          <cell r="G639" t="str">
            <v>Chan</v>
          </cell>
          <cell r="H639" t="str">
            <v>0961-553-7995</v>
          </cell>
          <cell r="I639" t="str">
            <v>1999-12-31</v>
          </cell>
          <cell r="J639">
            <v>1</v>
          </cell>
          <cell r="K639">
            <v>1</v>
          </cell>
          <cell r="M639" t="str">
            <v>04-4160467-0</v>
          </cell>
          <cell r="N639" t="str">
            <v>774-368-772</v>
          </cell>
          <cell r="O639">
            <v>43</v>
          </cell>
          <cell r="P639">
            <v>492</v>
          </cell>
          <cell r="Q639">
            <v>55</v>
          </cell>
          <cell r="R639">
            <v>11</v>
          </cell>
          <cell r="S639">
            <v>0</v>
          </cell>
          <cell r="T639" t="str">
            <v>Rosa B. Bondoy
Pulong Ipot, Bgy. Pansol,
Calamba City, Laguna
0919-701-7320</v>
          </cell>
          <cell r="U639" t="str">
            <v>2022-04-01</v>
          </cell>
        </row>
        <row r="640">
          <cell r="C640" t="str">
            <v>R067</v>
          </cell>
          <cell r="D640" t="str">
            <v>Boyboy</v>
          </cell>
          <cell r="E640" t="str">
            <v>Sheena</v>
          </cell>
          <cell r="F640" t="str">
            <v>Cabaron</v>
          </cell>
          <cell r="G640" t="str">
            <v>Teteng</v>
          </cell>
          <cell r="H640" t="str">
            <v>0938-489-6410</v>
          </cell>
          <cell r="I640" t="str">
            <v>1998-12-30</v>
          </cell>
          <cell r="J640">
            <v>2</v>
          </cell>
          <cell r="K640">
            <v>1</v>
          </cell>
          <cell r="M640" t="str">
            <v>34-9176101-0</v>
          </cell>
          <cell r="N640" t="str">
            <v>363-232-070</v>
          </cell>
          <cell r="O640">
            <v>43</v>
          </cell>
          <cell r="P640">
            <v>492</v>
          </cell>
          <cell r="Q640">
            <v>55</v>
          </cell>
          <cell r="R640">
            <v>11</v>
          </cell>
          <cell r="S640">
            <v>0</v>
          </cell>
          <cell r="T640" t="str">
            <v>Marlyn B. Boyboy
0917-809-2709</v>
          </cell>
          <cell r="U640" t="str">
            <v>2022-04-01</v>
          </cell>
        </row>
        <row r="641">
          <cell r="C641" t="str">
            <v>R068</v>
          </cell>
          <cell r="D641" t="str">
            <v>Caalim</v>
          </cell>
          <cell r="E641" t="str">
            <v>Rennelyn</v>
          </cell>
          <cell r="F641" t="str">
            <v>Villamor</v>
          </cell>
          <cell r="G641" t="str">
            <v>Rhenny</v>
          </cell>
          <cell r="H641" t="str">
            <v>0927-930-0620</v>
          </cell>
          <cell r="I641" t="str">
            <v>2000-05-07</v>
          </cell>
          <cell r="J641">
            <v>2</v>
          </cell>
          <cell r="K641">
            <v>1</v>
          </cell>
          <cell r="M641" t="str">
            <v>04-4266308-9</v>
          </cell>
          <cell r="N641" t="str">
            <v>754-776-600</v>
          </cell>
          <cell r="O641">
            <v>43</v>
          </cell>
          <cell r="P641">
            <v>502</v>
          </cell>
          <cell r="Q641">
            <v>62</v>
          </cell>
          <cell r="R641">
            <v>12</v>
          </cell>
          <cell r="S641">
            <v>0</v>
          </cell>
          <cell r="T641" t="str">
            <v>Roselle Caniedo
Niugan, Cabuyao, Laguna
0977-479-9015</v>
          </cell>
          <cell r="U641" t="str">
            <v>2022-04-01</v>
          </cell>
        </row>
        <row r="642">
          <cell r="C642" t="str">
            <v>R069</v>
          </cell>
          <cell r="D642" t="str">
            <v>Campo</v>
          </cell>
          <cell r="E642" t="str">
            <v>Jeremy NiÃ±o</v>
          </cell>
          <cell r="F642">
            <v>0</v>
          </cell>
          <cell r="G642" t="str">
            <v>NiÃ±o</v>
          </cell>
          <cell r="H642" t="str">
            <v>0997-951-8825</v>
          </cell>
          <cell r="I642" t="str">
            <v>2001-01-12</v>
          </cell>
          <cell r="J642">
            <v>1</v>
          </cell>
          <cell r="K642">
            <v>1</v>
          </cell>
          <cell r="M642" t="str">
            <v>34-9384118-7</v>
          </cell>
          <cell r="N642" t="str">
            <v>371-961-965</v>
          </cell>
          <cell r="O642">
            <v>43</v>
          </cell>
          <cell r="P642">
            <v>493</v>
          </cell>
          <cell r="Q642">
            <v>55</v>
          </cell>
          <cell r="R642">
            <v>11</v>
          </cell>
          <cell r="S642">
            <v>0</v>
          </cell>
          <cell r="T642" t="str">
            <v>Ronaldo Lora
Phase 3 Cluster, Mabuhay,
Mamatid, Cabuyao, Laguna
0909-816-8602</v>
          </cell>
          <cell r="U642" t="str">
            <v>2022-04-01</v>
          </cell>
        </row>
        <row r="643">
          <cell r="C643" t="str">
            <v>R070</v>
          </cell>
          <cell r="D643" t="str">
            <v>Canduli</v>
          </cell>
          <cell r="E643" t="str">
            <v>Boting</v>
          </cell>
          <cell r="F643" t="str">
            <v>Lodrigo</v>
          </cell>
          <cell r="G643" t="str">
            <v>Boting</v>
          </cell>
          <cell r="H643" t="str">
            <v>0951-602-4794</v>
          </cell>
          <cell r="I643" t="str">
            <v>1996-03-20</v>
          </cell>
          <cell r="J643">
            <v>1</v>
          </cell>
          <cell r="K643">
            <v>1</v>
          </cell>
          <cell r="M643" t="str">
            <v>34-9209958-7</v>
          </cell>
          <cell r="N643" t="str">
            <v>765-576-759</v>
          </cell>
          <cell r="O643">
            <v>43</v>
          </cell>
          <cell r="P643">
            <v>492</v>
          </cell>
          <cell r="Q643">
            <v>55</v>
          </cell>
          <cell r="R643">
            <v>11</v>
          </cell>
          <cell r="S643">
            <v>0</v>
          </cell>
          <cell r="T643" t="str">
            <v>Doris L. Canduli
Purok 3, Calamba City, Laguna
0906-731-0734</v>
          </cell>
          <cell r="U643" t="str">
            <v>2022-04-01</v>
          </cell>
        </row>
        <row r="644">
          <cell r="C644" t="str">
            <v>R071</v>
          </cell>
          <cell r="D644" t="str">
            <v>Capalungan</v>
          </cell>
          <cell r="E644" t="str">
            <v>Leomar</v>
          </cell>
          <cell r="F644" t="str">
            <v>CaÃ±utal</v>
          </cell>
          <cell r="G644" t="str">
            <v>Mar</v>
          </cell>
          <cell r="H644" t="str">
            <v>0956-796-3828</v>
          </cell>
          <cell r="I644" t="str">
            <v>1996-05-09</v>
          </cell>
          <cell r="J644">
            <v>1</v>
          </cell>
          <cell r="K644">
            <v>1</v>
          </cell>
          <cell r="M644" t="str">
            <v>05-1262334-4</v>
          </cell>
          <cell r="N644" t="str">
            <v>323-631-262</v>
          </cell>
          <cell r="O644">
            <v>43</v>
          </cell>
          <cell r="P644">
            <v>502</v>
          </cell>
          <cell r="Q644">
            <v>62</v>
          </cell>
          <cell r="R644">
            <v>12</v>
          </cell>
          <cell r="S644">
            <v>0</v>
          </cell>
          <cell r="T644" t="str">
            <v>Corazon P. CaÃ±utal
Bgy. Turbina, Calamba, Laguna
0947-570-5262</v>
          </cell>
          <cell r="U644" t="str">
            <v>2022-04-01</v>
          </cell>
        </row>
        <row r="645">
          <cell r="C645" t="str">
            <v>R072</v>
          </cell>
          <cell r="D645" t="str">
            <v>Castro</v>
          </cell>
          <cell r="E645" t="str">
            <v>Emmanuel</v>
          </cell>
          <cell r="F645" t="str">
            <v>Cardines</v>
          </cell>
          <cell r="G645" t="str">
            <v>Eman</v>
          </cell>
          <cell r="H645" t="str">
            <v>0991-229-8885</v>
          </cell>
          <cell r="I645" t="str">
            <v>2001-01-25</v>
          </cell>
          <cell r="J645">
            <v>1</v>
          </cell>
          <cell r="K645">
            <v>1</v>
          </cell>
          <cell r="M645" t="str">
            <v>04-4189913-9</v>
          </cell>
          <cell r="N645" t="str">
            <v>762-865-942</v>
          </cell>
          <cell r="O645">
            <v>43</v>
          </cell>
          <cell r="P645">
            <v>492</v>
          </cell>
          <cell r="Q645">
            <v>55</v>
          </cell>
          <cell r="R645">
            <v>11</v>
          </cell>
          <cell r="S645">
            <v>0</v>
          </cell>
          <cell r="T645" t="str">
            <v>Merry Grace Cardines
Blk 15 Lot 118 Southville I,
Marinig, Cabuyao, Laguna
0915-112-9503</v>
          </cell>
          <cell r="U645" t="str">
            <v>2022-04-01</v>
          </cell>
        </row>
        <row r="646">
          <cell r="C646" t="str">
            <v>R073</v>
          </cell>
          <cell r="D646" t="str">
            <v>Catindig</v>
          </cell>
          <cell r="E646" t="str">
            <v>Joneleen</v>
          </cell>
          <cell r="F646" t="str">
            <v>Ranchez</v>
          </cell>
          <cell r="G646" t="str">
            <v>Jen</v>
          </cell>
          <cell r="H646" t="str">
            <v>0919-736-4769</v>
          </cell>
          <cell r="I646" t="str">
            <v>2000-10-24</v>
          </cell>
          <cell r="J646">
            <v>2</v>
          </cell>
          <cell r="K646">
            <v>1</v>
          </cell>
          <cell r="M646" t="str">
            <v>34-8915819-8</v>
          </cell>
          <cell r="N646" t="str">
            <v>360-779-138</v>
          </cell>
          <cell r="O646">
            <v>43</v>
          </cell>
          <cell r="P646">
            <v>502</v>
          </cell>
          <cell r="Q646">
            <v>62</v>
          </cell>
          <cell r="R646">
            <v>12</v>
          </cell>
          <cell r="S646">
            <v>0</v>
          </cell>
          <cell r="T646" t="str">
            <v>Jonel Catindig
0906-726-6410</v>
          </cell>
          <cell r="U646" t="str">
            <v>2022-04-01</v>
          </cell>
        </row>
        <row r="647">
          <cell r="C647" t="str">
            <v>R074</v>
          </cell>
          <cell r="D647" t="str">
            <v>Cunan</v>
          </cell>
          <cell r="E647" t="str">
            <v>Donna May</v>
          </cell>
          <cell r="F647" t="str">
            <v>Baliwag</v>
          </cell>
          <cell r="G647" t="str">
            <v>DM</v>
          </cell>
          <cell r="H647" t="str">
            <v>0956-119-3070</v>
          </cell>
          <cell r="I647" t="str">
            <v>1987-09-22</v>
          </cell>
          <cell r="J647">
            <v>2</v>
          </cell>
          <cell r="K647">
            <v>2</v>
          </cell>
          <cell r="L647" t="str">
            <v>Jerome Castro Cunan</v>
          </cell>
          <cell r="M647" t="str">
            <v>04-1573706-5</v>
          </cell>
          <cell r="N647" t="str">
            <v>237-763-622</v>
          </cell>
          <cell r="O647">
            <v>40</v>
          </cell>
          <cell r="P647">
            <v>488</v>
          </cell>
          <cell r="Q647">
            <v>58</v>
          </cell>
          <cell r="R647">
            <v>11</v>
          </cell>
          <cell r="S647">
            <v>0</v>
          </cell>
          <cell r="T647" t="str">
            <v>Jerome C. Cunan
27B Dona Feliza Vill,
Paciano Rizal, Calamba City
0991-889-3346</v>
          </cell>
          <cell r="U647" t="str">
            <v>2022-04-01</v>
          </cell>
        </row>
        <row r="648">
          <cell r="C648" t="str">
            <v>R075</v>
          </cell>
          <cell r="D648" t="str">
            <v>De Guzman</v>
          </cell>
          <cell r="E648" t="str">
            <v>Jingle</v>
          </cell>
          <cell r="F648" t="str">
            <v>Caranto</v>
          </cell>
          <cell r="G648" t="str">
            <v>Jhing</v>
          </cell>
          <cell r="H648" t="str">
            <v>0938-456-6483</v>
          </cell>
          <cell r="I648" t="str">
            <v>1989-08-23</v>
          </cell>
          <cell r="J648">
            <v>2</v>
          </cell>
          <cell r="K648">
            <v>1</v>
          </cell>
          <cell r="M648" t="str">
            <v>34-0782050-5</v>
          </cell>
          <cell r="N648" t="str">
            <v>331-461-230</v>
          </cell>
          <cell r="O648">
            <v>43</v>
          </cell>
          <cell r="P648">
            <v>502</v>
          </cell>
          <cell r="Q648">
            <v>62</v>
          </cell>
          <cell r="R648">
            <v>12</v>
          </cell>
          <cell r="S648">
            <v>0</v>
          </cell>
          <cell r="T648" t="str">
            <v>Jinky MuÃ±oz
Blk44 Lot75 Birmingham Vill,
Pulo, Cabuyao City, Laguna
0943-016-3455</v>
          </cell>
          <cell r="U648" t="str">
            <v>2022-04-01</v>
          </cell>
        </row>
        <row r="649">
          <cell r="C649" t="str">
            <v>R079</v>
          </cell>
          <cell r="D649" t="str">
            <v>Escorido</v>
          </cell>
          <cell r="E649" t="str">
            <v>Mary Rose</v>
          </cell>
          <cell r="F649" t="str">
            <v>Vichozo</v>
          </cell>
          <cell r="G649" t="str">
            <v>Rose</v>
          </cell>
          <cell r="H649" t="str">
            <v>0949-977-8505</v>
          </cell>
          <cell r="I649" t="str">
            <v>1995-12-14</v>
          </cell>
          <cell r="J649">
            <v>2</v>
          </cell>
          <cell r="K649">
            <v>1</v>
          </cell>
          <cell r="M649" t="str">
            <v>04-3848564-0</v>
          </cell>
          <cell r="N649" t="str">
            <v>335-624-688</v>
          </cell>
          <cell r="O649">
            <v>43</v>
          </cell>
          <cell r="P649">
            <v>492</v>
          </cell>
          <cell r="Q649">
            <v>55</v>
          </cell>
          <cell r="R649">
            <v>11</v>
          </cell>
          <cell r="S649">
            <v>0</v>
          </cell>
          <cell r="T649" t="str">
            <v>Reynaldo L. Escorido
Bgy. A. Mabini, Guinayangan, Quezon
0912-469-6959</v>
          </cell>
          <cell r="U649" t="str">
            <v>2022-04-01</v>
          </cell>
        </row>
        <row r="650">
          <cell r="C650" t="str">
            <v>R080</v>
          </cell>
          <cell r="D650" t="str">
            <v>Estrael</v>
          </cell>
          <cell r="E650" t="str">
            <v>Salvacion</v>
          </cell>
          <cell r="F650" t="str">
            <v>Lizardo</v>
          </cell>
          <cell r="G650" t="str">
            <v>Sionn</v>
          </cell>
          <cell r="H650" t="str">
            <v>0949-890-4147</v>
          </cell>
          <cell r="I650" t="str">
            <v>2001-05-15</v>
          </cell>
          <cell r="J650">
            <v>2</v>
          </cell>
          <cell r="K650">
            <v>1</v>
          </cell>
          <cell r="M650" t="str">
            <v>34-8918833-3</v>
          </cell>
          <cell r="N650" t="str">
            <v>362-217-746</v>
          </cell>
          <cell r="O650">
            <v>43</v>
          </cell>
          <cell r="P650">
            <v>492</v>
          </cell>
          <cell r="Q650">
            <v>55</v>
          </cell>
          <cell r="R650">
            <v>11</v>
          </cell>
          <cell r="S650">
            <v>0</v>
          </cell>
          <cell r="T650" t="str">
            <v>Ma. Ana L. Estrael
Taisan, Sipocot, Camarines Sur
0951-015-3253</v>
          </cell>
          <cell r="U650" t="str">
            <v>2022-04-01</v>
          </cell>
        </row>
        <row r="651">
          <cell r="C651" t="str">
            <v>R081</v>
          </cell>
          <cell r="D651" t="str">
            <v>Factor</v>
          </cell>
          <cell r="E651" t="str">
            <v>Realyn</v>
          </cell>
          <cell r="F651" t="str">
            <v>Demandaco</v>
          </cell>
          <cell r="G651" t="str">
            <v>Rea</v>
          </cell>
          <cell r="H651" t="str">
            <v>0951-524-1833</v>
          </cell>
          <cell r="I651" t="str">
            <v>1999-02-20</v>
          </cell>
          <cell r="J651">
            <v>2</v>
          </cell>
          <cell r="K651">
            <v>1</v>
          </cell>
          <cell r="M651" t="str">
            <v>05-1444372-6</v>
          </cell>
          <cell r="N651" t="str">
            <v>745-415-048</v>
          </cell>
          <cell r="O651">
            <v>43</v>
          </cell>
          <cell r="P651">
            <v>502</v>
          </cell>
          <cell r="Q651">
            <v>62</v>
          </cell>
          <cell r="R651">
            <v>12</v>
          </cell>
          <cell r="S651">
            <v>0</v>
          </cell>
          <cell r="T651" t="str">
            <v>Michael R. Magbiray
Purok 5, Paciano Rizal,
Calamba City, Laguna
0909-114-3911</v>
          </cell>
          <cell r="U651" t="str">
            <v>2022-04-01</v>
          </cell>
        </row>
        <row r="652">
          <cell r="C652" t="str">
            <v>R082</v>
          </cell>
          <cell r="D652" t="str">
            <v>Faller</v>
          </cell>
          <cell r="E652" t="str">
            <v>Margerry</v>
          </cell>
          <cell r="F652" t="str">
            <v>Veluz</v>
          </cell>
          <cell r="G652" t="str">
            <v>Marge</v>
          </cell>
          <cell r="H652" t="str">
            <v>0966-283-7860</v>
          </cell>
          <cell r="I652" t="str">
            <v>1992-05-19</v>
          </cell>
          <cell r="J652">
            <v>2</v>
          </cell>
          <cell r="K652">
            <v>1</v>
          </cell>
          <cell r="M652" t="str">
            <v>04-2918703-8</v>
          </cell>
          <cell r="N652" t="str">
            <v>326-391-157</v>
          </cell>
          <cell r="O652">
            <v>43</v>
          </cell>
          <cell r="P652">
            <v>493</v>
          </cell>
          <cell r="Q652">
            <v>55</v>
          </cell>
          <cell r="R652">
            <v>11</v>
          </cell>
          <cell r="S652">
            <v>0</v>
          </cell>
          <cell r="T652" t="str">
            <v>Marivic V. Faller
NaÃ±awa Compd, Bgy. Ayuti,
Lucban, Quezon
0912-394-3999</v>
          </cell>
          <cell r="U652" t="str">
            <v>2022-04-01</v>
          </cell>
        </row>
        <row r="653">
          <cell r="C653" t="str">
            <v>R083</v>
          </cell>
          <cell r="D653" t="str">
            <v>Garcia</v>
          </cell>
          <cell r="E653" t="str">
            <v>Jeantel</v>
          </cell>
          <cell r="F653" t="str">
            <v>Saludes</v>
          </cell>
          <cell r="G653" t="str">
            <v>Enthel</v>
          </cell>
          <cell r="H653" t="str">
            <v>0998-404-7557</v>
          </cell>
          <cell r="I653" t="str">
            <v>1993-08-13</v>
          </cell>
          <cell r="J653">
            <v>2</v>
          </cell>
          <cell r="K653">
            <v>1</v>
          </cell>
          <cell r="M653" t="str">
            <v>04-4169097-2</v>
          </cell>
          <cell r="N653" t="str">
            <v>359-440-611</v>
          </cell>
          <cell r="O653">
            <v>43</v>
          </cell>
          <cell r="P653">
            <v>502</v>
          </cell>
          <cell r="Q653">
            <v>62</v>
          </cell>
          <cell r="R653">
            <v>12</v>
          </cell>
          <cell r="S653">
            <v>0</v>
          </cell>
          <cell r="T653" t="str">
            <v>Efren G. Taytay
Bgy. Langkiwa, Southville,
BiÃ±an, Laguna
0919-870-2175</v>
          </cell>
          <cell r="U653" t="str">
            <v>2022-04-01</v>
          </cell>
        </row>
        <row r="654">
          <cell r="C654" t="str">
            <v>R084</v>
          </cell>
          <cell r="D654" t="str">
            <v>Giron</v>
          </cell>
          <cell r="E654" t="str">
            <v>Jennilyn</v>
          </cell>
          <cell r="F654" t="str">
            <v>Jovellano</v>
          </cell>
          <cell r="G654" t="str">
            <v>Jenn</v>
          </cell>
          <cell r="H654" t="str">
            <v>0935-345-0760</v>
          </cell>
          <cell r="I654" t="str">
            <v>1988-01-03</v>
          </cell>
          <cell r="J654">
            <v>2</v>
          </cell>
          <cell r="K654">
            <v>1</v>
          </cell>
          <cell r="M654" t="str">
            <v>04-1700956-8</v>
          </cell>
          <cell r="N654" t="str">
            <v>299-208-745</v>
          </cell>
          <cell r="O654">
            <v>43</v>
          </cell>
          <cell r="P654">
            <v>492</v>
          </cell>
          <cell r="Q654">
            <v>55</v>
          </cell>
          <cell r="R654">
            <v>11</v>
          </cell>
          <cell r="S654">
            <v>0</v>
          </cell>
          <cell r="T654" t="str">
            <v>Zenaida J. Giron
Blk 17 Lot 01 Cazandra Homes,
Banlic, Cabuyao, Laguna
0965-162-4075</v>
          </cell>
          <cell r="U654" t="str">
            <v>2022-04-01</v>
          </cell>
        </row>
        <row r="655">
          <cell r="C655" t="str">
            <v>R085</v>
          </cell>
          <cell r="D655" t="str">
            <v>Golita</v>
          </cell>
          <cell r="E655" t="str">
            <v>Ferdinand</v>
          </cell>
          <cell r="F655" t="str">
            <v>Gripon</v>
          </cell>
          <cell r="G655" t="str">
            <v>Ferdz</v>
          </cell>
          <cell r="H655" t="str">
            <v>0951-602-1958</v>
          </cell>
          <cell r="I655" t="str">
            <v>1986-09-08</v>
          </cell>
          <cell r="J655">
            <v>1</v>
          </cell>
          <cell r="K655">
            <v>1</v>
          </cell>
          <cell r="M655" t="str">
            <v>34-4564835-4</v>
          </cell>
          <cell r="N655" t="str">
            <v>359-655-859</v>
          </cell>
          <cell r="O655">
            <v>43</v>
          </cell>
          <cell r="P655">
            <v>493</v>
          </cell>
          <cell r="Q655">
            <v>55</v>
          </cell>
          <cell r="R655">
            <v>11</v>
          </cell>
          <cell r="S655">
            <v>0</v>
          </cell>
          <cell r="T655" t="str">
            <v>Girlie Borral
221 Palmera, Real, 
Calamba City, Laguna
0951-602-1958</v>
          </cell>
          <cell r="U655" t="str">
            <v>2022-04-01</v>
          </cell>
        </row>
        <row r="656">
          <cell r="C656" t="str">
            <v>R086</v>
          </cell>
          <cell r="D656" t="str">
            <v>Guillermo Jr</v>
          </cell>
          <cell r="E656" t="str">
            <v>Efren</v>
          </cell>
          <cell r="F656" t="str">
            <v>Garcia</v>
          </cell>
          <cell r="G656" t="str">
            <v>Fren</v>
          </cell>
          <cell r="H656" t="str">
            <v>0997-296-9749</v>
          </cell>
          <cell r="I656" t="str">
            <v>1996-05-18</v>
          </cell>
          <cell r="J656">
            <v>1</v>
          </cell>
          <cell r="K656">
            <v>2</v>
          </cell>
          <cell r="L656" t="str">
            <v>Janine Turo Delumen</v>
          </cell>
          <cell r="M656" t="str">
            <v>04-2976358-8</v>
          </cell>
          <cell r="N656" t="str">
            <v>387-726-473</v>
          </cell>
          <cell r="O656">
            <v>43</v>
          </cell>
          <cell r="P656">
            <v>502</v>
          </cell>
          <cell r="Q656">
            <v>62</v>
          </cell>
          <cell r="R656">
            <v>12</v>
          </cell>
          <cell r="S656">
            <v>0</v>
          </cell>
          <cell r="T656" t="str">
            <v>Janine D. Guillermo
Blk8 Lot45 M. Alcalde Rising Villas,
BaÃ±adero, Calamba, Laguna
0997-642-3538</v>
          </cell>
          <cell r="U656" t="str">
            <v>2022-04-01</v>
          </cell>
        </row>
        <row r="657">
          <cell r="C657" t="str">
            <v>R087</v>
          </cell>
          <cell r="D657" t="str">
            <v>Hibano</v>
          </cell>
          <cell r="E657" t="str">
            <v>Paulo</v>
          </cell>
          <cell r="F657" t="str">
            <v>Hina</v>
          </cell>
          <cell r="G657" t="str">
            <v>Pau</v>
          </cell>
          <cell r="H657" t="str">
            <v>0999-966-8148</v>
          </cell>
          <cell r="I657" t="str">
            <v>1999-12-07</v>
          </cell>
          <cell r="J657">
            <v>1</v>
          </cell>
          <cell r="K657">
            <v>1</v>
          </cell>
          <cell r="M657" t="str">
            <v>04-4064861-1</v>
          </cell>
          <cell r="N657" t="str">
            <v>346-129-369</v>
          </cell>
          <cell r="O657">
            <v>43</v>
          </cell>
          <cell r="P657">
            <v>502</v>
          </cell>
          <cell r="Q657">
            <v>62</v>
          </cell>
          <cell r="R657">
            <v>12</v>
          </cell>
          <cell r="S657">
            <v>0</v>
          </cell>
          <cell r="T657" t="str">
            <v>Melania H. Hibano
Bgy. Looc, Calamba, Laguna
0950-513-9829</v>
          </cell>
          <cell r="U657" t="str">
            <v>2022-04-01</v>
          </cell>
        </row>
        <row r="658">
          <cell r="C658" t="str">
            <v>R088</v>
          </cell>
          <cell r="D658" t="str">
            <v>Isipin</v>
          </cell>
          <cell r="E658" t="str">
            <v>Liezel</v>
          </cell>
          <cell r="F658" t="str">
            <v>Amantoy</v>
          </cell>
          <cell r="G658" t="str">
            <v>Lhiess</v>
          </cell>
          <cell r="H658" t="str">
            <v>0920-372-6699</v>
          </cell>
          <cell r="I658" t="str">
            <v>1994-11-24</v>
          </cell>
          <cell r="J658">
            <v>2</v>
          </cell>
          <cell r="K658">
            <v>1</v>
          </cell>
          <cell r="M658" t="str">
            <v>04-3979498-7</v>
          </cell>
          <cell r="N658" t="str">
            <v>707-246-913</v>
          </cell>
          <cell r="O658">
            <v>43</v>
          </cell>
          <cell r="P658">
            <v>493</v>
          </cell>
          <cell r="Q658">
            <v>55</v>
          </cell>
          <cell r="R658">
            <v>11</v>
          </cell>
          <cell r="S658">
            <v>0</v>
          </cell>
          <cell r="T658" t="str">
            <v>Mylene Isipin
Bgy. Gomez, Lopez, Quezon
0948-058-2059</v>
          </cell>
          <cell r="U658" t="str">
            <v>2022-04-01</v>
          </cell>
        </row>
        <row r="659">
          <cell r="C659" t="str">
            <v>R089</v>
          </cell>
          <cell r="D659" t="str">
            <v>Jamito</v>
          </cell>
          <cell r="E659" t="str">
            <v>Jamewel</v>
          </cell>
          <cell r="F659" t="str">
            <v>Liza</v>
          </cell>
          <cell r="G659" t="str">
            <v>Jamewel</v>
          </cell>
          <cell r="H659" t="str">
            <v>0910-129-4885</v>
          </cell>
          <cell r="I659" t="str">
            <v>1998-08-07</v>
          </cell>
          <cell r="J659">
            <v>1</v>
          </cell>
          <cell r="K659">
            <v>1</v>
          </cell>
          <cell r="M659" t="str">
            <v>04-4122960-2</v>
          </cell>
          <cell r="N659" t="str">
            <v>388-965-459</v>
          </cell>
          <cell r="O659">
            <v>43</v>
          </cell>
          <cell r="P659">
            <v>502</v>
          </cell>
          <cell r="Q659">
            <v>62</v>
          </cell>
          <cell r="R659">
            <v>12</v>
          </cell>
          <cell r="S659">
            <v>0</v>
          </cell>
          <cell r="T659" t="str">
            <v>Jhomel Rey Jamito
Bgy. Langkaan 1, PUrok 5
Dasmarinas, Cavite
0927-805-2129</v>
          </cell>
          <cell r="U659" t="str">
            <v>2022-04-01</v>
          </cell>
        </row>
        <row r="660">
          <cell r="C660" t="str">
            <v>R090</v>
          </cell>
          <cell r="D660" t="str">
            <v>Janquin</v>
          </cell>
          <cell r="E660" t="str">
            <v>Ana Jean</v>
          </cell>
          <cell r="F660" t="str">
            <v>Bandillo</v>
          </cell>
          <cell r="G660" t="str">
            <v>Ana</v>
          </cell>
          <cell r="H660" t="str">
            <v>0920-798-8772</v>
          </cell>
          <cell r="I660" t="str">
            <v>1988-05-07</v>
          </cell>
          <cell r="J660">
            <v>2</v>
          </cell>
          <cell r="K660">
            <v>1</v>
          </cell>
          <cell r="M660" t="str">
            <v>04-1789065-4</v>
          </cell>
          <cell r="N660" t="str">
            <v>377-067-396</v>
          </cell>
          <cell r="O660">
            <v>43</v>
          </cell>
          <cell r="P660">
            <v>502</v>
          </cell>
          <cell r="Q660">
            <v>62</v>
          </cell>
          <cell r="R660">
            <v>12</v>
          </cell>
          <cell r="S660">
            <v>0</v>
          </cell>
          <cell r="T660" t="str">
            <v>Alvin B. Janquin
Bgy. Siranglupa, Canlubang,
Calamba City, Laguna
0938-458-4963</v>
          </cell>
          <cell r="U660" t="str">
            <v>2022-04-01</v>
          </cell>
        </row>
        <row r="661">
          <cell r="C661" t="str">
            <v>R092</v>
          </cell>
          <cell r="D661" t="str">
            <v>Jimenez</v>
          </cell>
          <cell r="E661" t="str">
            <v>Emar Jake</v>
          </cell>
          <cell r="F661" t="str">
            <v>Juan</v>
          </cell>
          <cell r="G661" t="str">
            <v>Jake</v>
          </cell>
          <cell r="H661" t="str">
            <v>0998-928-0110</v>
          </cell>
          <cell r="I661" t="str">
            <v>1991-05-01</v>
          </cell>
          <cell r="J661">
            <v>1</v>
          </cell>
          <cell r="K661">
            <v>1</v>
          </cell>
          <cell r="M661" t="str">
            <v>04-2159948-8</v>
          </cell>
          <cell r="N661" t="str">
            <v>293-721-176</v>
          </cell>
          <cell r="O661">
            <v>43</v>
          </cell>
          <cell r="P661">
            <v>502</v>
          </cell>
          <cell r="Q661">
            <v>62</v>
          </cell>
          <cell r="R661">
            <v>12</v>
          </cell>
          <cell r="S661">
            <v>0</v>
          </cell>
          <cell r="T661" t="str">
            <v>Marissa J. Jimenez
Sitio Ilaya, Bgy. Diezmo,
Cabuyao City, Laguna
0921-711-4482</v>
          </cell>
          <cell r="U661" t="str">
            <v>2022-04-01</v>
          </cell>
        </row>
        <row r="662">
          <cell r="C662" t="str">
            <v>R093</v>
          </cell>
          <cell r="D662" t="str">
            <v>Limpiado</v>
          </cell>
          <cell r="E662" t="str">
            <v>Charity</v>
          </cell>
          <cell r="F662" t="str">
            <v>Carel</v>
          </cell>
          <cell r="G662" t="str">
            <v>Cha</v>
          </cell>
          <cell r="H662" t="str">
            <v>0948-784-9455</v>
          </cell>
          <cell r="I662" t="str">
            <v>1990-09-24</v>
          </cell>
          <cell r="J662">
            <v>2</v>
          </cell>
          <cell r="K662">
            <v>1</v>
          </cell>
          <cell r="M662" t="str">
            <v>34-8658022-2</v>
          </cell>
          <cell r="N662" t="str">
            <v>222-937-360</v>
          </cell>
          <cell r="O662">
            <v>43</v>
          </cell>
          <cell r="P662">
            <v>502</v>
          </cell>
          <cell r="Q662">
            <v>62</v>
          </cell>
          <cell r="R662">
            <v>12</v>
          </cell>
          <cell r="S662">
            <v>0</v>
          </cell>
          <cell r="T662" t="str">
            <v>Mac Oneil Dador
119 Limcaoco St, Poblacion Uno,
Cabuyao City, Laguna
0945-823-0137</v>
          </cell>
          <cell r="U662" t="str">
            <v>2022-04-01</v>
          </cell>
        </row>
        <row r="663">
          <cell r="C663" t="str">
            <v>R095</v>
          </cell>
          <cell r="D663" t="str">
            <v>Oca</v>
          </cell>
          <cell r="E663" t="str">
            <v>Joan</v>
          </cell>
          <cell r="F663" t="str">
            <v>Longasa</v>
          </cell>
          <cell r="G663" t="str">
            <v>Jho</v>
          </cell>
          <cell r="H663" t="str">
            <v>0963-319-3328</v>
          </cell>
          <cell r="I663" t="str">
            <v>1995-06-26</v>
          </cell>
          <cell r="J663">
            <v>2</v>
          </cell>
          <cell r="K663">
            <v>2</v>
          </cell>
          <cell r="L663" t="str">
            <v>Jolan Salabsab Oca</v>
          </cell>
          <cell r="M663" t="str">
            <v>05-1325728-5</v>
          </cell>
          <cell r="N663" t="str">
            <v>717-846-653</v>
          </cell>
          <cell r="O663">
            <v>43</v>
          </cell>
          <cell r="P663">
            <v>493</v>
          </cell>
          <cell r="Q663">
            <v>55</v>
          </cell>
          <cell r="R663">
            <v>11</v>
          </cell>
          <cell r="S663">
            <v>0</v>
          </cell>
          <cell r="T663" t="str">
            <v>Jolan S. Oca
Bgy. Milagrosa, Calamba, Laguna
0999-661-1439</v>
          </cell>
          <cell r="U663" t="str">
            <v>2022-04-01</v>
          </cell>
        </row>
        <row r="664">
          <cell r="C664" t="str">
            <v>R096</v>
          </cell>
          <cell r="D664" t="str">
            <v>Lopez</v>
          </cell>
          <cell r="E664" t="str">
            <v>Rochelle</v>
          </cell>
          <cell r="F664" t="str">
            <v>Lumibao</v>
          </cell>
          <cell r="G664" t="str">
            <v>Chelle</v>
          </cell>
          <cell r="H664" t="str">
            <v>0953-309-0246</v>
          </cell>
          <cell r="I664" t="str">
            <v>1992-07-25</v>
          </cell>
          <cell r="J664">
            <v>2</v>
          </cell>
          <cell r="K664">
            <v>2</v>
          </cell>
          <cell r="M664" t="str">
            <v>04-2287630-4</v>
          </cell>
          <cell r="N664" t="str">
            <v>311-324-824</v>
          </cell>
          <cell r="O664">
            <v>43</v>
          </cell>
          <cell r="P664">
            <v>492</v>
          </cell>
          <cell r="Q664">
            <v>55</v>
          </cell>
          <cell r="R664">
            <v>11</v>
          </cell>
          <cell r="S664">
            <v>0</v>
          </cell>
          <cell r="T664" t="str">
            <v>Ronnel L. Lopez
B25 L14 Ph7 Extraordinary Homes,
Mabuhay City, Mamatid, Cabuyao, Laguna
0997-658-9177</v>
          </cell>
          <cell r="U664" t="str">
            <v>2022-04-01</v>
          </cell>
        </row>
        <row r="665">
          <cell r="C665" t="str">
            <v>R098</v>
          </cell>
          <cell r="D665" t="str">
            <v>Magboo</v>
          </cell>
          <cell r="E665" t="str">
            <v>Christine</v>
          </cell>
          <cell r="F665" t="str">
            <v>Dipasupil</v>
          </cell>
          <cell r="G665" t="str">
            <v>Tine-Tine</v>
          </cell>
          <cell r="H665" t="str">
            <v>0910-318-9239</v>
          </cell>
          <cell r="I665" t="str">
            <v>1982-09-28</v>
          </cell>
          <cell r="J665">
            <v>2</v>
          </cell>
          <cell r="K665">
            <v>1</v>
          </cell>
          <cell r="M665" t="str">
            <v>04-1120266-2</v>
          </cell>
          <cell r="N665" t="str">
            <v>210-869-542</v>
          </cell>
          <cell r="O665">
            <v>43</v>
          </cell>
          <cell r="P665">
            <v>502</v>
          </cell>
          <cell r="Q665">
            <v>62</v>
          </cell>
          <cell r="R665">
            <v>12</v>
          </cell>
          <cell r="S665">
            <v>0</v>
          </cell>
          <cell r="T665" t="str">
            <v>Christine Joy D. Par
Bgy. Silangan Maligaya,
Agdangan, Quezon
0919-525-6260</v>
          </cell>
          <cell r="U665" t="str">
            <v>2022-04-01</v>
          </cell>
        </row>
        <row r="666">
          <cell r="C666" t="str">
            <v>R099</v>
          </cell>
          <cell r="D666" t="str">
            <v>Medalla</v>
          </cell>
          <cell r="E666" t="str">
            <v>Rosemarie</v>
          </cell>
          <cell r="F666" t="str">
            <v>Coronado</v>
          </cell>
          <cell r="G666" t="str">
            <v>Arem</v>
          </cell>
          <cell r="H666" t="str">
            <v>0931-916-5215</v>
          </cell>
          <cell r="I666" t="str">
            <v>1999-09-25</v>
          </cell>
          <cell r="J666">
            <v>2</v>
          </cell>
          <cell r="K666">
            <v>1</v>
          </cell>
          <cell r="M666" t="str">
            <v>04-4047846-7</v>
          </cell>
          <cell r="N666" t="str">
            <v>727-146-892</v>
          </cell>
          <cell r="O666">
            <v>43</v>
          </cell>
          <cell r="P666">
            <v>502</v>
          </cell>
          <cell r="Q666">
            <v>62</v>
          </cell>
          <cell r="R666">
            <v>12</v>
          </cell>
          <cell r="S666">
            <v>0</v>
          </cell>
          <cell r="T666" t="str">
            <v>Richard Coronado
P2 Blk31 Lot42 Villa Sta. Rosa,
Bgy. Caingin, Sta. Rosa, Laguna
0925-483-7012</v>
          </cell>
          <cell r="U666" t="str">
            <v>2022-04-01</v>
          </cell>
        </row>
        <row r="667">
          <cell r="C667" t="str">
            <v>R116</v>
          </cell>
          <cell r="D667" t="str">
            <v>Rolluque</v>
          </cell>
          <cell r="E667" t="str">
            <v>Ella Mae</v>
          </cell>
          <cell r="F667" t="str">
            <v>Rosales</v>
          </cell>
          <cell r="G667" t="str">
            <v>Ella</v>
          </cell>
          <cell r="H667">
            <v>9319396868</v>
          </cell>
          <cell r="I667" t="str">
            <v>2000-10-22</v>
          </cell>
          <cell r="J667">
            <v>2</v>
          </cell>
          <cell r="K667">
            <v>1</v>
          </cell>
          <cell r="M667" t="str">
            <v>34-9762218-2</v>
          </cell>
          <cell r="N667" t="str">
            <v>382-795-244</v>
          </cell>
          <cell r="O667">
            <v>43</v>
          </cell>
          <cell r="P667">
            <v>502</v>
          </cell>
          <cell r="Q667">
            <v>62</v>
          </cell>
          <cell r="R667">
            <v>12</v>
          </cell>
          <cell r="S667">
            <v>0</v>
          </cell>
          <cell r="T667" t="str">
            <v>Florentina Magadia
Candelaria, Quezon
0926-521-3962</v>
          </cell>
          <cell r="U667" t="str">
            <v>2022-04-01</v>
          </cell>
        </row>
        <row r="668">
          <cell r="C668" t="str">
            <v>R117</v>
          </cell>
          <cell r="D668" t="str">
            <v>Romero Jr.</v>
          </cell>
          <cell r="E668" t="str">
            <v>Marciano</v>
          </cell>
          <cell r="F668" t="str">
            <v>Apagar</v>
          </cell>
          <cell r="G668" t="str">
            <v>Ciano</v>
          </cell>
          <cell r="H668">
            <v>9487047362</v>
          </cell>
          <cell r="I668" t="str">
            <v>1989-03-16</v>
          </cell>
          <cell r="J668">
            <v>1</v>
          </cell>
          <cell r="K668">
            <v>1</v>
          </cell>
          <cell r="M668" t="str">
            <v>04-2067943-5</v>
          </cell>
          <cell r="N668" t="str">
            <v>401-838-963</v>
          </cell>
          <cell r="O668">
            <v>43</v>
          </cell>
          <cell r="P668">
            <v>502</v>
          </cell>
          <cell r="Q668">
            <v>62</v>
          </cell>
          <cell r="R668">
            <v>12</v>
          </cell>
          <cell r="S668">
            <v>0</v>
          </cell>
          <cell r="T668" t="str">
            <v>Jemar Romero
09063008175</v>
          </cell>
          <cell r="U668" t="str">
            <v>2022-04-01</v>
          </cell>
        </row>
        <row r="669">
          <cell r="C669" t="str">
            <v>R118</v>
          </cell>
          <cell r="D669" t="str">
            <v>Samson</v>
          </cell>
          <cell r="E669" t="str">
            <v>Roxanne</v>
          </cell>
          <cell r="F669">
            <v>0</v>
          </cell>
          <cell r="G669" t="str">
            <v>Roxie</v>
          </cell>
          <cell r="H669">
            <v>9073791376</v>
          </cell>
          <cell r="I669" t="str">
            <v>1986-08-24</v>
          </cell>
          <cell r="J669">
            <v>2</v>
          </cell>
          <cell r="K669">
            <v>1</v>
          </cell>
          <cell r="M669" t="str">
            <v>33-9090806-8</v>
          </cell>
          <cell r="N669" t="str">
            <v>269-308-967</v>
          </cell>
          <cell r="O669">
            <v>43</v>
          </cell>
          <cell r="P669">
            <v>492</v>
          </cell>
          <cell r="Q669">
            <v>55</v>
          </cell>
          <cell r="R669">
            <v>11</v>
          </cell>
          <cell r="S669">
            <v>0</v>
          </cell>
          <cell r="T669" t="str">
            <v>Jude Biong
#035 Purok 1, Mamatid Cabuyao Laguna
0907379137-4</v>
          </cell>
          <cell r="U669" t="str">
            <v>2022-04-01</v>
          </cell>
        </row>
        <row r="670">
          <cell r="C670" t="str">
            <v>R103</v>
          </cell>
          <cell r="D670" t="str">
            <v>Nierva</v>
          </cell>
          <cell r="E670" t="str">
            <v>Ronalyn</v>
          </cell>
          <cell r="F670" t="str">
            <v>Verges</v>
          </cell>
          <cell r="G670" t="str">
            <v>Rhona</v>
          </cell>
          <cell r="H670" t="str">
            <v>0968-263-0937</v>
          </cell>
          <cell r="I670" t="str">
            <v>1989-12-22</v>
          </cell>
          <cell r="J670">
            <v>2</v>
          </cell>
          <cell r="K670">
            <v>2</v>
          </cell>
          <cell r="L670" t="str">
            <v>Mark Hency Gulmayo Nierva</v>
          </cell>
          <cell r="M670" t="str">
            <v>04-1944105-6</v>
          </cell>
          <cell r="N670" t="str">
            <v>262-311-592</v>
          </cell>
          <cell r="O670">
            <v>43</v>
          </cell>
          <cell r="P670">
            <v>502</v>
          </cell>
          <cell r="Q670">
            <v>62</v>
          </cell>
          <cell r="R670">
            <v>12</v>
          </cell>
          <cell r="S670">
            <v>0</v>
          </cell>
          <cell r="T670" t="str">
            <v>Mark Hency G. Nierva
746 Purok 5 CVL, Mayapa,
Calamba City, Laguna
0909-119-6130</v>
          </cell>
          <cell r="U670" t="str">
            <v>2022-04-01</v>
          </cell>
        </row>
        <row r="671">
          <cell r="C671" t="str">
            <v>R119</v>
          </cell>
          <cell r="D671" t="str">
            <v>Sarion</v>
          </cell>
          <cell r="E671" t="str">
            <v>Marie Joy</v>
          </cell>
          <cell r="F671" t="str">
            <v>Lanzuela</v>
          </cell>
          <cell r="G671" t="str">
            <v>Joy</v>
          </cell>
          <cell r="H671">
            <v>9100782017</v>
          </cell>
          <cell r="I671" t="str">
            <v>1994-08-24</v>
          </cell>
          <cell r="J671">
            <v>2</v>
          </cell>
          <cell r="K671">
            <v>1</v>
          </cell>
          <cell r="M671" t="str">
            <v>04-3877731-6</v>
          </cell>
          <cell r="N671" t="str">
            <v>336-757-246</v>
          </cell>
          <cell r="O671">
            <v>43</v>
          </cell>
          <cell r="P671">
            <v>493</v>
          </cell>
          <cell r="Q671">
            <v>55</v>
          </cell>
          <cell r="R671">
            <v>11</v>
          </cell>
          <cell r="S671">
            <v>0</v>
          </cell>
          <cell r="T671" t="str">
            <v>Jason L. Sarion
Blk 2 Lot 10 San Isidro Cabuyao Laguna
09654630252</v>
          </cell>
          <cell r="U671" t="str">
            <v>2022-04-01</v>
          </cell>
        </row>
        <row r="672">
          <cell r="C672" t="str">
            <v>R104</v>
          </cell>
          <cell r="D672" t="str">
            <v>Ogatis</v>
          </cell>
          <cell r="E672" t="str">
            <v>Mery Grace</v>
          </cell>
          <cell r="F672" t="str">
            <v>Juanitas</v>
          </cell>
          <cell r="G672" t="str">
            <v>Grace</v>
          </cell>
          <cell r="H672" t="str">
            <v>0951-747-4603</v>
          </cell>
          <cell r="I672" t="str">
            <v>1996-10-08</v>
          </cell>
          <cell r="J672">
            <v>2</v>
          </cell>
          <cell r="K672">
            <v>1</v>
          </cell>
          <cell r="M672" t="str">
            <v>34-5950403-1</v>
          </cell>
          <cell r="N672" t="str">
            <v>511-391-331</v>
          </cell>
          <cell r="O672">
            <v>43</v>
          </cell>
          <cell r="P672">
            <v>493</v>
          </cell>
          <cell r="Q672">
            <v>55</v>
          </cell>
          <cell r="R672">
            <v>11</v>
          </cell>
          <cell r="S672">
            <v>0</v>
          </cell>
          <cell r="T672" t="str">
            <v>Michael James Gutang
Blk23 Lot5B Lakeside Nest,
Banay-banay, Cabuyao, Laguna
0970-942-7423</v>
          </cell>
          <cell r="U672" t="str">
            <v>2022-04-01</v>
          </cell>
        </row>
        <row r="673">
          <cell r="C673" t="str">
            <v>R120</v>
          </cell>
          <cell r="D673" t="str">
            <v>Satsatin</v>
          </cell>
          <cell r="E673" t="str">
            <v>Ronna Mae</v>
          </cell>
          <cell r="F673" t="str">
            <v>Platilla</v>
          </cell>
          <cell r="G673" t="str">
            <v>Ronna</v>
          </cell>
          <cell r="H673">
            <v>9482002662</v>
          </cell>
          <cell r="I673" t="str">
            <v>1998-09-10</v>
          </cell>
          <cell r="J673">
            <v>2</v>
          </cell>
          <cell r="K673">
            <v>1</v>
          </cell>
          <cell r="M673" t="str">
            <v>34-9986002-3</v>
          </cell>
          <cell r="N673" t="str">
            <v>383-964-821</v>
          </cell>
          <cell r="O673">
            <v>43</v>
          </cell>
          <cell r="P673">
            <v>502</v>
          </cell>
          <cell r="Q673">
            <v>62</v>
          </cell>
          <cell r="R673">
            <v>12</v>
          </cell>
          <cell r="S673">
            <v>0</v>
          </cell>
          <cell r="T673" t="str">
            <v>Myra P. Satsatin
Blk.5 Lot 23 St. Francis 14 Balibago Sta. Rosa
09185944580</v>
          </cell>
          <cell r="U673" t="str">
            <v>2022-04-01</v>
          </cell>
        </row>
        <row r="674">
          <cell r="C674" t="str">
            <v>R105</v>
          </cell>
          <cell r="D674" t="str">
            <v>Orolfo</v>
          </cell>
          <cell r="E674" t="str">
            <v>Amie</v>
          </cell>
          <cell r="F674" t="str">
            <v>Flores</v>
          </cell>
          <cell r="G674" t="str">
            <v>Mhie</v>
          </cell>
          <cell r="H674" t="str">
            <v>0963-329-5383</v>
          </cell>
          <cell r="I674" t="str">
            <v>1999-08-05</v>
          </cell>
          <cell r="J674">
            <v>2</v>
          </cell>
          <cell r="K674">
            <v>1</v>
          </cell>
          <cell r="M674" t="str">
            <v>35-0173149-3</v>
          </cell>
          <cell r="N674" t="str">
            <v>390-969-492</v>
          </cell>
          <cell r="O674">
            <v>43</v>
          </cell>
          <cell r="P674">
            <v>502</v>
          </cell>
          <cell r="Q674">
            <v>62</v>
          </cell>
          <cell r="R674">
            <v>12</v>
          </cell>
          <cell r="S674">
            <v>0</v>
          </cell>
          <cell r="U674" t="str">
            <v>2022-04-01</v>
          </cell>
        </row>
        <row r="675">
          <cell r="C675" t="str">
            <v>R121</v>
          </cell>
          <cell r="D675" t="str">
            <v>Teves</v>
          </cell>
          <cell r="E675" t="str">
            <v>Ronalyn</v>
          </cell>
          <cell r="F675" t="str">
            <v>Riel</v>
          </cell>
          <cell r="G675" t="str">
            <v>Rona</v>
          </cell>
          <cell r="H675">
            <v>9952325723</v>
          </cell>
          <cell r="I675" t="str">
            <v>1996-02-06</v>
          </cell>
          <cell r="J675">
            <v>2</v>
          </cell>
          <cell r="K675">
            <v>1</v>
          </cell>
          <cell r="M675" t="str">
            <v>04-3647617-2</v>
          </cell>
          <cell r="N675" t="str">
            <v>475-927-624</v>
          </cell>
          <cell r="O675">
            <v>43</v>
          </cell>
          <cell r="P675">
            <v>492</v>
          </cell>
          <cell r="Q675">
            <v>55</v>
          </cell>
          <cell r="R675">
            <v>11</v>
          </cell>
          <cell r="S675">
            <v>0</v>
          </cell>
          <cell r="T675" t="str">
            <v>Jepril L. Alberto
Paciano Rizal Calamba City Laguna
09459943198</v>
          </cell>
          <cell r="U675" t="str">
            <v>2022-04-01</v>
          </cell>
        </row>
        <row r="676">
          <cell r="C676" t="str">
            <v>R122</v>
          </cell>
          <cell r="D676" t="str">
            <v>Trilles</v>
          </cell>
          <cell r="E676" t="str">
            <v>Christine Kyle</v>
          </cell>
          <cell r="F676" t="str">
            <v>Pascua</v>
          </cell>
          <cell r="G676" t="str">
            <v>Kyle</v>
          </cell>
          <cell r="H676">
            <v>9777936603</v>
          </cell>
          <cell r="I676" t="str">
            <v>1997-08-11</v>
          </cell>
          <cell r="J676">
            <v>2</v>
          </cell>
          <cell r="K676">
            <v>1</v>
          </cell>
          <cell r="M676" t="str">
            <v>01-2872971-3</v>
          </cell>
          <cell r="N676" t="str">
            <v>364-879-469</v>
          </cell>
          <cell r="O676">
            <v>43</v>
          </cell>
          <cell r="P676">
            <v>502</v>
          </cell>
          <cell r="Q676">
            <v>62</v>
          </cell>
          <cell r="R676">
            <v>12</v>
          </cell>
          <cell r="S676">
            <v>0</v>
          </cell>
          <cell r="T676" t="str">
            <v>Teresita Trilles
Cagayan Valley
09654958796</v>
          </cell>
          <cell r="U676" t="str">
            <v>2022-04-01</v>
          </cell>
        </row>
        <row r="677">
          <cell r="C677" t="str">
            <v>R123</v>
          </cell>
          <cell r="D677" t="str">
            <v>Valeros</v>
          </cell>
          <cell r="E677" t="str">
            <v>Rijee</v>
          </cell>
          <cell r="F677" t="str">
            <v>Sigaton</v>
          </cell>
          <cell r="G677" t="str">
            <v>Jie</v>
          </cell>
          <cell r="H677">
            <v>9453549054</v>
          </cell>
          <cell r="I677" t="str">
            <v>2000-01-26</v>
          </cell>
          <cell r="J677">
            <v>1</v>
          </cell>
          <cell r="K677">
            <v>1</v>
          </cell>
          <cell r="M677" t="str">
            <v>34-9290585-9</v>
          </cell>
          <cell r="N677" t="str">
            <v>380-509-198</v>
          </cell>
          <cell r="O677">
            <v>43</v>
          </cell>
          <cell r="P677">
            <v>493</v>
          </cell>
          <cell r="Q677">
            <v>55</v>
          </cell>
          <cell r="R677">
            <v>11</v>
          </cell>
          <cell r="S677">
            <v>0</v>
          </cell>
          <cell r="T677" t="str">
            <v>Teresa S. Valeros
P-1 Brgy. Talusan Paracale
Camarines Norte
09685998076</v>
          </cell>
          <cell r="U677" t="str">
            <v>2022-04-01</v>
          </cell>
        </row>
        <row r="678">
          <cell r="C678" t="str">
            <v>R124</v>
          </cell>
          <cell r="D678" t="str">
            <v>Vilan</v>
          </cell>
          <cell r="E678" t="str">
            <v>Jrysha Claire</v>
          </cell>
          <cell r="F678" t="str">
            <v>Bascruz</v>
          </cell>
          <cell r="G678" t="str">
            <v>Jhy-Cy</v>
          </cell>
          <cell r="H678">
            <v>9124757156</v>
          </cell>
          <cell r="I678" t="str">
            <v>2000-07-18</v>
          </cell>
          <cell r="J678">
            <v>2</v>
          </cell>
          <cell r="K678">
            <v>1</v>
          </cell>
          <cell r="M678" t="str">
            <v>34-8834743-4</v>
          </cell>
          <cell r="N678" t="str">
            <v>358-725-162</v>
          </cell>
          <cell r="O678">
            <v>43</v>
          </cell>
          <cell r="P678">
            <v>502</v>
          </cell>
          <cell r="Q678">
            <v>62</v>
          </cell>
          <cell r="R678">
            <v>12</v>
          </cell>
          <cell r="S678">
            <v>0</v>
          </cell>
          <cell r="T678" t="str">
            <v>Ma.Clarissa B. Vilan
938 Niugan Cabuyao Laguna
09518726733</v>
          </cell>
          <cell r="U678" t="str">
            <v>2022-04-01</v>
          </cell>
        </row>
        <row r="679">
          <cell r="C679" t="str">
            <v>R125</v>
          </cell>
          <cell r="D679" t="str">
            <v>Vista</v>
          </cell>
          <cell r="E679" t="str">
            <v>Joan</v>
          </cell>
          <cell r="F679" t="str">
            <v>Baloloy</v>
          </cell>
          <cell r="G679" t="str">
            <v>Jho</v>
          </cell>
          <cell r="H679">
            <v>9503619771</v>
          </cell>
          <cell r="I679" t="str">
            <v>1999-07-11</v>
          </cell>
          <cell r="J679">
            <v>2</v>
          </cell>
          <cell r="K679">
            <v>1</v>
          </cell>
          <cell r="M679" t="str">
            <v>05-1492892-4</v>
          </cell>
          <cell r="N679" t="str">
            <v>380-183-361</v>
          </cell>
          <cell r="O679">
            <v>43</v>
          </cell>
          <cell r="P679">
            <v>502</v>
          </cell>
          <cell r="Q679">
            <v>62</v>
          </cell>
          <cell r="R679">
            <v>12</v>
          </cell>
          <cell r="S679">
            <v>0</v>
          </cell>
          <cell r="T679" t="str">
            <v>Josefa B. Vista
Manila Rapu-Rapu Albay</v>
          </cell>
          <cell r="U679" t="str">
            <v>2022-04-01</v>
          </cell>
        </row>
        <row r="680">
          <cell r="C680" t="str">
            <v>R126</v>
          </cell>
          <cell r="D680" t="str">
            <v>Bodo</v>
          </cell>
          <cell r="E680" t="str">
            <v>John Steven</v>
          </cell>
          <cell r="F680" t="str">
            <v>Abetsuela</v>
          </cell>
          <cell r="G680" t="str">
            <v>Steven</v>
          </cell>
          <cell r="H680">
            <v>9458524376</v>
          </cell>
          <cell r="I680" t="str">
            <v>1999-11-14</v>
          </cell>
          <cell r="J680">
            <v>1</v>
          </cell>
          <cell r="K680">
            <v>1</v>
          </cell>
          <cell r="M680" t="str">
            <v>34-8978653-1</v>
          </cell>
          <cell r="N680" t="str">
            <v>766-724-759</v>
          </cell>
          <cell r="O680">
            <v>41</v>
          </cell>
          <cell r="P680">
            <v>474</v>
          </cell>
          <cell r="Q680">
            <v>49</v>
          </cell>
          <cell r="R680">
            <v>8</v>
          </cell>
          <cell r="S680">
            <v>0</v>
          </cell>
          <cell r="T680" t="str">
            <v>Melinda A. Bodo
Blk 25 Lot 205 Southville 1 Niugan Cabuyao Laguna
09109899253</v>
          </cell>
          <cell r="U680" t="str">
            <v>2022-04-02</v>
          </cell>
        </row>
        <row r="681">
          <cell r="C681" t="str">
            <v>R108</v>
          </cell>
          <cell r="D681" t="str">
            <v>Persincula</v>
          </cell>
          <cell r="E681" t="str">
            <v>Micaela</v>
          </cell>
          <cell r="F681" t="str">
            <v>Peradilla</v>
          </cell>
          <cell r="G681" t="str">
            <v>Mica</v>
          </cell>
          <cell r="H681">
            <v>9279300803</v>
          </cell>
          <cell r="I681" t="str">
            <v>2001-11-14</v>
          </cell>
          <cell r="J681">
            <v>2</v>
          </cell>
          <cell r="K681">
            <v>1</v>
          </cell>
          <cell r="M681" t="str">
            <v>34-9947951-1</v>
          </cell>
          <cell r="N681" t="str">
            <v>504-416-328</v>
          </cell>
          <cell r="O681">
            <v>43</v>
          </cell>
          <cell r="P681">
            <v>502</v>
          </cell>
          <cell r="Q681">
            <v>62</v>
          </cell>
          <cell r="R681">
            <v>12</v>
          </cell>
          <cell r="S681">
            <v>0</v>
          </cell>
          <cell r="T681" t="str">
            <v>Marlyn Persincula
Sta.Rosa Laguna
09519792336</v>
          </cell>
          <cell r="U681" t="str">
            <v>2022-04-01</v>
          </cell>
        </row>
        <row r="682">
          <cell r="C682" t="str">
            <v>R111</v>
          </cell>
          <cell r="D682" t="str">
            <v>Quinawod</v>
          </cell>
          <cell r="E682" t="str">
            <v>Jeian</v>
          </cell>
          <cell r="F682" t="str">
            <v>De Chavez</v>
          </cell>
          <cell r="G682" t="str">
            <v>Jeian</v>
          </cell>
          <cell r="H682">
            <v>9279300626</v>
          </cell>
          <cell r="I682" t="str">
            <v>2001-01-01</v>
          </cell>
          <cell r="J682">
            <v>2</v>
          </cell>
          <cell r="K682">
            <v>1</v>
          </cell>
          <cell r="M682" t="str">
            <v>35-0139443-2</v>
          </cell>
          <cell r="N682" t="str">
            <v>390-969-016</v>
          </cell>
          <cell r="O682">
            <v>43</v>
          </cell>
          <cell r="P682">
            <v>502</v>
          </cell>
          <cell r="Q682">
            <v>62</v>
          </cell>
          <cell r="R682">
            <v>12</v>
          </cell>
          <cell r="S682">
            <v>0</v>
          </cell>
          <cell r="T682" t="str">
            <v>Sarah Marturrilias
167 National Highway, Banay Banay Cabuyao Laguna
09614139569</v>
          </cell>
          <cell r="U682" t="str">
            <v>2022-04-01</v>
          </cell>
        </row>
        <row r="683">
          <cell r="C683" t="str">
            <v>R131</v>
          </cell>
          <cell r="D683" t="str">
            <v>Casuyon</v>
          </cell>
          <cell r="E683" t="str">
            <v>Clark Chester</v>
          </cell>
          <cell r="F683" t="str">
            <v>De Guzman</v>
          </cell>
          <cell r="G683" t="str">
            <v>Clark</v>
          </cell>
          <cell r="H683" t="str">
            <v>0907-101-0218</v>
          </cell>
          <cell r="I683" t="str">
            <v>1999-03-09</v>
          </cell>
          <cell r="J683">
            <v>1</v>
          </cell>
          <cell r="K683">
            <v>2</v>
          </cell>
          <cell r="L683" t="str">
            <v>Arlin Superable Tulfo</v>
          </cell>
          <cell r="M683" t="str">
            <v>04-4177946-6</v>
          </cell>
          <cell r="N683" t="str">
            <v>733-660-353</v>
          </cell>
          <cell r="O683">
            <v>101</v>
          </cell>
          <cell r="P683">
            <v>406</v>
          </cell>
          <cell r="Q683">
            <v>51</v>
          </cell>
          <cell r="R683">
            <v>1</v>
          </cell>
          <cell r="S683">
            <v>0</v>
          </cell>
          <cell r="T683" t="str">
            <v>Joel Dizon
Blk 11 Lot 41 Ph2 Southville VI,
Kay-anlog, Calamba City, Laguna
0920-441-8920</v>
          </cell>
          <cell r="U683" t="str">
            <v>2022-04-23</v>
          </cell>
        </row>
        <row r="684">
          <cell r="C684" t="str">
            <v>R132</v>
          </cell>
          <cell r="D684" t="str">
            <v>Sibal</v>
          </cell>
          <cell r="E684" t="str">
            <v>Vincent</v>
          </cell>
          <cell r="F684" t="str">
            <v>Broqueza</v>
          </cell>
          <cell r="G684" t="str">
            <v>Vincent</v>
          </cell>
          <cell r="H684" t="str">
            <v>0966-693-9145</v>
          </cell>
          <cell r="I684" t="str">
            <v>1999-01-07</v>
          </cell>
          <cell r="J684">
            <v>1</v>
          </cell>
          <cell r="K684">
            <v>1</v>
          </cell>
          <cell r="M684" t="str">
            <v>35-1942199-9</v>
          </cell>
          <cell r="N684" t="str">
            <v>608-590-431</v>
          </cell>
          <cell r="O684">
            <v>86</v>
          </cell>
          <cell r="P684">
            <v>466</v>
          </cell>
          <cell r="Q684">
            <v>33</v>
          </cell>
          <cell r="R684">
            <v>8</v>
          </cell>
          <cell r="S684">
            <v>0</v>
          </cell>
          <cell r="T684" t="str">
            <v>Edgardo M. Sibal
290-A Elazegui II Subd, 
Bgy. 3, Calamba City, Laguna
0947-794-6654</v>
          </cell>
          <cell r="U684" t="str">
            <v>2022-05-02</v>
          </cell>
        </row>
        <row r="685">
          <cell r="C685" t="str">
            <v>R135</v>
          </cell>
          <cell r="D685" t="str">
            <v>Gutierrez</v>
          </cell>
          <cell r="E685" t="str">
            <v>Abigail</v>
          </cell>
          <cell r="F685" t="str">
            <v>Belonghilot</v>
          </cell>
          <cell r="G685" t="str">
            <v>Abi</v>
          </cell>
          <cell r="H685" t="str">
            <v>0936-240-8803</v>
          </cell>
          <cell r="I685" t="str">
            <v>1997-04-11</v>
          </cell>
          <cell r="J685">
            <v>2</v>
          </cell>
          <cell r="K685">
            <v>1</v>
          </cell>
          <cell r="M685" t="str">
            <v>34-9393505-1</v>
          </cell>
          <cell r="N685" t="str">
            <v>377-531-385</v>
          </cell>
          <cell r="O685">
            <v>97</v>
          </cell>
          <cell r="P685">
            <v>500</v>
          </cell>
          <cell r="Q685">
            <v>65</v>
          </cell>
          <cell r="R685">
            <v>12</v>
          </cell>
          <cell r="S685">
            <v>0</v>
          </cell>
          <cell r="T685" t="str">
            <v>Avelino J. Gutierrez
Purok 3 Bgy. San Francisco,
Victoria, Laguna
0936-836-9399</v>
          </cell>
          <cell r="U685" t="str">
            <v>2022-05-10</v>
          </cell>
        </row>
        <row r="686">
          <cell r="C686" t="str">
            <v>R138</v>
          </cell>
          <cell r="D686" t="str">
            <v>Rahl</v>
          </cell>
          <cell r="E686" t="str">
            <v>Robert Jr.</v>
          </cell>
          <cell r="F686" t="str">
            <v>Orfrecio</v>
          </cell>
          <cell r="G686" t="str">
            <v>Bert</v>
          </cell>
          <cell r="H686" t="str">
            <v>0915-566-8087</v>
          </cell>
          <cell r="I686" t="str">
            <v>1977-02-11</v>
          </cell>
          <cell r="J686">
            <v>1</v>
          </cell>
          <cell r="K686">
            <v>2</v>
          </cell>
          <cell r="L686" t="str">
            <v>Zenaida Aguado Arquillo</v>
          </cell>
          <cell r="M686" t="str">
            <v>04-1203090-1</v>
          </cell>
          <cell r="N686" t="str">
            <v>218-559-212</v>
          </cell>
          <cell r="O686">
            <v>7</v>
          </cell>
          <cell r="P686">
            <v>335</v>
          </cell>
          <cell r="Q686">
            <v>36</v>
          </cell>
          <cell r="R686">
            <v>8</v>
          </cell>
          <cell r="S686">
            <v>0</v>
          </cell>
          <cell r="T686" t="str">
            <v>Jo Patagnan Quilao
Alabang, Muntinlupa City
0917-120-5637</v>
          </cell>
          <cell r="U686" t="str">
            <v>2022-05-16</v>
          </cell>
        </row>
        <row r="687">
          <cell r="C687" t="str">
            <v>R136</v>
          </cell>
          <cell r="D687" t="str">
            <v>Lazaro</v>
          </cell>
          <cell r="E687" t="str">
            <v>Rizalen</v>
          </cell>
          <cell r="F687" t="str">
            <v>Tioxon</v>
          </cell>
          <cell r="G687" t="str">
            <v>Zalen</v>
          </cell>
          <cell r="H687" t="str">
            <v>0970-716-7961</v>
          </cell>
          <cell r="I687" t="str">
            <v>2001-02-26</v>
          </cell>
          <cell r="J687">
            <v>2</v>
          </cell>
          <cell r="K687">
            <v>1</v>
          </cell>
          <cell r="M687" t="str">
            <v>04-4210825-6</v>
          </cell>
          <cell r="N687" t="str">
            <v>359-507-705</v>
          </cell>
          <cell r="O687">
            <v>41</v>
          </cell>
          <cell r="P687">
            <v>503</v>
          </cell>
          <cell r="Q687">
            <v>64</v>
          </cell>
          <cell r="R687">
            <v>12</v>
          </cell>
          <cell r="S687">
            <v>0</v>
          </cell>
          <cell r="T687" t="str">
            <v>Susana T. Lazaro
0001 Narra St, Looc,
Calamba City, Laguna
0963-677-7561</v>
          </cell>
          <cell r="U687" t="str">
            <v>2022-05-16</v>
          </cell>
        </row>
        <row r="688">
          <cell r="C688" t="str">
            <v>R141</v>
          </cell>
          <cell r="D688" t="str">
            <v>Macadadaya</v>
          </cell>
          <cell r="E688" t="str">
            <v>Saidalie</v>
          </cell>
          <cell r="F688" t="str">
            <v>Pangcatan</v>
          </cell>
          <cell r="G688" t="str">
            <v>Sai</v>
          </cell>
          <cell r="H688" t="str">
            <v>0906-555-2273</v>
          </cell>
          <cell r="I688" t="str">
            <v>1992-11-04</v>
          </cell>
          <cell r="J688">
            <v>1</v>
          </cell>
          <cell r="K688">
            <v>1</v>
          </cell>
          <cell r="M688" t="str">
            <v>04-2316077-6</v>
          </cell>
          <cell r="N688" t="str">
            <v>407-858-189</v>
          </cell>
          <cell r="O688">
            <v>55</v>
          </cell>
          <cell r="P688">
            <v>466</v>
          </cell>
          <cell r="Q688">
            <v>33</v>
          </cell>
          <cell r="R688">
            <v>8</v>
          </cell>
          <cell r="S688">
            <v>0</v>
          </cell>
          <cell r="T688" t="str">
            <v>Jane C. Reyes
164 Riverside, Bgy. Batino,
Calamba city, Laguna
0930-420-6300</v>
          </cell>
          <cell r="U688" t="str">
            <v>2022-05-23</v>
          </cell>
        </row>
        <row r="689">
          <cell r="C689" t="str">
            <v>R144</v>
          </cell>
          <cell r="D689" t="str">
            <v>Serrac</v>
          </cell>
          <cell r="E689" t="str">
            <v>Joy</v>
          </cell>
          <cell r="F689" t="str">
            <v>Gil</v>
          </cell>
          <cell r="G689" t="str">
            <v>Joy</v>
          </cell>
          <cell r="H689" t="str">
            <v>0966-526-8830</v>
          </cell>
          <cell r="I689" t="str">
            <v>1993-12-28</v>
          </cell>
          <cell r="J689">
            <v>2</v>
          </cell>
          <cell r="K689">
            <v>1</v>
          </cell>
          <cell r="M689" t="str">
            <v>04-2292508-0</v>
          </cell>
          <cell r="N689" t="str">
            <v>297-786-120</v>
          </cell>
          <cell r="O689">
            <v>58</v>
          </cell>
          <cell r="P689">
            <v>9</v>
          </cell>
          <cell r="Q689">
            <v>4</v>
          </cell>
          <cell r="R689">
            <v>1</v>
          </cell>
          <cell r="S689">
            <v>0</v>
          </cell>
          <cell r="T689" t="str">
            <v>Ryan B. de Borja
Blk15 Lot65 Birmingham Vill,
Pulo, Cabuyao, Laguna
0915-485-8803</v>
          </cell>
          <cell r="U689" t="str">
            <v>2022-06-03</v>
          </cell>
        </row>
        <row r="690">
          <cell r="C690" t="str">
            <v>R146</v>
          </cell>
          <cell r="D690" t="str">
            <v>Casim</v>
          </cell>
          <cell r="E690" t="str">
            <v>Laurius</v>
          </cell>
          <cell r="F690" t="str">
            <v>Sino</v>
          </cell>
          <cell r="G690" t="str">
            <v>Laurius</v>
          </cell>
          <cell r="H690" t="str">
            <v>0997-611-9265</v>
          </cell>
          <cell r="I690" t="str">
            <v>2001-12-28</v>
          </cell>
          <cell r="J690">
            <v>1</v>
          </cell>
          <cell r="K690">
            <v>1</v>
          </cell>
          <cell r="M690" t="str">
            <v>34-9863845-0</v>
          </cell>
          <cell r="N690" t="str">
            <v>399-647-163</v>
          </cell>
          <cell r="O690">
            <v>40</v>
          </cell>
          <cell r="P690">
            <v>500</v>
          </cell>
          <cell r="Q690">
            <v>65</v>
          </cell>
          <cell r="R690">
            <v>12</v>
          </cell>
          <cell r="S690">
            <v>0</v>
          </cell>
          <cell r="T690" t="str">
            <v>El Brian Repana
P1 Blk10 Lot6, Villa Sta. Rosa,
Caingin, Sta. Rosa City, Laguna
0956-472-4032</v>
          </cell>
          <cell r="U690" t="str">
            <v>2022-06-06</v>
          </cell>
        </row>
        <row r="691">
          <cell r="C691" t="str">
            <v>R147</v>
          </cell>
          <cell r="D691" t="str">
            <v>Alarcon</v>
          </cell>
          <cell r="E691" t="str">
            <v>Camille</v>
          </cell>
          <cell r="F691" t="str">
            <v>Vicerro</v>
          </cell>
          <cell r="G691" t="str">
            <v>Mille</v>
          </cell>
          <cell r="H691" t="str">
            <v>0977-788-0742</v>
          </cell>
          <cell r="I691" t="str">
            <v>1993-03-02</v>
          </cell>
          <cell r="J691">
            <v>2</v>
          </cell>
          <cell r="K691">
            <v>1</v>
          </cell>
          <cell r="M691" t="str">
            <v>04-2704637-5</v>
          </cell>
          <cell r="N691" t="str">
            <v>334-002-957</v>
          </cell>
          <cell r="O691">
            <v>40</v>
          </cell>
          <cell r="P691">
            <v>510</v>
          </cell>
          <cell r="Q691">
            <v>72</v>
          </cell>
          <cell r="R691">
            <v>13</v>
          </cell>
          <cell r="S691">
            <v>0</v>
          </cell>
          <cell r="T691" t="str">
            <v>Mohammad Go Barudi
227 DME Compd, Pulo,
Cabuyao City, Laguna
0927-823-0215</v>
          </cell>
          <cell r="U691" t="str">
            <v>2022-06-10</v>
          </cell>
        </row>
        <row r="692">
          <cell r="C692" t="str">
            <v>R149</v>
          </cell>
          <cell r="D692" t="str">
            <v>De Guzman</v>
          </cell>
          <cell r="E692" t="str">
            <v>Jobelle</v>
          </cell>
          <cell r="F692" t="str">
            <v>Tangalin</v>
          </cell>
          <cell r="G692" t="str">
            <v>Jobz</v>
          </cell>
          <cell r="H692" t="str">
            <v>0921-290-3908</v>
          </cell>
          <cell r="I692" t="str">
            <v>1998-12-23</v>
          </cell>
          <cell r="J692">
            <v>2</v>
          </cell>
          <cell r="K692">
            <v>1</v>
          </cell>
          <cell r="M692" t="str">
            <v>35-1087479-4</v>
          </cell>
          <cell r="N692" t="str">
            <v>613-962-323</v>
          </cell>
          <cell r="O692">
            <v>52</v>
          </cell>
          <cell r="P692">
            <v>493</v>
          </cell>
          <cell r="Q692">
            <v>55</v>
          </cell>
          <cell r="R692">
            <v>11</v>
          </cell>
          <cell r="S692">
            <v>0</v>
          </cell>
          <cell r="T692" t="str">
            <v>Jonathan T. De Guzman
Southwynd Residences, Palo Alto,
Calamba City, Laguna
0995-178-8201</v>
          </cell>
          <cell r="U692" t="str">
            <v>2022-06-10</v>
          </cell>
        </row>
        <row r="693">
          <cell r="C693" t="str">
            <v>R150</v>
          </cell>
          <cell r="D693" t="str">
            <v>Buquis</v>
          </cell>
          <cell r="E693" t="str">
            <v>Hazielle</v>
          </cell>
          <cell r="F693" t="str">
            <v>Mabuti</v>
          </cell>
          <cell r="G693" t="str">
            <v>Hazielle</v>
          </cell>
          <cell r="H693" t="str">
            <v>0970-303-0013</v>
          </cell>
          <cell r="I693" t="str">
            <v>1994-12-19</v>
          </cell>
          <cell r="J693">
            <v>2</v>
          </cell>
          <cell r="K693">
            <v>1</v>
          </cell>
          <cell r="M693" t="str">
            <v>04-3862379-0</v>
          </cell>
          <cell r="N693" t="str">
            <v>335-955-325</v>
          </cell>
          <cell r="O693">
            <v>52</v>
          </cell>
          <cell r="P693">
            <v>451</v>
          </cell>
          <cell r="Q693">
            <v>20</v>
          </cell>
          <cell r="R693">
            <v>4</v>
          </cell>
          <cell r="S693">
            <v>0</v>
          </cell>
          <cell r="T693" t="str">
            <v>Giselle M. Buquis
Balagtas, Batangas City
0970-563-4175</v>
          </cell>
          <cell r="U693" t="str">
            <v>2022-06-13</v>
          </cell>
        </row>
        <row r="694">
          <cell r="C694" t="str">
            <v>R152</v>
          </cell>
          <cell r="D694" t="str">
            <v>Legaspi</v>
          </cell>
          <cell r="E694" t="str">
            <v>Miguel</v>
          </cell>
          <cell r="F694" t="str">
            <v>Canin</v>
          </cell>
          <cell r="G694" t="str">
            <v>Migs</v>
          </cell>
          <cell r="H694" t="str">
            <v>0956-663-6668</v>
          </cell>
          <cell r="I694" t="str">
            <v>1999-12-23</v>
          </cell>
          <cell r="J694">
            <v>1</v>
          </cell>
          <cell r="K694">
            <v>1</v>
          </cell>
          <cell r="M694" t="str">
            <v>04-4012212-4</v>
          </cell>
          <cell r="N694" t="str">
            <v>613-963-010</v>
          </cell>
          <cell r="O694">
            <v>101</v>
          </cell>
          <cell r="P694">
            <v>406</v>
          </cell>
          <cell r="Q694">
            <v>51</v>
          </cell>
          <cell r="R694">
            <v>1</v>
          </cell>
          <cell r="S694">
            <v>0</v>
          </cell>
          <cell r="T694" t="str">
            <v>Jocelyn C. Legaspi
Blk4 Lot21 Don Jose Homes,
Banlic, Cabuyao, Laguna
0995-752-3255</v>
          </cell>
          <cell r="U694" t="str">
            <v>2022-07-01</v>
          </cell>
        </row>
        <row r="695">
          <cell r="C695" t="str">
            <v>R160</v>
          </cell>
          <cell r="D695" t="str">
            <v>Rosario</v>
          </cell>
          <cell r="E695" t="str">
            <v>Jasper John</v>
          </cell>
          <cell r="F695" t="str">
            <v>Paris</v>
          </cell>
          <cell r="G695" t="str">
            <v>Jas</v>
          </cell>
          <cell r="H695" t="str">
            <v>0991-350-5650</v>
          </cell>
          <cell r="I695" t="str">
            <v>1995-11-14</v>
          </cell>
          <cell r="J695">
            <v>1</v>
          </cell>
          <cell r="K695">
            <v>1</v>
          </cell>
          <cell r="M695" t="str">
            <v>04-4193660-7</v>
          </cell>
          <cell r="N695" t="str">
            <v>356-380-909</v>
          </cell>
          <cell r="O695">
            <v>86</v>
          </cell>
          <cell r="P695">
            <v>435</v>
          </cell>
          <cell r="Q695">
            <v>19</v>
          </cell>
          <cell r="R695">
            <v>4</v>
          </cell>
          <cell r="S695">
            <v>0</v>
          </cell>
          <cell r="T695" t="str">
            <v>Thomas John P. Rosario
10789 Sta. Fe, Batong Malake,
Los Banos, Laguna
0995-139-4260</v>
          </cell>
          <cell r="U695" t="str">
            <v>2022-07-25</v>
          </cell>
        </row>
        <row r="696">
          <cell r="C696" t="str">
            <v>R162</v>
          </cell>
          <cell r="D696" t="str">
            <v>Balubar</v>
          </cell>
          <cell r="E696" t="str">
            <v>Lizandro</v>
          </cell>
          <cell r="F696" t="str">
            <v>Silvestre</v>
          </cell>
          <cell r="G696" t="str">
            <v>Zandro</v>
          </cell>
          <cell r="H696" t="str">
            <v>0951-569-8895</v>
          </cell>
          <cell r="I696" t="str">
            <v>1993-12-14</v>
          </cell>
          <cell r="J696">
            <v>1</v>
          </cell>
          <cell r="K696">
            <v>1</v>
          </cell>
          <cell r="M696" t="str">
            <v>04-2569605-7</v>
          </cell>
          <cell r="N696" t="str">
            <v>716-546-707</v>
          </cell>
          <cell r="O696">
            <v>55</v>
          </cell>
          <cell r="P696">
            <v>436</v>
          </cell>
          <cell r="Q696">
            <v>19</v>
          </cell>
          <cell r="R696">
            <v>4</v>
          </cell>
          <cell r="S696">
            <v>0</v>
          </cell>
          <cell r="T696" t="str">
            <v>Zarah Z. Florido
Lopez, Quezon
0918-661-8941</v>
          </cell>
          <cell r="U696" t="str">
            <v>2022-08-05</v>
          </cell>
        </row>
        <row r="697">
          <cell r="C697" t="str">
            <v>R174</v>
          </cell>
          <cell r="D697" t="str">
            <v>De Luna Jr</v>
          </cell>
          <cell r="E697" t="str">
            <v>Manuel</v>
          </cell>
          <cell r="F697" t="str">
            <v>Consolacion</v>
          </cell>
          <cell r="G697" t="str">
            <v>Manuel</v>
          </cell>
          <cell r="H697" t="str">
            <v>0915-511-1007</v>
          </cell>
          <cell r="I697" t="str">
            <v>1996-01-21</v>
          </cell>
          <cell r="J697">
            <v>1</v>
          </cell>
          <cell r="K697">
            <v>1</v>
          </cell>
          <cell r="M697" t="str">
            <v>34-6018308-5</v>
          </cell>
          <cell r="N697" t="str">
            <v>333-224-019</v>
          </cell>
          <cell r="O697">
            <v>55</v>
          </cell>
          <cell r="P697">
            <v>436</v>
          </cell>
          <cell r="Q697">
            <v>19</v>
          </cell>
          <cell r="R697">
            <v>4</v>
          </cell>
          <cell r="S697">
            <v>0</v>
          </cell>
          <cell r="T697" t="str">
            <v>Manuel R. De Luna
164 Gov. Perez St, Bgy. 3,
Catanauan, Quezon
0938-767-8414</v>
          </cell>
          <cell r="U697" t="str">
            <v>2022-09-20</v>
          </cell>
        </row>
        <row r="698">
          <cell r="C698" t="str">
            <v>R175</v>
          </cell>
          <cell r="D698" t="str">
            <v>Alcazar</v>
          </cell>
          <cell r="E698" t="str">
            <v>Ni-An</v>
          </cell>
          <cell r="F698" t="str">
            <v>Lim</v>
          </cell>
          <cell r="G698" t="str">
            <v>Nian</v>
          </cell>
          <cell r="H698" t="str">
            <v>0965-487-5740</v>
          </cell>
          <cell r="I698" t="str">
            <v>1981-11-06</v>
          </cell>
          <cell r="J698">
            <v>2</v>
          </cell>
          <cell r="K698">
            <v>2</v>
          </cell>
          <cell r="L698" t="str">
            <v>Derick Lon Bertomo Alcazar</v>
          </cell>
          <cell r="M698" t="str">
            <v>33-7427263-9</v>
          </cell>
          <cell r="N698" t="str">
            <v>303-018-978</v>
          </cell>
          <cell r="O698">
            <v>7</v>
          </cell>
          <cell r="P698">
            <v>478</v>
          </cell>
          <cell r="Q698">
            <v>54</v>
          </cell>
          <cell r="R698">
            <v>9</v>
          </cell>
          <cell r="S698">
            <v>0</v>
          </cell>
          <cell r="T698" t="str">
            <v>Richard Fernandez
Blk33 Lot19 Binghamton St Ph3,
Batino, Calamba, Laguna
0905-714-7648</v>
          </cell>
          <cell r="U698" t="str">
            <v>2022-09-28</v>
          </cell>
        </row>
        <row r="699">
          <cell r="C699" t="str">
            <v>R176</v>
          </cell>
          <cell r="D699" t="str">
            <v>Ishii</v>
          </cell>
          <cell r="E699" t="str">
            <v>Yasuo</v>
          </cell>
          <cell r="F699">
            <v>0</v>
          </cell>
          <cell r="G699" t="str">
            <v>Ishii</v>
          </cell>
          <cell r="I699" t="str">
            <v>1968-02-19</v>
          </cell>
          <cell r="J699">
            <v>1</v>
          </cell>
          <cell r="K699">
            <v>2</v>
          </cell>
          <cell r="L699" t="str">
            <v>Yumiko Ishii</v>
          </cell>
          <cell r="N699" t="str">
            <v>612-764-100</v>
          </cell>
          <cell r="O699">
            <v>2</v>
          </cell>
          <cell r="P699">
            <v>2</v>
          </cell>
          <cell r="Q699">
            <v>2</v>
          </cell>
          <cell r="R699">
            <v>1</v>
          </cell>
          <cell r="S699">
            <v>0</v>
          </cell>
          <cell r="U699" t="str">
            <v>2022-10-01</v>
          </cell>
        </row>
        <row r="700">
          <cell r="C700" t="str">
            <v>R177</v>
          </cell>
          <cell r="D700" t="str">
            <v>Rabanzo</v>
          </cell>
          <cell r="E700" t="str">
            <v>Gerick</v>
          </cell>
          <cell r="F700" t="str">
            <v>Custodio</v>
          </cell>
          <cell r="G700" t="str">
            <v>Gerick</v>
          </cell>
          <cell r="H700" t="str">
            <v>0997-563-9153</v>
          </cell>
          <cell r="I700" t="str">
            <v>1997-11-26</v>
          </cell>
          <cell r="J700">
            <v>1</v>
          </cell>
          <cell r="K700">
            <v>1</v>
          </cell>
          <cell r="M700" t="str">
            <v>04-3992886-3</v>
          </cell>
          <cell r="N700" t="str">
            <v>391-719-146</v>
          </cell>
          <cell r="O700">
            <v>41</v>
          </cell>
          <cell r="P700">
            <v>394</v>
          </cell>
          <cell r="Q700">
            <v>49</v>
          </cell>
          <cell r="R700">
            <v>8</v>
          </cell>
          <cell r="S700">
            <v>0</v>
          </cell>
          <cell r="T700" t="str">
            <v>Jemalyn Asi
Camia St, Farconville Subd.,
Bgy. Parian, Calamba City, Laguna
0906-672-5217</v>
          </cell>
          <cell r="U700" t="str">
            <v>2022-10-07</v>
          </cell>
        </row>
        <row r="701">
          <cell r="C701" t="str">
            <v>R181</v>
          </cell>
          <cell r="D701" t="str">
            <v>Melgar</v>
          </cell>
          <cell r="E701" t="str">
            <v>Mary Joy</v>
          </cell>
          <cell r="F701" t="str">
            <v>Selpo</v>
          </cell>
          <cell r="G701" t="str">
            <v>Joy</v>
          </cell>
          <cell r="H701" t="str">
            <v>0963-496-4158</v>
          </cell>
          <cell r="I701" t="str">
            <v>1997-03-29</v>
          </cell>
          <cell r="J701">
            <v>2</v>
          </cell>
          <cell r="K701">
            <v>1</v>
          </cell>
          <cell r="M701" t="str">
            <v>35-0563950-4</v>
          </cell>
          <cell r="N701" t="str">
            <v>603-507-129</v>
          </cell>
          <cell r="O701">
            <v>96</v>
          </cell>
          <cell r="P701">
            <v>470</v>
          </cell>
          <cell r="Q701">
            <v>37</v>
          </cell>
          <cell r="R701">
            <v>8</v>
          </cell>
          <cell r="S701">
            <v>0</v>
          </cell>
          <cell r="T701" t="str">
            <v>Marife Melgar
Arabella Homes, Pulo, 
Cabuyao City, Laguna
0991-912-7082</v>
          </cell>
          <cell r="U701" t="str">
            <v>2022-10-17</v>
          </cell>
        </row>
        <row r="702">
          <cell r="C702" t="str">
            <v>R183</v>
          </cell>
          <cell r="D702" t="str">
            <v>Sanchez</v>
          </cell>
          <cell r="E702" t="str">
            <v>Mervils</v>
          </cell>
          <cell r="F702" t="str">
            <v>Bello</v>
          </cell>
          <cell r="G702" t="str">
            <v>Mervs</v>
          </cell>
          <cell r="H702" t="str">
            <v>0927-740-1766</v>
          </cell>
          <cell r="I702" t="str">
            <v>1991-05-30</v>
          </cell>
          <cell r="J702">
            <v>1</v>
          </cell>
          <cell r="K702">
            <v>2</v>
          </cell>
          <cell r="L702" t="str">
            <v>Rebecca Limbo Evangelista</v>
          </cell>
          <cell r="M702" t="str">
            <v>04-3583317-2</v>
          </cell>
          <cell r="N702" t="str">
            <v>469-954-320</v>
          </cell>
          <cell r="O702">
            <v>86</v>
          </cell>
          <cell r="P702">
            <v>499</v>
          </cell>
          <cell r="Q702">
            <v>66</v>
          </cell>
          <cell r="R702">
            <v>12</v>
          </cell>
          <cell r="S702">
            <v>0</v>
          </cell>
          <cell r="T702" t="str">
            <v>Rebecca E. Sanchez
Bgy. Buenavista East,
Candelaria, Quezon
0946-367-5149</v>
          </cell>
          <cell r="U702" t="str">
            <v>2022-10-17</v>
          </cell>
        </row>
        <row r="703">
          <cell r="C703" t="str">
            <v>R189</v>
          </cell>
          <cell r="D703" t="str">
            <v>Castellano</v>
          </cell>
          <cell r="E703" t="str">
            <v>Christopher</v>
          </cell>
          <cell r="F703" t="str">
            <v>Rose</v>
          </cell>
          <cell r="G703" t="str">
            <v>Chris</v>
          </cell>
          <cell r="H703" t="str">
            <v>0956-205-7078</v>
          </cell>
          <cell r="I703" t="str">
            <v>1996-04-12</v>
          </cell>
          <cell r="J703">
            <v>1</v>
          </cell>
          <cell r="K703">
            <v>1</v>
          </cell>
          <cell r="M703" t="str">
            <v>34-9066675-0</v>
          </cell>
          <cell r="N703" t="str">
            <v>365-834-976</v>
          </cell>
          <cell r="O703">
            <v>109</v>
          </cell>
          <cell r="P703">
            <v>487</v>
          </cell>
          <cell r="Q703">
            <v>61</v>
          </cell>
          <cell r="R703">
            <v>11</v>
          </cell>
          <cell r="S703">
            <v>0</v>
          </cell>
          <cell r="T703" t="str">
            <v>Helen R. Castellano
Blk 27 Lot 6, CTH, San Isidro,
Cabuyao City, Laguna
0947-279-2848</v>
          </cell>
          <cell r="U703" t="str">
            <v>2022-11-22</v>
          </cell>
        </row>
        <row r="704">
          <cell r="C704" t="str">
            <v>S001</v>
          </cell>
          <cell r="D704" t="str">
            <v>Natividad</v>
          </cell>
          <cell r="E704" t="str">
            <v xml:space="preserve">Kherwine Nhomer </v>
          </cell>
          <cell r="F704" t="str">
            <v>Rivera</v>
          </cell>
          <cell r="G704" t="str">
            <v>Kher</v>
          </cell>
          <cell r="H704" t="str">
            <v>0950-818-5803</v>
          </cell>
          <cell r="I704" t="str">
            <v>1990-07-27</v>
          </cell>
          <cell r="J704">
            <v>1</v>
          </cell>
          <cell r="K704">
            <v>1</v>
          </cell>
          <cell r="M704" t="str">
            <v>04-2080177-9</v>
          </cell>
          <cell r="N704" t="str">
            <v>272-374-202</v>
          </cell>
          <cell r="O704">
            <v>55</v>
          </cell>
          <cell r="P704">
            <v>435</v>
          </cell>
          <cell r="Q704">
            <v>19</v>
          </cell>
          <cell r="R704">
            <v>4</v>
          </cell>
          <cell r="S704">
            <v>0</v>
          </cell>
          <cell r="T704" t="str">
            <v>Nomerico V. Natividad
Blk38 l14 Villa Palao,
Banlic, Calamba City, Laguna
0910-835-6852</v>
          </cell>
          <cell r="U704" t="str">
            <v>2023-01-23</v>
          </cell>
        </row>
        <row r="705">
          <cell r="C705" t="str">
            <v>S002</v>
          </cell>
          <cell r="D705" t="str">
            <v>Rosales</v>
          </cell>
          <cell r="E705" t="str">
            <v>Ezekiel</v>
          </cell>
          <cell r="F705" t="str">
            <v>Reynaldo</v>
          </cell>
          <cell r="G705" t="str">
            <v>Ace</v>
          </cell>
          <cell r="H705" t="str">
            <v>0956-473-2872</v>
          </cell>
          <cell r="I705" t="str">
            <v>1998-09-15</v>
          </cell>
          <cell r="J705">
            <v>1</v>
          </cell>
          <cell r="K705">
            <v>1</v>
          </cell>
          <cell r="M705" t="str">
            <v>34-6169973-0</v>
          </cell>
          <cell r="N705" t="str">
            <v>343-792-378</v>
          </cell>
          <cell r="O705">
            <v>40</v>
          </cell>
          <cell r="P705">
            <v>468</v>
          </cell>
          <cell r="Q705">
            <v>35</v>
          </cell>
          <cell r="R705">
            <v>8</v>
          </cell>
          <cell r="S705">
            <v>0</v>
          </cell>
          <cell r="T705" t="str">
            <v>Victoriano A. Rosales
Pulo, Cabuyao, Laguna
0938-622-8179</v>
          </cell>
          <cell r="U705" t="str">
            <v>2023-01-23</v>
          </cell>
        </row>
        <row r="706">
          <cell r="C706" t="str">
            <v>S003</v>
          </cell>
          <cell r="D706" t="str">
            <v>Asuncion</v>
          </cell>
          <cell r="E706" t="str">
            <v>Rogette Faye</v>
          </cell>
          <cell r="F706" t="str">
            <v>Osianas</v>
          </cell>
          <cell r="G706" t="str">
            <v>Faye</v>
          </cell>
          <cell r="H706" t="str">
            <v>0998-205-8000</v>
          </cell>
          <cell r="I706" t="str">
            <v>1999-12-24</v>
          </cell>
          <cell r="J706">
            <v>2</v>
          </cell>
          <cell r="K706">
            <v>1</v>
          </cell>
          <cell r="M706" t="str">
            <v>04-4203392-3</v>
          </cell>
          <cell r="N706" t="str">
            <v>357-400-325</v>
          </cell>
          <cell r="O706">
            <v>94</v>
          </cell>
          <cell r="P706">
            <v>405</v>
          </cell>
          <cell r="Q706">
            <v>51</v>
          </cell>
          <cell r="R706">
            <v>1</v>
          </cell>
          <cell r="S706">
            <v>0</v>
          </cell>
          <cell r="T706" t="str">
            <v>Ginalyn O. Asuncion
No. 58 Old Stable,
Canlubang, Calamba, Laguna
0929-438-2747</v>
          </cell>
          <cell r="U706" t="str">
            <v>2023-01-26</v>
          </cell>
        </row>
        <row r="707">
          <cell r="C707" t="str">
            <v>S005</v>
          </cell>
          <cell r="D707" t="str">
            <v>Montalban</v>
          </cell>
          <cell r="E707" t="str">
            <v>Ken</v>
          </cell>
          <cell r="F707" t="str">
            <v>Novenario</v>
          </cell>
          <cell r="G707" t="str">
            <v>Ken</v>
          </cell>
          <cell r="H707" t="str">
            <v>0956-206-4540</v>
          </cell>
          <cell r="I707" t="str">
            <v>1996-05-03</v>
          </cell>
          <cell r="J707">
            <v>1</v>
          </cell>
          <cell r="K707">
            <v>2</v>
          </cell>
          <cell r="L707" t="str">
            <v>Jennica Joie Sena Corpuz</v>
          </cell>
          <cell r="M707" t="str">
            <v>34-7920872-8</v>
          </cell>
          <cell r="N707" t="str">
            <v>350-298-344</v>
          </cell>
          <cell r="O707">
            <v>40</v>
          </cell>
          <cell r="P707">
            <v>468</v>
          </cell>
          <cell r="Q707">
            <v>35</v>
          </cell>
          <cell r="R707">
            <v>8</v>
          </cell>
          <cell r="S707">
            <v>0</v>
          </cell>
          <cell r="T707" t="str">
            <v>Jennica Joie C. Montalban
Blk50 Lot1 Ph6 Mabuhay,
Mamatid, Cabuyao, Laguna
0906-903-7706</v>
          </cell>
          <cell r="U707" t="str">
            <v>2023-01-27</v>
          </cell>
        </row>
        <row r="708">
          <cell r="C708" t="str">
            <v>S007</v>
          </cell>
          <cell r="D708" t="str">
            <v>Lorica</v>
          </cell>
          <cell r="E708" t="str">
            <v>Trisha Mae</v>
          </cell>
          <cell r="F708" t="str">
            <v>Nimo</v>
          </cell>
          <cell r="G708" t="str">
            <v>Trish</v>
          </cell>
          <cell r="H708" t="str">
            <v>0992-607-2961</v>
          </cell>
          <cell r="I708" t="str">
            <v>1998-11-18</v>
          </cell>
          <cell r="J708">
            <v>2</v>
          </cell>
          <cell r="K708">
            <v>1</v>
          </cell>
          <cell r="M708" t="str">
            <v>35-0245679-3</v>
          </cell>
          <cell r="N708" t="str">
            <v>752-172-947</v>
          </cell>
          <cell r="O708">
            <v>40</v>
          </cell>
          <cell r="P708">
            <v>500</v>
          </cell>
          <cell r="Q708">
            <v>65</v>
          </cell>
          <cell r="R708">
            <v>12</v>
          </cell>
          <cell r="S708">
            <v>0</v>
          </cell>
          <cell r="T708" t="str">
            <v>Salve N. Lorica
Salvacion, Daraga, Albay
0993-659-4823</v>
          </cell>
          <cell r="U708" t="str">
            <v>2023-01-30</v>
          </cell>
        </row>
        <row r="709">
          <cell r="C709" t="str">
            <v>S009</v>
          </cell>
          <cell r="D709" t="str">
            <v>Caraan</v>
          </cell>
          <cell r="E709" t="str">
            <v>June Oliver</v>
          </cell>
          <cell r="F709" t="str">
            <v>Medina</v>
          </cell>
          <cell r="G709" t="str">
            <v>Oliver</v>
          </cell>
          <cell r="H709" t="str">
            <v>0935-299-3498</v>
          </cell>
          <cell r="I709" t="str">
            <v>2000-06-10</v>
          </cell>
          <cell r="J709">
            <v>1</v>
          </cell>
          <cell r="K709">
            <v>1</v>
          </cell>
          <cell r="M709" t="str">
            <v>04-4483444-7</v>
          </cell>
          <cell r="N709" t="str">
            <v>623-301-536</v>
          </cell>
          <cell r="O709">
            <v>86</v>
          </cell>
          <cell r="P709">
            <v>499</v>
          </cell>
          <cell r="Q709">
            <v>66</v>
          </cell>
          <cell r="R709">
            <v>12</v>
          </cell>
          <cell r="S709">
            <v>0</v>
          </cell>
          <cell r="T709" t="str">
            <v>Olympio D. Caraan
Blk39 Lot1 Villa Palao Subd,
Banlic, Calamba City, Laguna
0919-494-9189</v>
          </cell>
          <cell r="U709" t="str">
            <v>2023-02-01</v>
          </cell>
        </row>
        <row r="710">
          <cell r="C710" t="str">
            <v>S011</v>
          </cell>
          <cell r="D710" t="str">
            <v>Alcachupas</v>
          </cell>
          <cell r="E710" t="str">
            <v>Reginald</v>
          </cell>
          <cell r="F710" t="str">
            <v>Sarmiento</v>
          </cell>
          <cell r="G710" t="str">
            <v>Gie</v>
          </cell>
          <cell r="H710" t="str">
            <v>0998-191-6364</v>
          </cell>
          <cell r="I710" t="str">
            <v>1994-01-08</v>
          </cell>
          <cell r="J710">
            <v>1</v>
          </cell>
          <cell r="K710">
            <v>1</v>
          </cell>
          <cell r="M710" t="str">
            <v>04-3722295-6</v>
          </cell>
          <cell r="N710" t="str">
            <v>750-682-383</v>
          </cell>
          <cell r="O710">
            <v>86</v>
          </cell>
          <cell r="P710">
            <v>437</v>
          </cell>
          <cell r="Q710">
            <v>19</v>
          </cell>
          <cell r="R710">
            <v>4</v>
          </cell>
          <cell r="S710">
            <v>0</v>
          </cell>
          <cell r="T710" t="str">
            <v>Roselle A. Ramos
9204 Lopez Ave, Batong Malake,
Los Banos, Laguna
0968-692-6322</v>
          </cell>
          <cell r="U710" t="str">
            <v>2023-02-15</v>
          </cell>
        </row>
        <row r="711">
          <cell r="C711" t="str">
            <v>S012</v>
          </cell>
          <cell r="D711" t="str">
            <v>PeÃ±aflorida</v>
          </cell>
          <cell r="E711" t="str">
            <v>Mary Ann</v>
          </cell>
          <cell r="F711" t="str">
            <v>Segui</v>
          </cell>
          <cell r="G711" t="str">
            <v>Mhean</v>
          </cell>
          <cell r="H711" t="str">
            <v>0951-315-6714</v>
          </cell>
          <cell r="I711" t="str">
            <v>1999-03-30</v>
          </cell>
          <cell r="J711">
            <v>2</v>
          </cell>
          <cell r="K711">
            <v>1</v>
          </cell>
          <cell r="M711" t="str">
            <v>35-0926163-5</v>
          </cell>
          <cell r="N711" t="str">
            <v>512-568-288</v>
          </cell>
          <cell r="O711">
            <v>32</v>
          </cell>
          <cell r="P711">
            <v>402</v>
          </cell>
          <cell r="Q711">
            <v>51</v>
          </cell>
          <cell r="R711">
            <v>1</v>
          </cell>
          <cell r="S711">
            <v>0</v>
          </cell>
          <cell r="T711" t="str">
            <v>Jimwell Bonganay
Bgy. Dita, Sta. Rosa, Laguna
0948-013-7531</v>
          </cell>
          <cell r="U711" t="str">
            <v>2023-02-15</v>
          </cell>
        </row>
        <row r="712">
          <cell r="C712" t="str">
            <v>S013</v>
          </cell>
          <cell r="D712" t="str">
            <v>Regado</v>
          </cell>
          <cell r="E712" t="str">
            <v>Anthony</v>
          </cell>
          <cell r="F712" t="str">
            <v>Azarcon</v>
          </cell>
          <cell r="G712" t="str">
            <v>Anton</v>
          </cell>
          <cell r="H712" t="str">
            <v>0928-190-1860</v>
          </cell>
          <cell r="I712" t="str">
            <v>1999-03-19</v>
          </cell>
          <cell r="J712">
            <v>1</v>
          </cell>
          <cell r="K712">
            <v>1</v>
          </cell>
          <cell r="M712" t="str">
            <v>34-8087165-2</v>
          </cell>
          <cell r="N712" t="str">
            <v>622-359-934</v>
          </cell>
          <cell r="O712">
            <v>31</v>
          </cell>
          <cell r="P712">
            <v>403</v>
          </cell>
          <cell r="Q712">
            <v>51</v>
          </cell>
          <cell r="R712">
            <v>1</v>
          </cell>
          <cell r="S712">
            <v>0</v>
          </cell>
          <cell r="T712" t="str">
            <v>Theresa A. Regado
181 Paso St, bagumbayan,
Taguig City
0912-749-9645</v>
          </cell>
          <cell r="U712" t="str">
            <v>2023-03-01</v>
          </cell>
        </row>
        <row r="713">
          <cell r="C713" t="str">
            <v>S014</v>
          </cell>
          <cell r="D713" t="str">
            <v>Balason</v>
          </cell>
          <cell r="E713" t="str">
            <v>Lovine May</v>
          </cell>
          <cell r="F713" t="str">
            <v>Servano</v>
          </cell>
          <cell r="G713" t="str">
            <v>Lovine</v>
          </cell>
          <cell r="H713" t="str">
            <v>0916-656-8097</v>
          </cell>
          <cell r="I713" t="str">
            <v>1996-09-22</v>
          </cell>
          <cell r="J713">
            <v>2</v>
          </cell>
          <cell r="K713">
            <v>1</v>
          </cell>
          <cell r="M713" t="str">
            <v>04-4225552-3</v>
          </cell>
          <cell r="N713" t="str">
            <v>378-400-756</v>
          </cell>
          <cell r="O713">
            <v>86</v>
          </cell>
          <cell r="P713">
            <v>466</v>
          </cell>
          <cell r="Q713">
            <v>33</v>
          </cell>
          <cell r="R713">
            <v>8</v>
          </cell>
          <cell r="S713">
            <v>0</v>
          </cell>
          <cell r="T713" t="str">
            <v>Angelica S. Balason
Purok 5, Bgy. Concepcion,
Batangas City, Batangas
0977-324-8178</v>
          </cell>
          <cell r="U713" t="str">
            <v>2023-03-06</v>
          </cell>
        </row>
        <row r="714">
          <cell r="C714" t="str">
            <v>S015</v>
          </cell>
          <cell r="D714" t="str">
            <v>De Leon</v>
          </cell>
          <cell r="E714" t="str">
            <v>Yamil Maverick</v>
          </cell>
          <cell r="F714" t="str">
            <v>Baybay</v>
          </cell>
          <cell r="G714" t="str">
            <v>Yamil</v>
          </cell>
          <cell r="H714" t="str">
            <v>0915-715-5642</v>
          </cell>
          <cell r="I714" t="str">
            <v>1997-11-13</v>
          </cell>
          <cell r="J714">
            <v>1</v>
          </cell>
          <cell r="K714">
            <v>1</v>
          </cell>
          <cell r="M714" t="str">
            <v>04-3790890-8</v>
          </cell>
          <cell r="N714" t="str">
            <v>488-152-792</v>
          </cell>
          <cell r="O714">
            <v>31</v>
          </cell>
          <cell r="P714">
            <v>403</v>
          </cell>
          <cell r="Q714">
            <v>51</v>
          </cell>
          <cell r="R714">
            <v>1</v>
          </cell>
          <cell r="S714">
            <v>0</v>
          </cell>
          <cell r="T714" t="str">
            <v>Mallen B. De Leon
Buntog, Canlubang, Calamba City
0975-264-7356</v>
          </cell>
          <cell r="U714" t="str">
            <v>2023-03-08</v>
          </cell>
        </row>
        <row r="715">
          <cell r="C715" t="str">
            <v>S016</v>
          </cell>
          <cell r="D715" t="str">
            <v>Calma</v>
          </cell>
          <cell r="E715" t="str">
            <v>Precious Danielle</v>
          </cell>
          <cell r="F715" t="str">
            <v>Trinidad</v>
          </cell>
          <cell r="G715" t="str">
            <v>Precious</v>
          </cell>
          <cell r="H715" t="str">
            <v>0999-793-4236</v>
          </cell>
          <cell r="I715" t="str">
            <v>1996-02-09</v>
          </cell>
          <cell r="J715">
            <v>2</v>
          </cell>
          <cell r="K715">
            <v>1</v>
          </cell>
          <cell r="M715" t="str">
            <v>04-3937258-7</v>
          </cell>
          <cell r="N715" t="str">
            <v>734-752-699</v>
          </cell>
          <cell r="O715">
            <v>86</v>
          </cell>
          <cell r="P715">
            <v>466</v>
          </cell>
          <cell r="Q715">
            <v>33</v>
          </cell>
          <cell r="R715">
            <v>8</v>
          </cell>
          <cell r="S715">
            <v>0</v>
          </cell>
          <cell r="T715" t="str">
            <v>Giessitte T. Calma
Sitio 6 Bgy. Patimbao, 
Sta. Cruz, Laguna
0999-793-4364</v>
          </cell>
          <cell r="U715" t="str">
            <v>2023-03-13</v>
          </cell>
        </row>
        <row r="716">
          <cell r="C716" t="str">
            <v>S018</v>
          </cell>
          <cell r="D716" t="str">
            <v>Garcia</v>
          </cell>
          <cell r="E716" t="str">
            <v>April Krish</v>
          </cell>
          <cell r="F716" t="str">
            <v>Villanueva</v>
          </cell>
          <cell r="G716" t="str">
            <v>Krish</v>
          </cell>
          <cell r="H716" t="str">
            <v>0917-875-2803</v>
          </cell>
          <cell r="I716" t="str">
            <v>1996-04-14</v>
          </cell>
          <cell r="J716">
            <v>1</v>
          </cell>
          <cell r="K716">
            <v>1</v>
          </cell>
          <cell r="M716" t="str">
            <v>04-4000384-5</v>
          </cell>
          <cell r="N716" t="str">
            <v>473-063-925</v>
          </cell>
          <cell r="O716">
            <v>98</v>
          </cell>
          <cell r="P716">
            <v>402</v>
          </cell>
          <cell r="Q716">
            <v>51</v>
          </cell>
          <cell r="R716">
            <v>1</v>
          </cell>
          <cell r="S716">
            <v>0</v>
          </cell>
          <cell r="T716" t="str">
            <v>Violeta V. Garcia
Blk15 Lot8 Camella Dos Rios,
Pittland, Cabuyao City, Laguna
0917-870-1135</v>
          </cell>
          <cell r="U716" t="str">
            <v>2023-03-14</v>
          </cell>
        </row>
        <row r="717">
          <cell r="C717" t="str">
            <v>S024</v>
          </cell>
          <cell r="D717" t="str">
            <v>Abrera</v>
          </cell>
          <cell r="E717" t="str">
            <v>Camille</v>
          </cell>
          <cell r="F717" t="str">
            <v>Villegas</v>
          </cell>
          <cell r="G717" t="str">
            <v>Cams</v>
          </cell>
          <cell r="H717" t="str">
            <v>0938-324-2660</v>
          </cell>
          <cell r="I717" t="str">
            <v>1997-08-20</v>
          </cell>
          <cell r="J717">
            <v>2</v>
          </cell>
          <cell r="K717">
            <v>2</v>
          </cell>
          <cell r="L717" t="str">
            <v>Gino Tacda Abrera</v>
          </cell>
          <cell r="M717" t="str">
            <v>34-8822375-2</v>
          </cell>
          <cell r="O717">
            <v>43</v>
          </cell>
          <cell r="P717">
            <v>502</v>
          </cell>
          <cell r="Q717">
            <v>62</v>
          </cell>
          <cell r="R717">
            <v>12</v>
          </cell>
          <cell r="S717">
            <v>0</v>
          </cell>
          <cell r="T717" t="str">
            <v>Emma V. Dela Cruz
Pitong Gatang, Bgy. San Jose,
Calumpit, Bulacan
0909-617-3212</v>
          </cell>
          <cell r="U717" t="str">
            <v>2023-04-01</v>
          </cell>
        </row>
        <row r="718">
          <cell r="C718" t="str">
            <v>S022</v>
          </cell>
          <cell r="D718" t="str">
            <v>Matsuzaki</v>
          </cell>
          <cell r="E718" t="str">
            <v>Yoichi</v>
          </cell>
          <cell r="F718">
            <v>0</v>
          </cell>
          <cell r="G718" t="str">
            <v>Yoichi</v>
          </cell>
          <cell r="I718" t="str">
            <v>1974-02-27</v>
          </cell>
          <cell r="J718">
            <v>1</v>
          </cell>
          <cell r="K718">
            <v>2</v>
          </cell>
          <cell r="L718" t="str">
            <v>Yuki Matsuzaki</v>
          </cell>
          <cell r="M718">
            <v>0</v>
          </cell>
          <cell r="N718" t="str">
            <v>623-298-983</v>
          </cell>
          <cell r="O718">
            <v>4</v>
          </cell>
          <cell r="P718">
            <v>478</v>
          </cell>
          <cell r="Q718">
            <v>54</v>
          </cell>
          <cell r="R718">
            <v>9</v>
          </cell>
          <cell r="S718">
            <v>0</v>
          </cell>
          <cell r="U718" t="str">
            <v>2023-04-01</v>
          </cell>
        </row>
        <row r="719">
          <cell r="C719" t="str">
            <v>S023</v>
          </cell>
          <cell r="D719" t="str">
            <v>Nozaki</v>
          </cell>
          <cell r="E719" t="str">
            <v>Tadashi</v>
          </cell>
          <cell r="F719">
            <v>0</v>
          </cell>
          <cell r="G719" t="str">
            <v>Tadashi</v>
          </cell>
          <cell r="I719" t="str">
            <v>1972-08-04</v>
          </cell>
          <cell r="J719">
            <v>1</v>
          </cell>
          <cell r="K719">
            <v>2</v>
          </cell>
          <cell r="L719" t="str">
            <v>Youko Nozaki</v>
          </cell>
          <cell r="M719">
            <v>0</v>
          </cell>
          <cell r="N719" t="str">
            <v>623-300-182</v>
          </cell>
          <cell r="O719">
            <v>4</v>
          </cell>
          <cell r="P719">
            <v>429</v>
          </cell>
          <cell r="Q719">
            <v>23</v>
          </cell>
          <cell r="R719">
            <v>4</v>
          </cell>
          <cell r="S719">
            <v>0</v>
          </cell>
          <cell r="U719" t="str">
            <v>2023-04-01</v>
          </cell>
        </row>
        <row r="720">
          <cell r="C720" t="str">
            <v>S026</v>
          </cell>
          <cell r="D720" t="str">
            <v>Aguinillo</v>
          </cell>
          <cell r="E720" t="str">
            <v>Roan</v>
          </cell>
          <cell r="F720" t="str">
            <v>Ebardo</v>
          </cell>
          <cell r="G720" t="str">
            <v>Roan</v>
          </cell>
          <cell r="H720" t="str">
            <v>0907-031-6830</v>
          </cell>
          <cell r="I720" t="str">
            <v>2001-03-25</v>
          </cell>
          <cell r="J720">
            <v>2</v>
          </cell>
          <cell r="K720">
            <v>1</v>
          </cell>
          <cell r="M720" t="str">
            <v>34-9957765-9</v>
          </cell>
          <cell r="N720" t="str">
            <v>085-699-066</v>
          </cell>
          <cell r="O720">
            <v>43</v>
          </cell>
          <cell r="P720">
            <v>502</v>
          </cell>
          <cell r="Q720">
            <v>62</v>
          </cell>
          <cell r="R720">
            <v>12</v>
          </cell>
          <cell r="S720">
            <v>0</v>
          </cell>
          <cell r="T720" t="str">
            <v>Nemia E. Aguinillo
Parian, Calamba City, Laguna
0912-237-0664</v>
          </cell>
          <cell r="U720" t="str">
            <v>2023-04-01</v>
          </cell>
        </row>
        <row r="721">
          <cell r="C721" t="str">
            <v>S027</v>
          </cell>
          <cell r="D721" t="str">
            <v>Arban</v>
          </cell>
          <cell r="E721" t="str">
            <v>Liezel</v>
          </cell>
          <cell r="F721" t="str">
            <v>Consignado</v>
          </cell>
          <cell r="G721" t="str">
            <v>Liezel</v>
          </cell>
          <cell r="H721" t="str">
            <v>0967-255-5981</v>
          </cell>
          <cell r="I721" t="str">
            <v>2000-11-25</v>
          </cell>
          <cell r="J721">
            <v>2</v>
          </cell>
          <cell r="K721">
            <v>1</v>
          </cell>
          <cell r="M721" t="str">
            <v>04-4240367-6</v>
          </cell>
          <cell r="N721" t="str">
            <v>359-018-550</v>
          </cell>
          <cell r="O721">
            <v>43</v>
          </cell>
          <cell r="P721">
            <v>502</v>
          </cell>
          <cell r="Q721">
            <v>62</v>
          </cell>
          <cell r="R721">
            <v>12</v>
          </cell>
          <cell r="S721">
            <v>0</v>
          </cell>
          <cell r="T721" t="str">
            <v>Analie C. Arban
Bgy. Maravilla, Nagcarlan, Laguna
0965-231-4506</v>
          </cell>
          <cell r="U721" t="str">
            <v>2023-04-01</v>
          </cell>
        </row>
        <row r="722">
          <cell r="C722" t="str">
            <v>S028</v>
          </cell>
          <cell r="D722" t="str">
            <v>Auguis</v>
          </cell>
          <cell r="E722" t="str">
            <v>Ismael</v>
          </cell>
          <cell r="F722" t="str">
            <v>Alovero</v>
          </cell>
          <cell r="G722" t="str">
            <v>Smile</v>
          </cell>
          <cell r="H722" t="str">
            <v>0955-311-9527</v>
          </cell>
          <cell r="I722" t="str">
            <v>1990-12-12</v>
          </cell>
          <cell r="J722">
            <v>1</v>
          </cell>
          <cell r="K722">
            <v>1</v>
          </cell>
          <cell r="M722" t="str">
            <v>34-5036027-4</v>
          </cell>
          <cell r="N722" t="str">
            <v>484-413-532</v>
          </cell>
          <cell r="O722">
            <v>43</v>
          </cell>
          <cell r="P722">
            <v>492</v>
          </cell>
          <cell r="Q722">
            <v>55</v>
          </cell>
          <cell r="R722">
            <v>11</v>
          </cell>
          <cell r="S722">
            <v>0</v>
          </cell>
          <cell r="T722" t="str">
            <v>Jennylou De Asis
General Trias, Cavite
0905-797-1209</v>
          </cell>
          <cell r="U722" t="str">
            <v>2023-04-01</v>
          </cell>
        </row>
        <row r="723">
          <cell r="C723" t="str">
            <v>S029</v>
          </cell>
          <cell r="D723" t="str">
            <v>Ayuma</v>
          </cell>
          <cell r="E723" t="str">
            <v>Cindy</v>
          </cell>
          <cell r="F723" t="str">
            <v>Alfon</v>
          </cell>
          <cell r="G723" t="str">
            <v>Cindy</v>
          </cell>
          <cell r="I723" t="str">
            <v>1998-09-19</v>
          </cell>
          <cell r="J723">
            <v>2</v>
          </cell>
          <cell r="K723">
            <v>1</v>
          </cell>
          <cell r="M723" t="str">
            <v>04-4121571-3</v>
          </cell>
          <cell r="N723" t="str">
            <v>380-227-811</v>
          </cell>
          <cell r="O723">
            <v>43</v>
          </cell>
          <cell r="P723">
            <v>502</v>
          </cell>
          <cell r="Q723">
            <v>62</v>
          </cell>
          <cell r="R723">
            <v>12</v>
          </cell>
          <cell r="S723">
            <v>0</v>
          </cell>
          <cell r="T723" t="str">
            <v>Gerald Jay L. Torres
Blk 4 Lot 5 Prince Village,
Banlic, Cabuyao, Laguna
0960-846-6376</v>
          </cell>
          <cell r="U723" t="str">
            <v>2023-04-01</v>
          </cell>
        </row>
        <row r="724">
          <cell r="C724" t="str">
            <v>S030</v>
          </cell>
          <cell r="D724" t="str">
            <v>Balictar</v>
          </cell>
          <cell r="E724" t="str">
            <v>May Ann</v>
          </cell>
          <cell r="F724" t="str">
            <v>Barsaga</v>
          </cell>
          <cell r="G724" t="str">
            <v>Ann</v>
          </cell>
          <cell r="H724" t="str">
            <v>0951-493-0077</v>
          </cell>
          <cell r="I724" t="str">
            <v>2000-05-12</v>
          </cell>
          <cell r="J724">
            <v>2</v>
          </cell>
          <cell r="K724">
            <v>1</v>
          </cell>
          <cell r="M724" t="str">
            <v>34-9970453-2</v>
          </cell>
          <cell r="N724" t="str">
            <v>389-989-666</v>
          </cell>
          <cell r="O724">
            <v>43</v>
          </cell>
          <cell r="P724">
            <v>502</v>
          </cell>
          <cell r="Q724">
            <v>62</v>
          </cell>
          <cell r="R724">
            <v>12</v>
          </cell>
          <cell r="S724">
            <v>0</v>
          </cell>
          <cell r="T724" t="str">
            <v>Arlene B. Balictar
1015 Belflor, San Cristobal,
Calamba city, Laguna
0912-824-9252</v>
          </cell>
          <cell r="U724" t="str">
            <v>2023-04-01</v>
          </cell>
        </row>
        <row r="725">
          <cell r="C725" t="str">
            <v>S031</v>
          </cell>
          <cell r="D725" t="str">
            <v>Barbin</v>
          </cell>
          <cell r="E725" t="str">
            <v>Crystal</v>
          </cell>
          <cell r="F725" t="str">
            <v>Clemente</v>
          </cell>
          <cell r="G725" t="str">
            <v>Tala</v>
          </cell>
          <cell r="H725" t="str">
            <v>0963-513-4624</v>
          </cell>
          <cell r="I725" t="str">
            <v>1998-09-16</v>
          </cell>
          <cell r="J725">
            <v>2</v>
          </cell>
          <cell r="K725">
            <v>1</v>
          </cell>
          <cell r="M725" t="str">
            <v>35-0608746-9</v>
          </cell>
          <cell r="N725" t="str">
            <v>393-066-266</v>
          </cell>
          <cell r="O725">
            <v>43</v>
          </cell>
          <cell r="P725">
            <v>502</v>
          </cell>
          <cell r="Q725">
            <v>62</v>
          </cell>
          <cell r="R725">
            <v>12</v>
          </cell>
          <cell r="S725">
            <v>0</v>
          </cell>
          <cell r="T725" t="str">
            <v>Ariel T. Macaraig
San Cristobal, Calamba, Laguna
0963-697-5432</v>
          </cell>
          <cell r="U725" t="str">
            <v>2023-04-01</v>
          </cell>
        </row>
        <row r="726">
          <cell r="C726" t="str">
            <v>S032</v>
          </cell>
          <cell r="D726" t="str">
            <v>Batario</v>
          </cell>
          <cell r="E726" t="str">
            <v>John Emman</v>
          </cell>
          <cell r="F726" t="str">
            <v>Reymondodia</v>
          </cell>
          <cell r="G726" t="str">
            <v>Heart</v>
          </cell>
          <cell r="H726" t="str">
            <v>0965-489-3296</v>
          </cell>
          <cell r="I726" t="str">
            <v>2001-10-17</v>
          </cell>
          <cell r="J726">
            <v>1</v>
          </cell>
          <cell r="K726">
            <v>1</v>
          </cell>
          <cell r="M726" t="str">
            <v>34-9559936-9</v>
          </cell>
          <cell r="N726" t="str">
            <v>503-364-538</v>
          </cell>
          <cell r="O726">
            <v>43</v>
          </cell>
          <cell r="P726">
            <v>502</v>
          </cell>
          <cell r="Q726">
            <v>62</v>
          </cell>
          <cell r="R726">
            <v>12</v>
          </cell>
          <cell r="S726">
            <v>0</v>
          </cell>
          <cell r="T726" t="str">
            <v>Mary Jane Gapas
Birmingham Vill., Bgy. Pulo,
Cabuyao, Laguna
0928-182-6102</v>
          </cell>
          <cell r="U726" t="str">
            <v>2023-04-01</v>
          </cell>
        </row>
        <row r="727">
          <cell r="C727" t="str">
            <v>S033</v>
          </cell>
          <cell r="D727" t="str">
            <v>Bautista</v>
          </cell>
          <cell r="E727" t="str">
            <v>Jeanine Pauline</v>
          </cell>
          <cell r="F727" t="str">
            <v>Estrada</v>
          </cell>
          <cell r="G727" t="str">
            <v>Jeanine</v>
          </cell>
          <cell r="H727" t="str">
            <v>0930-149-7473</v>
          </cell>
          <cell r="I727" t="str">
            <v>1995-08-19</v>
          </cell>
          <cell r="J727">
            <v>2</v>
          </cell>
          <cell r="K727">
            <v>1</v>
          </cell>
          <cell r="M727" t="str">
            <v>34-4779038-1</v>
          </cell>
          <cell r="N727" t="str">
            <v>472-391-174</v>
          </cell>
          <cell r="O727">
            <v>43</v>
          </cell>
          <cell r="P727">
            <v>502</v>
          </cell>
          <cell r="Q727">
            <v>62</v>
          </cell>
          <cell r="R727">
            <v>12</v>
          </cell>
          <cell r="S727">
            <v>0</v>
          </cell>
          <cell r="T727" t="str">
            <v>Josefina E. Bautista
Blk 1C Lot 3 New Sta. Rosa Homes,
Bgy. Dita, Sta. Rosa, Laguna
0969-196-1119</v>
          </cell>
          <cell r="U727" t="str">
            <v>2023-04-01</v>
          </cell>
        </row>
        <row r="728">
          <cell r="C728" t="str">
            <v>S034</v>
          </cell>
          <cell r="D728" t="str">
            <v>Bello</v>
          </cell>
          <cell r="E728" t="str">
            <v>Rosemarie</v>
          </cell>
          <cell r="F728" t="str">
            <v>Poco</v>
          </cell>
          <cell r="G728" t="str">
            <v>Rose</v>
          </cell>
          <cell r="H728" t="str">
            <v>0963-2730722</v>
          </cell>
          <cell r="I728" t="str">
            <v>1998-10-30</v>
          </cell>
          <cell r="J728">
            <v>2</v>
          </cell>
          <cell r="K728">
            <v>1</v>
          </cell>
          <cell r="M728" t="str">
            <v>04-4184378-7</v>
          </cell>
          <cell r="N728" t="str">
            <v>372-690-071</v>
          </cell>
          <cell r="O728">
            <v>43</v>
          </cell>
          <cell r="P728">
            <v>502</v>
          </cell>
          <cell r="Q728">
            <v>62</v>
          </cell>
          <cell r="R728">
            <v>12</v>
          </cell>
          <cell r="S728">
            <v>0</v>
          </cell>
          <cell r="T728" t="str">
            <v>Francia Bello
Parian Purok 6,
Calamba City, Laguna
0912-463-5370</v>
          </cell>
          <cell r="U728" t="str">
            <v>2023-04-01</v>
          </cell>
        </row>
        <row r="729">
          <cell r="C729" t="str">
            <v>S112</v>
          </cell>
          <cell r="D729" t="str">
            <v>Bernabe</v>
          </cell>
          <cell r="E729" t="str">
            <v>John Michael</v>
          </cell>
          <cell r="F729" t="str">
            <v>Ortil</v>
          </cell>
          <cell r="G729" t="str">
            <v>Mico</v>
          </cell>
          <cell r="H729" t="str">
            <v>0912-834-3679</v>
          </cell>
          <cell r="I729" t="str">
            <v>1999-02-27</v>
          </cell>
          <cell r="J729">
            <v>1</v>
          </cell>
          <cell r="K729">
            <v>1</v>
          </cell>
          <cell r="M729" t="str">
            <v>04-3893188-0</v>
          </cell>
          <cell r="N729" t="str">
            <v>338-845-413</v>
          </cell>
          <cell r="O729">
            <v>43</v>
          </cell>
          <cell r="P729">
            <v>492</v>
          </cell>
          <cell r="Q729">
            <v>55</v>
          </cell>
          <cell r="R729">
            <v>11</v>
          </cell>
          <cell r="S729">
            <v>0</v>
          </cell>
          <cell r="T729" t="str">
            <v>Nerissa Bernabe
Blk 11 Lot 20 Majada In,
Canlubang, Calamba City
0945-9709099</v>
          </cell>
          <cell r="U729" t="str">
            <v>2023-04-01</v>
          </cell>
        </row>
        <row r="730">
          <cell r="C730" t="str">
            <v>S035</v>
          </cell>
          <cell r="D730" t="str">
            <v>Bicaldo</v>
          </cell>
          <cell r="E730" t="str">
            <v>Analyn</v>
          </cell>
          <cell r="F730" t="str">
            <v>Anselmo</v>
          </cell>
          <cell r="G730" t="str">
            <v>Ana</v>
          </cell>
          <cell r="H730" t="str">
            <v>0975-475-0417</v>
          </cell>
          <cell r="I730" t="str">
            <v>1997-01-04</v>
          </cell>
          <cell r="J730">
            <v>2</v>
          </cell>
          <cell r="K730">
            <v>1</v>
          </cell>
          <cell r="M730" t="str">
            <v>05-1520041-8</v>
          </cell>
          <cell r="N730" t="str">
            <v>744-572-175</v>
          </cell>
          <cell r="O730">
            <v>96</v>
          </cell>
          <cell r="P730">
            <v>491</v>
          </cell>
          <cell r="Q730">
            <v>56</v>
          </cell>
          <cell r="R730">
            <v>11</v>
          </cell>
          <cell r="S730">
            <v>0</v>
          </cell>
          <cell r="T730" t="str">
            <v>Michael Dignadice
Blk30 Lot15 Hongkong Village,
Banaybanay, Cabuyao, Laguna
0906-096-5450</v>
          </cell>
          <cell r="U730" t="str">
            <v>2023-04-01</v>
          </cell>
        </row>
        <row r="731">
          <cell r="C731" t="str">
            <v>S036</v>
          </cell>
          <cell r="D731" t="str">
            <v>Brondia</v>
          </cell>
          <cell r="E731" t="str">
            <v>Paulo</v>
          </cell>
          <cell r="F731" t="str">
            <v>Beruela</v>
          </cell>
          <cell r="G731" t="str">
            <v>Bronj</v>
          </cell>
          <cell r="H731" t="str">
            <v>0963-336-5208</v>
          </cell>
          <cell r="I731" t="str">
            <v>1997-10-12</v>
          </cell>
          <cell r="J731">
            <v>1</v>
          </cell>
          <cell r="K731">
            <v>1</v>
          </cell>
          <cell r="M731" t="str">
            <v>04-3725032-6</v>
          </cell>
          <cell r="N731" t="str">
            <v>327-245-454</v>
          </cell>
          <cell r="O731">
            <v>43</v>
          </cell>
          <cell r="P731">
            <v>502</v>
          </cell>
          <cell r="Q731">
            <v>62</v>
          </cell>
          <cell r="R731">
            <v>12</v>
          </cell>
          <cell r="S731">
            <v>0</v>
          </cell>
          <cell r="T731" t="str">
            <v>Rodel Brondia
Blk3 Lot15 St Joseph Homes I,
Gulod, Cabuyao, Laguna
0920-614-9291</v>
          </cell>
          <cell r="U731" t="str">
            <v>2023-04-01</v>
          </cell>
        </row>
        <row r="732">
          <cell r="C732" t="str">
            <v>S039</v>
          </cell>
          <cell r="D732" t="str">
            <v>Cabradilla</v>
          </cell>
          <cell r="E732" t="str">
            <v>Joan</v>
          </cell>
          <cell r="F732" t="str">
            <v>Dazal</v>
          </cell>
          <cell r="G732" t="str">
            <v>Joh</v>
          </cell>
          <cell r="H732" t="str">
            <v>0993-287-2637</v>
          </cell>
          <cell r="I732" t="str">
            <v>2000-10-19</v>
          </cell>
          <cell r="J732">
            <v>2</v>
          </cell>
          <cell r="K732">
            <v>1</v>
          </cell>
          <cell r="M732" t="str">
            <v>05-1541962-3</v>
          </cell>
          <cell r="O732">
            <v>43</v>
          </cell>
          <cell r="P732">
            <v>502</v>
          </cell>
          <cell r="Q732">
            <v>62</v>
          </cell>
          <cell r="R732">
            <v>12</v>
          </cell>
          <cell r="S732">
            <v>0</v>
          </cell>
          <cell r="T732" t="str">
            <v>Ryan B. Botalon
Borja Subd, Parian,
Calamba, Laguna
0948-031-6421</v>
          </cell>
          <cell r="U732" t="str">
            <v>2023-04-01</v>
          </cell>
        </row>
        <row r="733">
          <cell r="C733" t="str">
            <v>S040</v>
          </cell>
          <cell r="D733" t="str">
            <v xml:space="preserve">Cabrera </v>
          </cell>
          <cell r="E733" t="str">
            <v>Eugine</v>
          </cell>
          <cell r="F733" t="str">
            <v>Abon</v>
          </cell>
          <cell r="G733" t="str">
            <v>Gine</v>
          </cell>
          <cell r="H733" t="str">
            <v>0926-633-0193</v>
          </cell>
          <cell r="I733" t="str">
            <v>2002-09-02</v>
          </cell>
          <cell r="J733">
            <v>1</v>
          </cell>
          <cell r="K733">
            <v>1</v>
          </cell>
          <cell r="M733" t="str">
            <v>35-1173555-7</v>
          </cell>
          <cell r="N733" t="str">
            <v>397-425-949</v>
          </cell>
          <cell r="O733">
            <v>43</v>
          </cell>
          <cell r="P733">
            <v>502</v>
          </cell>
          <cell r="Q733">
            <v>62</v>
          </cell>
          <cell r="R733">
            <v>12</v>
          </cell>
          <cell r="S733">
            <v>0</v>
          </cell>
          <cell r="T733" t="str">
            <v>Micaela Persincula
70 National Highway,
Banay-banay, Cabuyao, Laguna
0927-930-0803</v>
          </cell>
          <cell r="U733" t="str">
            <v>2023-04-01</v>
          </cell>
        </row>
        <row r="734">
          <cell r="C734" t="str">
            <v>S041</v>
          </cell>
          <cell r="D734" t="str">
            <v>Cabrera</v>
          </cell>
          <cell r="E734" t="str">
            <v>Princess Lea</v>
          </cell>
          <cell r="F734" t="str">
            <v>Reyes</v>
          </cell>
          <cell r="G734" t="str">
            <v>Yah</v>
          </cell>
          <cell r="H734" t="str">
            <v>0956-477-7669</v>
          </cell>
          <cell r="I734" t="str">
            <v>2002-06-07</v>
          </cell>
          <cell r="J734">
            <v>2</v>
          </cell>
          <cell r="K734">
            <v>1</v>
          </cell>
          <cell r="M734" t="str">
            <v>35-1214417-6</v>
          </cell>
          <cell r="O734">
            <v>43</v>
          </cell>
          <cell r="P734">
            <v>502</v>
          </cell>
          <cell r="Q734">
            <v>62</v>
          </cell>
          <cell r="R734">
            <v>12</v>
          </cell>
          <cell r="S734">
            <v>0</v>
          </cell>
          <cell r="T734" t="str">
            <v>Princess Joy Alfuerte
Bgy. San Antonio, Mabitac, Laguna
0963-432-9309</v>
          </cell>
          <cell r="U734" t="str">
            <v>2023-04-01</v>
          </cell>
        </row>
        <row r="735">
          <cell r="C735" t="str">
            <v>S043</v>
          </cell>
          <cell r="D735" t="str">
            <v>Caday</v>
          </cell>
          <cell r="E735" t="str">
            <v>Mark Jude</v>
          </cell>
          <cell r="F735">
            <v>0</v>
          </cell>
          <cell r="G735" t="str">
            <v>M-Jhay</v>
          </cell>
          <cell r="H735" t="str">
            <v>0926-698-9105</v>
          </cell>
          <cell r="I735" t="str">
            <v>1993-08-10</v>
          </cell>
          <cell r="J735">
            <v>1</v>
          </cell>
          <cell r="K735">
            <v>1</v>
          </cell>
          <cell r="M735" t="str">
            <v>09-3914664-0</v>
          </cell>
          <cell r="N735" t="str">
            <v>467-986-587</v>
          </cell>
          <cell r="O735">
            <v>40</v>
          </cell>
          <cell r="P735">
            <v>500</v>
          </cell>
          <cell r="Q735">
            <v>65</v>
          </cell>
          <cell r="R735">
            <v>12</v>
          </cell>
          <cell r="S735">
            <v>0</v>
          </cell>
          <cell r="T735" t="str">
            <v>Rodel Cano
Laurel St, Rizal Villaga,
Bgy. Paciano, Calamba, Laguna
0908-906-1233</v>
          </cell>
          <cell r="U735" t="str">
            <v>2023-04-01</v>
          </cell>
        </row>
        <row r="736">
          <cell r="C736" t="str">
            <v>S044</v>
          </cell>
          <cell r="D736" t="str">
            <v>Capellan</v>
          </cell>
          <cell r="E736" t="str">
            <v>Ereca</v>
          </cell>
          <cell r="F736" t="str">
            <v>Marcaida</v>
          </cell>
          <cell r="G736" t="str">
            <v>Ecay</v>
          </cell>
          <cell r="H736" t="str">
            <v>0975-791-8915</v>
          </cell>
          <cell r="I736" t="str">
            <v>2002-09-21</v>
          </cell>
          <cell r="J736">
            <v>2</v>
          </cell>
          <cell r="K736">
            <v>1</v>
          </cell>
          <cell r="M736" t="str">
            <v>35-0338976-2</v>
          </cell>
          <cell r="N736" t="str">
            <v>776-064-153</v>
          </cell>
          <cell r="O736">
            <v>43</v>
          </cell>
          <cell r="P736">
            <v>502</v>
          </cell>
          <cell r="Q736">
            <v>62</v>
          </cell>
          <cell r="R736">
            <v>12</v>
          </cell>
          <cell r="S736">
            <v>0</v>
          </cell>
          <cell r="T736" t="str">
            <v>Patrick A. Marbella
Garcia's Compd, Paciano Rizal,
Calamba City, Laguna
0955-486-1857</v>
          </cell>
          <cell r="U736" t="str">
            <v>2023-04-01</v>
          </cell>
        </row>
        <row r="737">
          <cell r="C737" t="str">
            <v>S045</v>
          </cell>
          <cell r="D737" t="str">
            <v>Capiroso</v>
          </cell>
          <cell r="E737" t="str">
            <v>Charlene</v>
          </cell>
          <cell r="F737" t="str">
            <v>Oliveros</v>
          </cell>
          <cell r="G737" t="str">
            <v>Cha</v>
          </cell>
          <cell r="H737" t="str">
            <v>0991-520-8532</v>
          </cell>
          <cell r="I737" t="str">
            <v>1988-04-30</v>
          </cell>
          <cell r="J737">
            <v>2</v>
          </cell>
          <cell r="K737">
            <v>2</v>
          </cell>
          <cell r="L737" t="str">
            <v>Japhet Alcaraz Capiroso</v>
          </cell>
          <cell r="M737" t="str">
            <v>04-1540614-7</v>
          </cell>
          <cell r="N737" t="str">
            <v>303-621-983</v>
          </cell>
          <cell r="O737">
            <v>43</v>
          </cell>
          <cell r="P737">
            <v>502</v>
          </cell>
          <cell r="Q737">
            <v>62</v>
          </cell>
          <cell r="R737">
            <v>12</v>
          </cell>
          <cell r="S737">
            <v>0</v>
          </cell>
          <cell r="T737" t="str">
            <v>Japhet A. Capiroso
#303 Sampaguita St,
Bgy. Lingga, Calamba City, Laguna
0949-194-6861</v>
          </cell>
          <cell r="U737" t="str">
            <v>2023-04-01</v>
          </cell>
        </row>
        <row r="738">
          <cell r="C738" t="str">
            <v>S128</v>
          </cell>
          <cell r="D738" t="str">
            <v>Castro</v>
          </cell>
          <cell r="E738" t="str">
            <v>Andrey</v>
          </cell>
          <cell r="F738" t="str">
            <v>Quepid</v>
          </cell>
          <cell r="G738" t="str">
            <v>Drey</v>
          </cell>
          <cell r="H738" t="str">
            <v>0991-914-7429</v>
          </cell>
          <cell r="I738" t="str">
            <v>1999-12-11</v>
          </cell>
          <cell r="J738">
            <v>1</v>
          </cell>
          <cell r="K738">
            <v>1</v>
          </cell>
          <cell r="M738" t="str">
            <v>05-1435858-1</v>
          </cell>
          <cell r="N738" t="str">
            <v>724-700-444</v>
          </cell>
          <cell r="O738">
            <v>43</v>
          </cell>
          <cell r="P738">
            <v>502</v>
          </cell>
          <cell r="Q738">
            <v>62</v>
          </cell>
          <cell r="R738">
            <v>12</v>
          </cell>
          <cell r="S738">
            <v>0</v>
          </cell>
          <cell r="T738" t="str">
            <v>Gina S. Boncodin
Calawat, Pamplona, Camarines Sur
0947-184-4198</v>
          </cell>
          <cell r="U738" t="str">
            <v>2023-04-01</v>
          </cell>
        </row>
        <row r="739">
          <cell r="C739" t="str">
            <v>S046</v>
          </cell>
          <cell r="D739" t="str">
            <v>Carbolledo</v>
          </cell>
          <cell r="E739" t="str">
            <v>Romar</v>
          </cell>
          <cell r="F739" t="str">
            <v>Adona</v>
          </cell>
          <cell r="G739" t="str">
            <v>Romar</v>
          </cell>
          <cell r="H739" t="str">
            <v>0927-944-0338</v>
          </cell>
          <cell r="I739" t="str">
            <v>1997-10-04</v>
          </cell>
          <cell r="J739">
            <v>1</v>
          </cell>
          <cell r="K739">
            <v>1</v>
          </cell>
          <cell r="M739" t="str">
            <v>34-6807925-6</v>
          </cell>
          <cell r="N739" t="str">
            <v>341-485-525</v>
          </cell>
          <cell r="O739">
            <v>43</v>
          </cell>
          <cell r="P739">
            <v>492</v>
          </cell>
          <cell r="Q739">
            <v>55</v>
          </cell>
          <cell r="R739">
            <v>11</v>
          </cell>
          <cell r="S739">
            <v>0</v>
          </cell>
          <cell r="T739" t="str">
            <v>Ella M. Abucejo
Blk27 Lot5 Ph2 Southville 4
Pooc, Sta. Rosa, Laguna
0992-424-3176</v>
          </cell>
          <cell r="U739" t="str">
            <v>2023-04-01</v>
          </cell>
        </row>
        <row r="740">
          <cell r="C740" t="str">
            <v>S047</v>
          </cell>
          <cell r="D740" t="str">
            <v>Catuera</v>
          </cell>
          <cell r="E740" t="str">
            <v>Raymart</v>
          </cell>
          <cell r="F740" t="str">
            <v>Jaspeo</v>
          </cell>
          <cell r="G740" t="str">
            <v>Emak</v>
          </cell>
          <cell r="H740" t="str">
            <v>0910-718-8325</v>
          </cell>
          <cell r="I740" t="str">
            <v>1997-12-10</v>
          </cell>
          <cell r="J740">
            <v>1</v>
          </cell>
          <cell r="K740">
            <v>1</v>
          </cell>
          <cell r="M740" t="str">
            <v>04-3700820-6</v>
          </cell>
          <cell r="N740" t="str">
            <v>329-006-803</v>
          </cell>
          <cell r="O740">
            <v>43</v>
          </cell>
          <cell r="P740">
            <v>502</v>
          </cell>
          <cell r="Q740">
            <v>62</v>
          </cell>
          <cell r="R740">
            <v>12</v>
          </cell>
          <cell r="S740">
            <v>0</v>
          </cell>
          <cell r="T740" t="str">
            <v>Mary Rose Catuera
Purok 3 Lawa, Calamba, Laguna
0930-841-3526</v>
          </cell>
          <cell r="U740" t="str">
            <v>2023-04-01</v>
          </cell>
        </row>
        <row r="741">
          <cell r="C741" t="str">
            <v>S048</v>
          </cell>
          <cell r="D741" t="str">
            <v>CuÃ±ada</v>
          </cell>
          <cell r="E741" t="str">
            <v>Lorenz</v>
          </cell>
          <cell r="F741" t="str">
            <v>Bargo</v>
          </cell>
          <cell r="G741" t="str">
            <v>Renz</v>
          </cell>
          <cell r="H741" t="str">
            <v>0927-944-0529</v>
          </cell>
          <cell r="I741" t="str">
            <v>1993-11-30</v>
          </cell>
          <cell r="J741">
            <v>1</v>
          </cell>
          <cell r="K741">
            <v>1</v>
          </cell>
          <cell r="M741" t="str">
            <v>04-3598778-5</v>
          </cell>
          <cell r="N741" t="str">
            <v>382-597-004</v>
          </cell>
          <cell r="O741">
            <v>43</v>
          </cell>
          <cell r="P741">
            <v>499</v>
          </cell>
          <cell r="Q741">
            <v>66</v>
          </cell>
          <cell r="R741">
            <v>12</v>
          </cell>
          <cell r="S741">
            <v>0</v>
          </cell>
          <cell r="T741" t="str">
            <v>Liezel Faraon
Mabuhay, Cabuyao, Laguna
0907-412-6855</v>
          </cell>
          <cell r="U741" t="str">
            <v>2023-04-01</v>
          </cell>
        </row>
        <row r="742">
          <cell r="C742" t="str">
            <v>S049</v>
          </cell>
          <cell r="D742" t="str">
            <v>Dalida</v>
          </cell>
          <cell r="E742" t="str">
            <v>Dina Mae</v>
          </cell>
          <cell r="F742" t="str">
            <v>Aguihap</v>
          </cell>
          <cell r="G742" t="str">
            <v>Joy</v>
          </cell>
          <cell r="H742" t="str">
            <v>0919-552-6162</v>
          </cell>
          <cell r="I742" t="str">
            <v>1993-01-07</v>
          </cell>
          <cell r="J742">
            <v>2</v>
          </cell>
          <cell r="K742">
            <v>1</v>
          </cell>
          <cell r="M742" t="str">
            <v>04-2392831-6</v>
          </cell>
          <cell r="N742" t="str">
            <v>329-346-395</v>
          </cell>
          <cell r="O742">
            <v>43</v>
          </cell>
          <cell r="P742">
            <v>502</v>
          </cell>
          <cell r="Q742">
            <v>62</v>
          </cell>
          <cell r="R742">
            <v>12</v>
          </cell>
          <cell r="S742">
            <v>0</v>
          </cell>
          <cell r="T742" t="str">
            <v>Christian G. Gutierrez
Bgy. Uno, Purok 9, Crossing,
Calamba City, Laguna
0910-917-7268</v>
          </cell>
          <cell r="U742" t="str">
            <v>2023-04-01</v>
          </cell>
        </row>
        <row r="743">
          <cell r="C743" t="str">
            <v>S050</v>
          </cell>
          <cell r="D743" t="str">
            <v>Dayag</v>
          </cell>
          <cell r="E743" t="str">
            <v>Edrin</v>
          </cell>
          <cell r="F743" t="str">
            <v>Capuno</v>
          </cell>
          <cell r="G743" t="str">
            <v>Drin</v>
          </cell>
          <cell r="H743" t="str">
            <v>0939-152-4285</v>
          </cell>
          <cell r="I743" t="str">
            <v>2000-06-22</v>
          </cell>
          <cell r="J743">
            <v>1</v>
          </cell>
          <cell r="K743">
            <v>1</v>
          </cell>
          <cell r="M743" t="str">
            <v>34-8474360-5</v>
          </cell>
          <cell r="N743" t="str">
            <v>616-222-063</v>
          </cell>
          <cell r="O743">
            <v>43</v>
          </cell>
          <cell r="P743">
            <v>502</v>
          </cell>
          <cell r="Q743">
            <v>62</v>
          </cell>
          <cell r="R743">
            <v>12</v>
          </cell>
          <cell r="S743">
            <v>0</v>
          </cell>
          <cell r="T743" t="str">
            <v>Rinalyn C. Dayag
0926-933-2807</v>
          </cell>
          <cell r="U743" t="str">
            <v>2023-04-01</v>
          </cell>
        </row>
        <row r="744">
          <cell r="C744" t="str">
            <v>S042</v>
          </cell>
          <cell r="D744" t="str">
            <v>Cada</v>
          </cell>
          <cell r="E744" t="str">
            <v>Lily</v>
          </cell>
          <cell r="F744" t="str">
            <v>De los Santos</v>
          </cell>
          <cell r="G744" t="str">
            <v>Lily</v>
          </cell>
          <cell r="H744" t="str">
            <v>0948-045-4210</v>
          </cell>
          <cell r="I744" t="str">
            <v>1988-03-05</v>
          </cell>
          <cell r="J744">
            <v>2</v>
          </cell>
          <cell r="K744">
            <v>1</v>
          </cell>
          <cell r="M744" t="str">
            <v>34-2970305-3</v>
          </cell>
          <cell r="N744" t="str">
            <v>443-687-874</v>
          </cell>
          <cell r="O744">
            <v>43</v>
          </cell>
          <cell r="P744">
            <v>502</v>
          </cell>
          <cell r="Q744">
            <v>62</v>
          </cell>
          <cell r="R744">
            <v>12</v>
          </cell>
          <cell r="S744">
            <v>0</v>
          </cell>
          <cell r="T744" t="str">
            <v>Amalia Cada
Purok 3 Bucal, Calamba, Laguna
0912-462-2505</v>
          </cell>
          <cell r="U744" t="str">
            <v>2023-04-01</v>
          </cell>
        </row>
        <row r="745">
          <cell r="C745" t="str">
            <v>S051</v>
          </cell>
          <cell r="D745" t="str">
            <v>Desupida</v>
          </cell>
          <cell r="E745" t="str">
            <v>Aljun Leo</v>
          </cell>
          <cell r="F745" t="str">
            <v>Tumbaga</v>
          </cell>
          <cell r="G745" t="str">
            <v>Leo</v>
          </cell>
          <cell r="H745" t="str">
            <v>0977-168-1023</v>
          </cell>
          <cell r="I745" t="str">
            <v>1995-05-27</v>
          </cell>
          <cell r="J745">
            <v>1</v>
          </cell>
          <cell r="K745">
            <v>1</v>
          </cell>
          <cell r="M745" t="str">
            <v>04-2843401-2</v>
          </cell>
          <cell r="N745" t="str">
            <v>480-383-999</v>
          </cell>
          <cell r="O745">
            <v>43</v>
          </cell>
          <cell r="P745">
            <v>502</v>
          </cell>
          <cell r="Q745">
            <v>62</v>
          </cell>
          <cell r="R745">
            <v>12</v>
          </cell>
          <cell r="S745">
            <v>0</v>
          </cell>
          <cell r="T745" t="str">
            <v>Mark John Desupida
Centennial Homes, Cabuyao, Laguna
0966-990-3466</v>
          </cell>
          <cell r="U745" t="str">
            <v>2023-04-01</v>
          </cell>
        </row>
        <row r="746">
          <cell r="C746" t="str">
            <v>S053</v>
          </cell>
          <cell r="D746" t="str">
            <v>Dupitas</v>
          </cell>
          <cell r="E746" t="str">
            <v>Lea</v>
          </cell>
          <cell r="F746" t="str">
            <v>Ruar</v>
          </cell>
          <cell r="G746" t="str">
            <v>Lee</v>
          </cell>
          <cell r="H746" t="str">
            <v>(049) 535-8365</v>
          </cell>
          <cell r="I746" t="str">
            <v>1996-01-28</v>
          </cell>
          <cell r="J746">
            <v>2</v>
          </cell>
          <cell r="K746">
            <v>1</v>
          </cell>
          <cell r="M746" t="str">
            <v>04-3539023-3</v>
          </cell>
          <cell r="N746" t="str">
            <v>330-057-648</v>
          </cell>
          <cell r="O746">
            <v>43</v>
          </cell>
          <cell r="P746">
            <v>502</v>
          </cell>
          <cell r="Q746">
            <v>62</v>
          </cell>
          <cell r="R746">
            <v>12</v>
          </cell>
          <cell r="S746">
            <v>0</v>
          </cell>
          <cell r="T746" t="str">
            <v>Christian R. Serrano
Lecheria, Calamba, Laguna
0956-834-9603</v>
          </cell>
          <cell r="U746" t="str">
            <v>2023-04-01</v>
          </cell>
        </row>
        <row r="747">
          <cell r="C747" t="str">
            <v>S054</v>
          </cell>
          <cell r="D747" t="str">
            <v>Encontro</v>
          </cell>
          <cell r="E747" t="str">
            <v>Junna</v>
          </cell>
          <cell r="F747" t="str">
            <v>Sarillo</v>
          </cell>
          <cell r="G747" t="str">
            <v>Jho</v>
          </cell>
          <cell r="H747" t="str">
            <v>0956-133-9698</v>
          </cell>
          <cell r="I747" t="str">
            <v>1987-10-15</v>
          </cell>
          <cell r="J747">
            <v>2</v>
          </cell>
          <cell r="K747">
            <v>1</v>
          </cell>
          <cell r="M747" t="str">
            <v>04-3583564-6</v>
          </cell>
          <cell r="N747" t="str">
            <v>276-084-511</v>
          </cell>
          <cell r="O747">
            <v>43</v>
          </cell>
          <cell r="P747">
            <v>502</v>
          </cell>
          <cell r="Q747">
            <v>62</v>
          </cell>
          <cell r="R747">
            <v>12</v>
          </cell>
          <cell r="S747">
            <v>0</v>
          </cell>
          <cell r="T747" t="str">
            <v>Maurino Alcovendas
Bgy. Tagoc, Kabankalan,
Negros Occidental
0918-642-5291</v>
          </cell>
          <cell r="U747" t="str">
            <v>2023-04-01</v>
          </cell>
        </row>
        <row r="748">
          <cell r="C748" t="str">
            <v>S055</v>
          </cell>
          <cell r="D748" t="str">
            <v>Fernandez</v>
          </cell>
          <cell r="E748" t="str">
            <v>Mary Joy</v>
          </cell>
          <cell r="F748" t="str">
            <v>Ocampo</v>
          </cell>
          <cell r="G748" t="str">
            <v>Jaja</v>
          </cell>
          <cell r="H748" t="str">
            <v>0956-134-3405</v>
          </cell>
          <cell r="I748" t="str">
            <v>2001-12-01</v>
          </cell>
          <cell r="J748">
            <v>2</v>
          </cell>
          <cell r="K748">
            <v>1</v>
          </cell>
          <cell r="M748" t="str">
            <v>34-9078031-9</v>
          </cell>
          <cell r="N748" t="str">
            <v>377-320-694</v>
          </cell>
          <cell r="O748">
            <v>43</v>
          </cell>
          <cell r="P748">
            <v>502</v>
          </cell>
          <cell r="Q748">
            <v>62</v>
          </cell>
          <cell r="R748">
            <v>12</v>
          </cell>
          <cell r="S748">
            <v>0</v>
          </cell>
          <cell r="T748" t="str">
            <v>Marites O. Fernandez
010 Purok 1, Macabling,
St. Rosa, Laguna
0905-907-4768</v>
          </cell>
          <cell r="U748" t="str">
            <v>2023-04-01</v>
          </cell>
        </row>
        <row r="749">
          <cell r="C749" t="str">
            <v>S056</v>
          </cell>
          <cell r="D749" t="str">
            <v>Frias</v>
          </cell>
          <cell r="E749" t="str">
            <v>Rommel</v>
          </cell>
          <cell r="F749" t="str">
            <v>Diego</v>
          </cell>
          <cell r="G749" t="str">
            <v>Mel</v>
          </cell>
          <cell r="H749" t="str">
            <v>0981-215-6971</v>
          </cell>
          <cell r="I749" t="str">
            <v>1997-12-17</v>
          </cell>
          <cell r="J749">
            <v>1</v>
          </cell>
          <cell r="K749">
            <v>1</v>
          </cell>
          <cell r="M749" t="str">
            <v>04-4039648-4</v>
          </cell>
          <cell r="N749" t="str">
            <v>750-260-315</v>
          </cell>
          <cell r="O749">
            <v>43</v>
          </cell>
          <cell r="P749">
            <v>502</v>
          </cell>
          <cell r="Q749">
            <v>62</v>
          </cell>
          <cell r="R749">
            <v>12</v>
          </cell>
          <cell r="S749">
            <v>0</v>
          </cell>
          <cell r="T749" t="str">
            <v>Marly Diego
San Carlos City, Pangasinan
0909-272-9686</v>
          </cell>
          <cell r="U749" t="str">
            <v>2023-04-01</v>
          </cell>
        </row>
        <row r="750">
          <cell r="C750" t="str">
            <v>S057</v>
          </cell>
          <cell r="D750" t="str">
            <v>Galisim</v>
          </cell>
          <cell r="E750" t="str">
            <v>Christine Joy</v>
          </cell>
          <cell r="F750" t="str">
            <v>Espiritu</v>
          </cell>
          <cell r="G750" t="str">
            <v>CJoy</v>
          </cell>
          <cell r="H750" t="str">
            <v>0927-637-3953</v>
          </cell>
          <cell r="I750" t="str">
            <v>1992-11-02</v>
          </cell>
          <cell r="J750">
            <v>2</v>
          </cell>
          <cell r="K750">
            <v>1</v>
          </cell>
          <cell r="M750" t="str">
            <v>04-2710697-2</v>
          </cell>
          <cell r="N750" t="str">
            <v>442-237-603</v>
          </cell>
          <cell r="O750">
            <v>43</v>
          </cell>
          <cell r="P750">
            <v>493</v>
          </cell>
          <cell r="Q750">
            <v>55</v>
          </cell>
          <cell r="R750">
            <v>11</v>
          </cell>
          <cell r="S750">
            <v>0</v>
          </cell>
          <cell r="T750" t="str">
            <v>Ofelia E. Galisim
Purok 5, Bgy. Calumpang,
Liliw, Laguna
0936-939-9050</v>
          </cell>
          <cell r="U750" t="str">
            <v>2023-04-01</v>
          </cell>
        </row>
        <row r="751">
          <cell r="C751" t="str">
            <v>S058</v>
          </cell>
          <cell r="D751" t="str">
            <v>Garcillano</v>
          </cell>
          <cell r="E751" t="str">
            <v>Evangeline</v>
          </cell>
          <cell r="F751" t="str">
            <v>Lanuza</v>
          </cell>
          <cell r="G751" t="str">
            <v>Vangie</v>
          </cell>
          <cell r="H751" t="str">
            <v>0930-978-6454</v>
          </cell>
          <cell r="I751" t="str">
            <v>1999-10-14</v>
          </cell>
          <cell r="J751">
            <v>2</v>
          </cell>
          <cell r="K751">
            <v>1</v>
          </cell>
          <cell r="M751" t="str">
            <v>04-4137858-2</v>
          </cell>
          <cell r="N751" t="str">
            <v>353-362-886</v>
          </cell>
          <cell r="O751">
            <v>43</v>
          </cell>
          <cell r="P751">
            <v>502</v>
          </cell>
          <cell r="Q751">
            <v>62</v>
          </cell>
          <cell r="R751">
            <v>12</v>
          </cell>
          <cell r="S751">
            <v>0</v>
          </cell>
          <cell r="T751" t="str">
            <v>Veronica L. Garcillano
#423 Riverside Niugan,
Cabuyao City, Laguna
0912-925-0705</v>
          </cell>
          <cell r="U751" t="str">
            <v>2023-04-01</v>
          </cell>
        </row>
        <row r="752">
          <cell r="C752" t="str">
            <v>S131</v>
          </cell>
          <cell r="D752" t="str">
            <v>Red</v>
          </cell>
          <cell r="E752" t="str">
            <v>Ryan</v>
          </cell>
          <cell r="F752">
            <v>0</v>
          </cell>
          <cell r="G752" t="str">
            <v>Ryan</v>
          </cell>
          <cell r="H752" t="str">
            <v>0936-936-7046</v>
          </cell>
          <cell r="I752" t="str">
            <v>1996-12-05</v>
          </cell>
          <cell r="J752">
            <v>1</v>
          </cell>
          <cell r="K752">
            <v>1</v>
          </cell>
          <cell r="M752" t="str">
            <v>04-2813130-2</v>
          </cell>
          <cell r="N752" t="str">
            <v>315-656-958</v>
          </cell>
          <cell r="O752">
            <v>55</v>
          </cell>
          <cell r="P752">
            <v>435</v>
          </cell>
          <cell r="Q752">
            <v>19</v>
          </cell>
          <cell r="R752">
            <v>4</v>
          </cell>
          <cell r="S752">
            <v>0</v>
          </cell>
          <cell r="T752" t="str">
            <v>Rowena Red
Banlic Calamba City Laguna
0950-464-2109</v>
          </cell>
          <cell r="U752" t="str">
            <v>2023-04-03</v>
          </cell>
        </row>
        <row r="753">
          <cell r="C753" t="str">
            <v>S059</v>
          </cell>
          <cell r="D753" t="str">
            <v>Gerance</v>
          </cell>
          <cell r="E753" t="str">
            <v>Christeo</v>
          </cell>
          <cell r="F753" t="str">
            <v>Gacilo</v>
          </cell>
          <cell r="G753" t="str">
            <v>Teo</v>
          </cell>
          <cell r="H753" t="str">
            <v>0970-655-9935</v>
          </cell>
          <cell r="I753" t="str">
            <v>1993-07-06</v>
          </cell>
          <cell r="J753">
            <v>1</v>
          </cell>
          <cell r="K753">
            <v>1</v>
          </cell>
          <cell r="M753" t="str">
            <v>34-3708734-7</v>
          </cell>
          <cell r="N753" t="str">
            <v>321-085-224</v>
          </cell>
          <cell r="O753">
            <v>43</v>
          </cell>
          <cell r="P753">
            <v>502</v>
          </cell>
          <cell r="Q753">
            <v>62</v>
          </cell>
          <cell r="R753">
            <v>12</v>
          </cell>
          <cell r="S753">
            <v>0</v>
          </cell>
          <cell r="T753" t="str">
            <v xml:space="preserve">Mary Joy Porcincula
LITEX Commonwealth Quezon City
0961-339-7088
</v>
          </cell>
          <cell r="U753" t="str">
            <v>2023-04-01</v>
          </cell>
        </row>
        <row r="754">
          <cell r="C754" t="str">
            <v>S060</v>
          </cell>
          <cell r="D754" t="str">
            <v>Gonzales</v>
          </cell>
          <cell r="E754" t="str">
            <v>Ronel</v>
          </cell>
          <cell r="F754" t="str">
            <v>Bernal</v>
          </cell>
          <cell r="G754" t="str">
            <v>RB</v>
          </cell>
          <cell r="H754" t="str">
            <v>0926-512-6563</v>
          </cell>
          <cell r="I754" t="str">
            <v>1999-10-19</v>
          </cell>
          <cell r="J754">
            <v>1</v>
          </cell>
          <cell r="K754">
            <v>1</v>
          </cell>
          <cell r="M754" t="str">
            <v>04-4042330-2</v>
          </cell>
          <cell r="N754" t="str">
            <v>738-772-199</v>
          </cell>
          <cell r="O754">
            <v>43</v>
          </cell>
          <cell r="P754">
            <v>492</v>
          </cell>
          <cell r="Q754">
            <v>55</v>
          </cell>
          <cell r="R754">
            <v>11</v>
          </cell>
          <cell r="S754">
            <v>0</v>
          </cell>
          <cell r="T754" t="str">
            <v>Evangeline Gonzales
Blk 58, Lot110 Southville 1, Niugan
Cabuyao City Laguna
0935-352-3931</v>
          </cell>
          <cell r="U754" t="str">
            <v>2023-04-01</v>
          </cell>
        </row>
        <row r="755">
          <cell r="C755" t="str">
            <v>S061</v>
          </cell>
          <cell r="D755" t="str">
            <v>Hare</v>
          </cell>
          <cell r="E755" t="str">
            <v>Monica</v>
          </cell>
          <cell r="F755" t="str">
            <v>Briones</v>
          </cell>
          <cell r="G755" t="str">
            <v>Nick</v>
          </cell>
          <cell r="H755" t="str">
            <v>0966-407-4788</v>
          </cell>
          <cell r="I755" t="str">
            <v>1992-07-20</v>
          </cell>
          <cell r="J755">
            <v>2</v>
          </cell>
          <cell r="K755">
            <v>1</v>
          </cell>
          <cell r="M755" t="str">
            <v>05-1024545-2</v>
          </cell>
          <cell r="N755" t="str">
            <v>352-204-999</v>
          </cell>
          <cell r="O755">
            <v>43</v>
          </cell>
          <cell r="P755">
            <v>502</v>
          </cell>
          <cell r="Q755">
            <v>62</v>
          </cell>
          <cell r="R755">
            <v>12</v>
          </cell>
          <cell r="S755">
            <v>0</v>
          </cell>
          <cell r="T755" t="str">
            <v>Marice Hare
Brgy. Real Calamba City Laguna
0915-215-2169</v>
          </cell>
          <cell r="U755" t="str">
            <v>2023-04-01</v>
          </cell>
        </row>
        <row r="756">
          <cell r="C756" t="str">
            <v>S063</v>
          </cell>
          <cell r="D756" t="str">
            <v>Hizon</v>
          </cell>
          <cell r="E756" t="str">
            <v>Ruth</v>
          </cell>
          <cell r="F756">
            <v>0</v>
          </cell>
          <cell r="G756" t="str">
            <v>Ruthay</v>
          </cell>
          <cell r="H756" t="str">
            <v>0935-705-0879</v>
          </cell>
          <cell r="I756" t="str">
            <v>2001-05-12</v>
          </cell>
          <cell r="J756">
            <v>2</v>
          </cell>
          <cell r="K756">
            <v>1</v>
          </cell>
          <cell r="M756" t="str">
            <v>34-9382405-2</v>
          </cell>
          <cell r="N756" t="str">
            <v>372-620-287</v>
          </cell>
          <cell r="O756">
            <v>43</v>
          </cell>
          <cell r="P756">
            <v>502</v>
          </cell>
          <cell r="Q756">
            <v>62</v>
          </cell>
          <cell r="R756">
            <v>12</v>
          </cell>
          <cell r="S756">
            <v>0</v>
          </cell>
          <cell r="T756" t="str">
            <v>Richmond Hizon
Brgy. Looc, Calamba City
0992-514-6529</v>
          </cell>
          <cell r="U756" t="str">
            <v>2023-04-01</v>
          </cell>
        </row>
        <row r="757">
          <cell r="C757" t="str">
            <v>S064</v>
          </cell>
          <cell r="D757" t="str">
            <v>Holar</v>
          </cell>
          <cell r="E757" t="str">
            <v>Angelica</v>
          </cell>
          <cell r="F757" t="str">
            <v>Boringgot</v>
          </cell>
          <cell r="G757" t="str">
            <v>Angge</v>
          </cell>
          <cell r="H757" t="str">
            <v>0951-242-2973</v>
          </cell>
          <cell r="I757" t="str">
            <v>2001-03-31</v>
          </cell>
          <cell r="J757">
            <v>2</v>
          </cell>
          <cell r="K757">
            <v>1</v>
          </cell>
          <cell r="M757" t="str">
            <v>34-9429013-5</v>
          </cell>
          <cell r="N757" t="str">
            <v>512-214-851</v>
          </cell>
          <cell r="O757">
            <v>43</v>
          </cell>
          <cell r="P757">
            <v>492</v>
          </cell>
          <cell r="Q757">
            <v>55</v>
          </cell>
          <cell r="R757">
            <v>11</v>
          </cell>
          <cell r="S757">
            <v>0</v>
          </cell>
          <cell r="T757" t="str">
            <v>Lanny B. Holar
Purok 2 Mapagong  Calamba City Laguna
0991-913-8475</v>
          </cell>
          <cell r="U757" t="str">
            <v>2023-04-01</v>
          </cell>
        </row>
        <row r="758">
          <cell r="C758" t="str">
            <v>S066</v>
          </cell>
          <cell r="D758" t="str">
            <v>Ilagan</v>
          </cell>
          <cell r="E758" t="str">
            <v>Grace</v>
          </cell>
          <cell r="F758" t="str">
            <v>Carrido</v>
          </cell>
          <cell r="G758" t="str">
            <v>Gracia</v>
          </cell>
          <cell r="H758" t="str">
            <v>0951-241-3836</v>
          </cell>
          <cell r="I758" t="str">
            <v>2002-02-25</v>
          </cell>
          <cell r="J758">
            <v>2</v>
          </cell>
          <cell r="K758">
            <v>1</v>
          </cell>
          <cell r="M758" t="str">
            <v>35-0746047-0</v>
          </cell>
          <cell r="N758" t="str">
            <v>374-424-817</v>
          </cell>
          <cell r="O758">
            <v>43</v>
          </cell>
          <cell r="P758">
            <v>492</v>
          </cell>
          <cell r="Q758">
            <v>55</v>
          </cell>
          <cell r="R758">
            <v>11</v>
          </cell>
          <cell r="S758">
            <v>0</v>
          </cell>
          <cell r="T758" t="str">
            <v>Delia Ilagan
Lot 23 Blk 9 Unit 13 Belflor
San  Cristobal Calamba City Laguna
0981-352-2802</v>
          </cell>
          <cell r="U758" t="str">
            <v>2023-04-01</v>
          </cell>
        </row>
        <row r="759">
          <cell r="C759" t="str">
            <v>S068</v>
          </cell>
          <cell r="D759" t="str">
            <v>Julaton</v>
          </cell>
          <cell r="E759" t="str">
            <v>Aries</v>
          </cell>
          <cell r="F759" t="str">
            <v>Celeste</v>
          </cell>
          <cell r="G759" t="str">
            <v>Ris</v>
          </cell>
          <cell r="H759" t="str">
            <v>0907-297-5726</v>
          </cell>
          <cell r="I759" t="str">
            <v>1998-04-16</v>
          </cell>
          <cell r="J759">
            <v>1</v>
          </cell>
          <cell r="K759">
            <v>1</v>
          </cell>
          <cell r="M759" t="str">
            <v>02-4297262-4</v>
          </cell>
          <cell r="N759" t="str">
            <v>369-843-166</v>
          </cell>
          <cell r="O759">
            <v>43</v>
          </cell>
          <cell r="P759">
            <v>502</v>
          </cell>
          <cell r="Q759">
            <v>62</v>
          </cell>
          <cell r="R759">
            <v>12</v>
          </cell>
          <cell r="S759">
            <v>0</v>
          </cell>
          <cell r="T759" t="str">
            <v>Jayson C. Julaton
Luciente 2nd Bolinao Pangasinan
0961-814-5561</v>
          </cell>
          <cell r="U759" t="str">
            <v>2023-04-01</v>
          </cell>
        </row>
        <row r="760">
          <cell r="C760" t="str">
            <v>S070</v>
          </cell>
          <cell r="D760" t="str">
            <v>Lumibao</v>
          </cell>
          <cell r="E760" t="str">
            <v>Kenneth</v>
          </cell>
          <cell r="F760" t="str">
            <v>Trambulo</v>
          </cell>
          <cell r="G760" t="str">
            <v>Neth</v>
          </cell>
          <cell r="H760" t="str">
            <v>0956-883-3651</v>
          </cell>
          <cell r="I760" t="str">
            <v>2000-08-20</v>
          </cell>
          <cell r="J760">
            <v>1</v>
          </cell>
          <cell r="K760">
            <v>1</v>
          </cell>
          <cell r="M760" t="str">
            <v>34-9479414-9</v>
          </cell>
          <cell r="N760" t="str">
            <v>775-692-545</v>
          </cell>
          <cell r="O760">
            <v>43</v>
          </cell>
          <cell r="P760">
            <v>502</v>
          </cell>
          <cell r="Q760">
            <v>62</v>
          </cell>
          <cell r="R760">
            <v>12</v>
          </cell>
          <cell r="S760">
            <v>0</v>
          </cell>
          <cell r="T760" t="str">
            <v>Jovelyn T. Lumibao
Purol 1 Mapagong
Calamba City, Laguna
0915-231-4217</v>
          </cell>
          <cell r="U760" t="str">
            <v>2023-04-01</v>
          </cell>
        </row>
        <row r="761">
          <cell r="C761" t="str">
            <v>S071</v>
          </cell>
          <cell r="D761" t="str">
            <v>Macalalad</v>
          </cell>
          <cell r="E761" t="str">
            <v>Ericka</v>
          </cell>
          <cell r="F761" t="str">
            <v>Cello</v>
          </cell>
          <cell r="G761" t="str">
            <v>Eka</v>
          </cell>
          <cell r="H761" t="str">
            <v>0931-768-2464</v>
          </cell>
          <cell r="I761" t="str">
            <v>2000-09-11</v>
          </cell>
          <cell r="J761">
            <v>2</v>
          </cell>
          <cell r="K761">
            <v>1</v>
          </cell>
          <cell r="M761" t="str">
            <v>35-0111680-1</v>
          </cell>
          <cell r="N761" t="str">
            <v>387-771-442</v>
          </cell>
          <cell r="O761">
            <v>43</v>
          </cell>
          <cell r="P761">
            <v>502</v>
          </cell>
          <cell r="Q761">
            <v>62</v>
          </cell>
          <cell r="R761">
            <v>12</v>
          </cell>
          <cell r="S761">
            <v>0</v>
          </cell>
          <cell r="T761" t="str">
            <v>Arsenia C. Macalalad
San Agustin II, Naujan Oriental Mindoro
0985-989-9195</v>
          </cell>
          <cell r="U761" t="str">
            <v>2023-04-01</v>
          </cell>
        </row>
        <row r="762">
          <cell r="C762" t="str">
            <v>S072</v>
          </cell>
          <cell r="D762" t="str">
            <v>Madulid</v>
          </cell>
          <cell r="E762" t="str">
            <v>Arcent</v>
          </cell>
          <cell r="F762" t="str">
            <v>Solano</v>
          </cell>
          <cell r="G762" t="str">
            <v>Cent</v>
          </cell>
          <cell r="H762" t="str">
            <v>0938-322-6766</v>
          </cell>
          <cell r="I762" t="str">
            <v>1997-09-05</v>
          </cell>
          <cell r="J762">
            <v>1</v>
          </cell>
          <cell r="K762">
            <v>2</v>
          </cell>
          <cell r="L762" t="str">
            <v>Abegiel Hernandez Briones</v>
          </cell>
          <cell r="M762" t="str">
            <v>04-4195756-3</v>
          </cell>
          <cell r="N762" t="str">
            <v>356-683-466</v>
          </cell>
          <cell r="O762">
            <v>43</v>
          </cell>
          <cell r="P762">
            <v>485</v>
          </cell>
          <cell r="Q762">
            <v>59</v>
          </cell>
          <cell r="R762">
            <v>11</v>
          </cell>
          <cell r="S762">
            <v>0</v>
          </cell>
          <cell r="T762" t="str">
            <v>Abegiel Madulid
Blk 19 Lot 20 Hacienda Del Sol
Tanauan City Batangas
0909-745-3005</v>
          </cell>
          <cell r="U762" t="str">
            <v>2023-04-01</v>
          </cell>
        </row>
        <row r="763">
          <cell r="C763" t="str">
            <v>S073</v>
          </cell>
          <cell r="D763" t="str">
            <v>Magsino</v>
          </cell>
          <cell r="E763" t="str">
            <v>Darius</v>
          </cell>
          <cell r="F763" t="str">
            <v>Llanes</v>
          </cell>
          <cell r="G763" t="str">
            <v>Dario</v>
          </cell>
          <cell r="H763" t="str">
            <v>0929-219-4520</v>
          </cell>
          <cell r="I763" t="str">
            <v>1993-06-05</v>
          </cell>
          <cell r="J763">
            <v>1</v>
          </cell>
          <cell r="K763">
            <v>1</v>
          </cell>
          <cell r="M763" t="str">
            <v>04-2509203-3</v>
          </cell>
          <cell r="N763" t="str">
            <v>497-850-878</v>
          </cell>
          <cell r="O763">
            <v>43</v>
          </cell>
          <cell r="P763">
            <v>493</v>
          </cell>
          <cell r="Q763">
            <v>55</v>
          </cell>
          <cell r="R763">
            <v>11</v>
          </cell>
          <cell r="S763">
            <v>0</v>
          </cell>
          <cell r="T763" t="str">
            <v>Danilo L. Magsino
Paciano Rizal Calamba City Laguna
0939-864-7834</v>
          </cell>
          <cell r="U763" t="str">
            <v>2023-04-01</v>
          </cell>
        </row>
        <row r="764">
          <cell r="C764" t="str">
            <v>S074</v>
          </cell>
          <cell r="D764" t="str">
            <v>Manata</v>
          </cell>
          <cell r="E764" t="str">
            <v>Emely Jean</v>
          </cell>
          <cell r="F764" t="str">
            <v>Equipado</v>
          </cell>
          <cell r="G764" t="str">
            <v>Chen</v>
          </cell>
          <cell r="H764" t="str">
            <v>0948-070-7961</v>
          </cell>
          <cell r="I764" t="str">
            <v>1997-12-13</v>
          </cell>
          <cell r="J764">
            <v>2</v>
          </cell>
          <cell r="K764">
            <v>1</v>
          </cell>
          <cell r="M764" t="str">
            <v>04-4176113-1</v>
          </cell>
          <cell r="N764" t="str">
            <v>362-216-281</v>
          </cell>
          <cell r="O764">
            <v>43</v>
          </cell>
          <cell r="P764">
            <v>502</v>
          </cell>
          <cell r="Q764">
            <v>62</v>
          </cell>
          <cell r="R764">
            <v>12</v>
          </cell>
          <cell r="S764">
            <v>0</v>
          </cell>
          <cell r="T764" t="str">
            <v>Emerlita Manata
B1 L22 Farcon Ville, San Cristobal Calamba City
Laguna
0950-527-7218</v>
          </cell>
          <cell r="U764" t="str">
            <v>2023-04-01</v>
          </cell>
        </row>
        <row r="765">
          <cell r="C765" t="str">
            <v>S078</v>
          </cell>
          <cell r="D765" t="str">
            <v>Mateo</v>
          </cell>
          <cell r="E765" t="str">
            <v>Abigail</v>
          </cell>
          <cell r="F765" t="str">
            <v>Torlao</v>
          </cell>
          <cell r="G765" t="str">
            <v>Aby</v>
          </cell>
          <cell r="H765" t="str">
            <v>0930-455-0030</v>
          </cell>
          <cell r="I765" t="str">
            <v>2000-11-11</v>
          </cell>
          <cell r="J765">
            <v>2</v>
          </cell>
          <cell r="K765">
            <v>1</v>
          </cell>
          <cell r="M765" t="str">
            <v>34-9547676-7</v>
          </cell>
          <cell r="N765" t="str">
            <v>377-950-312</v>
          </cell>
          <cell r="O765">
            <v>40</v>
          </cell>
          <cell r="P765">
            <v>488</v>
          </cell>
          <cell r="Q765">
            <v>58</v>
          </cell>
          <cell r="R765">
            <v>11</v>
          </cell>
          <cell r="S765">
            <v>0</v>
          </cell>
          <cell r="T765" t="str">
            <v>Joselito Mateo
St. Michael Lazer Compound Brgy Cinco
Calamba City Laguna
0963-302-9263</v>
          </cell>
          <cell r="U765" t="str">
            <v>2023-04-01</v>
          </cell>
        </row>
        <row r="766">
          <cell r="C766" t="str">
            <v>S081</v>
          </cell>
          <cell r="D766" t="str">
            <v>Mendoza</v>
          </cell>
          <cell r="E766" t="str">
            <v>Adrian</v>
          </cell>
          <cell r="F766" t="str">
            <v>Fontanilla</v>
          </cell>
          <cell r="G766" t="str">
            <v>Dian</v>
          </cell>
          <cell r="H766" t="str">
            <v>0953-216-7512</v>
          </cell>
          <cell r="I766" t="str">
            <v>1990-03-24</v>
          </cell>
          <cell r="J766">
            <v>1</v>
          </cell>
          <cell r="K766">
            <v>1</v>
          </cell>
          <cell r="M766" t="str">
            <v>34-1873652-3</v>
          </cell>
          <cell r="N766" t="str">
            <v>766-309-225</v>
          </cell>
          <cell r="O766">
            <v>43</v>
          </cell>
          <cell r="P766">
            <v>502</v>
          </cell>
          <cell r="Q766">
            <v>62</v>
          </cell>
          <cell r="R766">
            <v>12</v>
          </cell>
          <cell r="S766">
            <v>0</v>
          </cell>
          <cell r="T766" t="str">
            <v>Lodelyn IbaÃ±ez
Blk 4 Lot 1 Diezmo
Cabuyao City Laguna
0975-226-7454</v>
          </cell>
          <cell r="U766" t="str">
            <v>2023-04-01</v>
          </cell>
        </row>
        <row r="767">
          <cell r="C767" t="str">
            <v>S082</v>
          </cell>
          <cell r="D767" t="str">
            <v>Morales</v>
          </cell>
          <cell r="E767" t="str">
            <v>Maregen</v>
          </cell>
          <cell r="F767" t="str">
            <v>Alvarez</v>
          </cell>
          <cell r="G767" t="str">
            <v>Magen</v>
          </cell>
          <cell r="H767" t="str">
            <v>0916-346-4697</v>
          </cell>
          <cell r="I767" t="str">
            <v>2000-11-15</v>
          </cell>
          <cell r="J767">
            <v>2</v>
          </cell>
          <cell r="K767">
            <v>1</v>
          </cell>
          <cell r="M767" t="str">
            <v>35-0474089-2</v>
          </cell>
          <cell r="N767" t="str">
            <v>394-461-514</v>
          </cell>
          <cell r="O767">
            <v>43</v>
          </cell>
          <cell r="P767">
            <v>502</v>
          </cell>
          <cell r="Q767">
            <v>62</v>
          </cell>
          <cell r="R767">
            <v>12</v>
          </cell>
          <cell r="S767">
            <v>0</v>
          </cell>
          <cell r="T767" t="str">
            <v>Romulo D. Morales
Purok 1 Bucal
Calamba City Laguna
0967-369-4490</v>
          </cell>
          <cell r="U767" t="str">
            <v>2023-04-01</v>
          </cell>
        </row>
        <row r="768">
          <cell r="C768" t="str">
            <v>S083</v>
          </cell>
          <cell r="D768" t="str">
            <v>Morillo</v>
          </cell>
          <cell r="E768" t="str">
            <v>Myra</v>
          </cell>
          <cell r="F768" t="str">
            <v>Baluyot</v>
          </cell>
          <cell r="G768" t="str">
            <v>Myra</v>
          </cell>
          <cell r="H768" t="str">
            <v>0963-603-6169</v>
          </cell>
          <cell r="I768" t="str">
            <v>1995-05-11</v>
          </cell>
          <cell r="J768">
            <v>2</v>
          </cell>
          <cell r="K768">
            <v>1</v>
          </cell>
          <cell r="M768" t="str">
            <v>34-9280912-0</v>
          </cell>
          <cell r="N768" t="str">
            <v>363-293-378</v>
          </cell>
          <cell r="O768">
            <v>43</v>
          </cell>
          <cell r="P768">
            <v>492</v>
          </cell>
          <cell r="Q768">
            <v>55</v>
          </cell>
          <cell r="R768">
            <v>11</v>
          </cell>
          <cell r="S768">
            <v>0</v>
          </cell>
          <cell r="T768" t="str">
            <v>Monaliza Morillo
Avocado St. Leyva Compound
Real Calamba City Laguna
0912-677-4476</v>
          </cell>
          <cell r="U768" t="str">
            <v>2023-04-01</v>
          </cell>
        </row>
        <row r="769">
          <cell r="C769" t="str">
            <v>S085</v>
          </cell>
          <cell r="D769" t="str">
            <v>Oladive</v>
          </cell>
          <cell r="E769" t="str">
            <v>Mary Joy</v>
          </cell>
          <cell r="F769" t="str">
            <v>Novio</v>
          </cell>
          <cell r="G769" t="str">
            <v>Joy</v>
          </cell>
          <cell r="H769" t="str">
            <v>0912-217-3846</v>
          </cell>
          <cell r="I769" t="str">
            <v>1997-09-15</v>
          </cell>
          <cell r="J769">
            <v>2</v>
          </cell>
          <cell r="K769">
            <v>1</v>
          </cell>
          <cell r="M769" t="str">
            <v>34-8459754-7</v>
          </cell>
          <cell r="N769" t="str">
            <v>766-281-479</v>
          </cell>
          <cell r="O769">
            <v>43</v>
          </cell>
          <cell r="P769">
            <v>502</v>
          </cell>
          <cell r="Q769">
            <v>62</v>
          </cell>
          <cell r="R769">
            <v>12</v>
          </cell>
          <cell r="S769">
            <v>0</v>
          </cell>
          <cell r="T769" t="str">
            <v>Meljun Gonzales
1907 A Unit A Provincial Rd. 
Dita Sta. Rosa, Laguna
0970-401-1029</v>
          </cell>
          <cell r="U769" t="str">
            <v>2023-04-01</v>
          </cell>
        </row>
        <row r="770">
          <cell r="C770" t="str">
            <v>S086</v>
          </cell>
          <cell r="D770" t="str">
            <v>OpeÃ±a</v>
          </cell>
          <cell r="E770" t="str">
            <v>Christian</v>
          </cell>
          <cell r="F770" t="str">
            <v>Doctor</v>
          </cell>
          <cell r="G770" t="str">
            <v>Chan</v>
          </cell>
          <cell r="H770" t="str">
            <v>0916-793-9019</v>
          </cell>
          <cell r="I770" t="str">
            <v>1993-04-20</v>
          </cell>
          <cell r="J770">
            <v>1</v>
          </cell>
          <cell r="K770">
            <v>1</v>
          </cell>
          <cell r="M770" t="str">
            <v>35-0019376-0</v>
          </cell>
          <cell r="N770" t="str">
            <v>718-003-941</v>
          </cell>
          <cell r="O770">
            <v>40</v>
          </cell>
          <cell r="P770">
            <v>500</v>
          </cell>
          <cell r="Q770">
            <v>65</v>
          </cell>
          <cell r="R770">
            <v>12</v>
          </cell>
          <cell r="S770">
            <v>0</v>
          </cell>
          <cell r="T770" t="str">
            <v>Ma.Rachel Andrea T. De Vera
Purok 9 Brgy 1 Crossing Calamba City
Laguna
0921-413-0909</v>
          </cell>
          <cell r="U770" t="str">
            <v>2023-04-01</v>
          </cell>
        </row>
        <row r="771">
          <cell r="C771" t="str">
            <v>S087</v>
          </cell>
          <cell r="D771" t="str">
            <v>Padel</v>
          </cell>
          <cell r="E771" t="str">
            <v>Lorraine</v>
          </cell>
          <cell r="F771">
            <v>0</v>
          </cell>
          <cell r="G771" t="str">
            <v>Raine</v>
          </cell>
          <cell r="H771" t="str">
            <v>0951-602-6687</v>
          </cell>
          <cell r="I771" t="str">
            <v>1998-12-19</v>
          </cell>
          <cell r="J771">
            <v>2</v>
          </cell>
          <cell r="K771">
            <v>1</v>
          </cell>
          <cell r="M771" t="str">
            <v>04-3866954-7</v>
          </cell>
          <cell r="N771" t="str">
            <v>394-461-724</v>
          </cell>
          <cell r="O771">
            <v>43</v>
          </cell>
          <cell r="P771">
            <v>493</v>
          </cell>
          <cell r="Q771">
            <v>55</v>
          </cell>
          <cell r="R771">
            <v>11</v>
          </cell>
          <cell r="S771">
            <v>0</v>
          </cell>
          <cell r="T771" t="str">
            <v>Elsa Medina
San Cristobal Calamba City
Laguna 
0916-162-8733</v>
          </cell>
          <cell r="U771" t="str">
            <v>2023-04-01</v>
          </cell>
        </row>
        <row r="772">
          <cell r="C772" t="str">
            <v>S088</v>
          </cell>
          <cell r="D772" t="str">
            <v>Pagaduan</v>
          </cell>
          <cell r="E772" t="str">
            <v>Maria Theresa</v>
          </cell>
          <cell r="F772" t="str">
            <v>Garo</v>
          </cell>
          <cell r="G772" t="str">
            <v>Tere</v>
          </cell>
          <cell r="H772" t="str">
            <v>0995-786-4243</v>
          </cell>
          <cell r="I772" t="str">
            <v>1994-11-16</v>
          </cell>
          <cell r="J772">
            <v>2</v>
          </cell>
          <cell r="K772">
            <v>1</v>
          </cell>
          <cell r="M772" t="str">
            <v>34-4560891-2</v>
          </cell>
          <cell r="N772" t="str">
            <v>545-409-913</v>
          </cell>
          <cell r="O772">
            <v>43</v>
          </cell>
          <cell r="P772">
            <v>502</v>
          </cell>
          <cell r="Q772">
            <v>62</v>
          </cell>
          <cell r="R772">
            <v>12</v>
          </cell>
          <cell r="S772">
            <v>0</v>
          </cell>
          <cell r="T772" t="str">
            <v>Nicetas Elvenalyn  Pagaduan
Pooc Sta Rosa Laguna
0906-708-4186</v>
          </cell>
          <cell r="U772" t="str">
            <v>2023-04-01</v>
          </cell>
        </row>
        <row r="773">
          <cell r="C773" t="str">
            <v>S098</v>
          </cell>
          <cell r="D773" t="str">
            <v>Rivera</v>
          </cell>
          <cell r="E773" t="str">
            <v>Aljhun</v>
          </cell>
          <cell r="F773" t="str">
            <v>Salundaga</v>
          </cell>
          <cell r="G773" t="str">
            <v>Jhun</v>
          </cell>
          <cell r="H773">
            <v>9510931789</v>
          </cell>
          <cell r="I773" t="str">
            <v>1994-11-18</v>
          </cell>
          <cell r="J773">
            <v>1</v>
          </cell>
          <cell r="K773">
            <v>1</v>
          </cell>
          <cell r="M773" t="str">
            <v>34-9962722-4</v>
          </cell>
          <cell r="N773" t="str">
            <v>385-253-297</v>
          </cell>
          <cell r="O773">
            <v>40</v>
          </cell>
          <cell r="P773">
            <v>488</v>
          </cell>
          <cell r="Q773">
            <v>58</v>
          </cell>
          <cell r="R773">
            <v>11</v>
          </cell>
          <cell r="S773">
            <v>0</v>
          </cell>
          <cell r="T773" t="str">
            <v>Judy Ann Beronia 
1372 Sitio Maligaya  Paciano, Rizal Village Calamba City, Laguna
09203472373</v>
          </cell>
          <cell r="U773" t="str">
            <v>2023-04-01</v>
          </cell>
        </row>
        <row r="774">
          <cell r="C774" t="str">
            <v>S089</v>
          </cell>
          <cell r="D774" t="str">
            <v>Pajares</v>
          </cell>
          <cell r="E774" t="str">
            <v>Losanta</v>
          </cell>
          <cell r="F774" t="str">
            <v>Balasta</v>
          </cell>
          <cell r="G774" t="str">
            <v>Losan</v>
          </cell>
          <cell r="H774" t="str">
            <v>0935-878-2692</v>
          </cell>
          <cell r="I774" t="str">
            <v>1993-09-10</v>
          </cell>
          <cell r="J774">
            <v>2</v>
          </cell>
          <cell r="K774">
            <v>1</v>
          </cell>
          <cell r="M774" t="str">
            <v>04-3333709-4</v>
          </cell>
          <cell r="N774" t="str">
            <v>324-119-292</v>
          </cell>
          <cell r="O774">
            <v>43</v>
          </cell>
          <cell r="P774">
            <v>502</v>
          </cell>
          <cell r="Q774">
            <v>62</v>
          </cell>
          <cell r="R774">
            <v>12</v>
          </cell>
          <cell r="S774">
            <v>0</v>
          </cell>
          <cell r="T774" t="str">
            <v>Nelma B. Pajares
Doctora's Compound Mayapa 
Calamba City Laguna
0956-392-2298</v>
          </cell>
          <cell r="U774" t="str">
            <v>2023-04-01</v>
          </cell>
        </row>
        <row r="775">
          <cell r="C775" t="str">
            <v>S090</v>
          </cell>
          <cell r="D775" t="str">
            <v>Palcuto</v>
          </cell>
          <cell r="E775" t="str">
            <v>Isidra</v>
          </cell>
          <cell r="F775" t="str">
            <v>Matibag</v>
          </cell>
          <cell r="G775" t="str">
            <v>Isid</v>
          </cell>
          <cell r="H775" t="str">
            <v>0935-221-6149</v>
          </cell>
          <cell r="I775" t="str">
            <v>1988-10-14</v>
          </cell>
          <cell r="J775">
            <v>2</v>
          </cell>
          <cell r="K775">
            <v>1</v>
          </cell>
          <cell r="M775" t="str">
            <v>04-1636952-6</v>
          </cell>
          <cell r="N775" t="str">
            <v>301-934-394</v>
          </cell>
          <cell r="O775">
            <v>43</v>
          </cell>
          <cell r="P775">
            <v>502</v>
          </cell>
          <cell r="Q775">
            <v>62</v>
          </cell>
          <cell r="R775">
            <v>12</v>
          </cell>
          <cell r="S775">
            <v>0</v>
          </cell>
          <cell r="T775" t="str">
            <v>Dave Wilson Oruga
Real Calamba City Laguna
0905-167-3171</v>
          </cell>
          <cell r="U775" t="str">
            <v>2023-04-01</v>
          </cell>
        </row>
        <row r="776">
          <cell r="C776" t="str">
            <v>S099</v>
          </cell>
          <cell r="D776" t="str">
            <v>Robles</v>
          </cell>
          <cell r="E776" t="str">
            <v>Maribeth</v>
          </cell>
          <cell r="F776" t="str">
            <v>Pardito</v>
          </cell>
          <cell r="G776" t="str">
            <v>Beth</v>
          </cell>
          <cell r="H776">
            <v>9480849565</v>
          </cell>
          <cell r="I776" t="str">
            <v>2001-06-12</v>
          </cell>
          <cell r="J776">
            <v>2</v>
          </cell>
          <cell r="K776">
            <v>1</v>
          </cell>
          <cell r="M776" t="str">
            <v>04-4323412-9</v>
          </cell>
          <cell r="N776" t="str">
            <v>622-973-447</v>
          </cell>
          <cell r="O776">
            <v>43</v>
          </cell>
          <cell r="P776">
            <v>502</v>
          </cell>
          <cell r="Q776">
            <v>62</v>
          </cell>
          <cell r="R776">
            <v>12</v>
          </cell>
          <cell r="S776">
            <v>0</v>
          </cell>
          <cell r="T776" t="str">
            <v xml:space="preserve">Sevilla P. Flores
San Vicente Kanluran
Catanauan Quezon  
09297746100
</v>
          </cell>
          <cell r="U776" t="str">
            <v>2023-04-01</v>
          </cell>
        </row>
        <row r="777">
          <cell r="C777" t="str">
            <v>S091</v>
          </cell>
          <cell r="D777" t="str">
            <v>Papa</v>
          </cell>
          <cell r="E777" t="str">
            <v>Jonicka</v>
          </cell>
          <cell r="F777" t="str">
            <v>Cabusay</v>
          </cell>
          <cell r="G777" t="str">
            <v>Nicka</v>
          </cell>
          <cell r="H777" t="str">
            <v>0992-829-0657</v>
          </cell>
          <cell r="I777" t="str">
            <v>2003-02-23</v>
          </cell>
          <cell r="J777">
            <v>2</v>
          </cell>
          <cell r="K777">
            <v>1</v>
          </cell>
          <cell r="M777" t="str">
            <v>35-0787512-0</v>
          </cell>
          <cell r="N777" t="str">
            <v>614-126-354</v>
          </cell>
          <cell r="O777">
            <v>43</v>
          </cell>
          <cell r="P777">
            <v>493</v>
          </cell>
          <cell r="Q777">
            <v>55</v>
          </cell>
          <cell r="R777">
            <v>11</v>
          </cell>
          <cell r="S777">
            <v>0</v>
          </cell>
          <cell r="T777" t="str">
            <v>Nickylyn Papa
B58 Sitio LAtain Mapagong
Calamba City Laguna
0951-602-2690</v>
          </cell>
          <cell r="U777" t="str">
            <v>2023-04-01</v>
          </cell>
        </row>
        <row r="778">
          <cell r="C778" t="str">
            <v>S092</v>
          </cell>
          <cell r="D778" t="str">
            <v>Pelaez</v>
          </cell>
          <cell r="E778" t="str">
            <v>Marilou</v>
          </cell>
          <cell r="F778" t="str">
            <v>Caragay</v>
          </cell>
          <cell r="G778" t="str">
            <v>Malou</v>
          </cell>
          <cell r="H778" t="str">
            <v>0931-936-9376</v>
          </cell>
          <cell r="I778" t="str">
            <v>2002-06-14</v>
          </cell>
          <cell r="J778">
            <v>2</v>
          </cell>
          <cell r="K778">
            <v>1</v>
          </cell>
          <cell r="M778" t="str">
            <v>35-0428585-2</v>
          </cell>
          <cell r="N778" t="str">
            <v>511-942-301</v>
          </cell>
          <cell r="O778">
            <v>43</v>
          </cell>
          <cell r="P778">
            <v>502</v>
          </cell>
          <cell r="Q778">
            <v>62</v>
          </cell>
          <cell r="R778">
            <v>12</v>
          </cell>
          <cell r="S778">
            <v>0</v>
          </cell>
          <cell r="T778" t="str">
            <v>Marvin Pelaez
Ilayang Taykin 
Liliw Laguna
0926-844-1205</v>
          </cell>
          <cell r="U778" t="str">
            <v>2023-04-01</v>
          </cell>
        </row>
        <row r="779">
          <cell r="C779" t="str">
            <v>S093</v>
          </cell>
          <cell r="D779" t="str">
            <v>Peyra</v>
          </cell>
          <cell r="E779" t="str">
            <v>Heiren</v>
          </cell>
          <cell r="F779" t="str">
            <v>Enrique</v>
          </cell>
          <cell r="G779" t="str">
            <v>Hei</v>
          </cell>
          <cell r="H779" t="str">
            <v>0951-854-9235</v>
          </cell>
          <cell r="I779" t="str">
            <v>1989-08-25</v>
          </cell>
          <cell r="J779">
            <v>2</v>
          </cell>
          <cell r="K779">
            <v>1</v>
          </cell>
          <cell r="M779" t="str">
            <v>05-1065987-3</v>
          </cell>
          <cell r="N779" t="str">
            <v>387-398-208</v>
          </cell>
          <cell r="O779">
            <v>43</v>
          </cell>
          <cell r="P779">
            <v>502</v>
          </cell>
          <cell r="Q779">
            <v>62</v>
          </cell>
          <cell r="R779">
            <v>12</v>
          </cell>
          <cell r="S779">
            <v>0</v>
          </cell>
          <cell r="T779" t="str">
            <v>Limar B. Gonzales
085 Ilaya Street, 
Paciano Rizal, Calamba City Laguna
0921-269-7928</v>
          </cell>
          <cell r="U779" t="str">
            <v>2023-04-01</v>
          </cell>
        </row>
        <row r="780">
          <cell r="C780" t="str">
            <v>S100</v>
          </cell>
          <cell r="D780" t="str">
            <v xml:space="preserve">Salazar </v>
          </cell>
          <cell r="E780" t="str">
            <v>Christmas</v>
          </cell>
          <cell r="F780" t="str">
            <v>Rondolo</v>
          </cell>
          <cell r="G780" t="str">
            <v xml:space="preserve">Nhe </v>
          </cell>
          <cell r="H780">
            <v>9102260757</v>
          </cell>
          <cell r="I780" t="str">
            <v>1988-12-24</v>
          </cell>
          <cell r="J780">
            <v>2</v>
          </cell>
          <cell r="K780">
            <v>2</v>
          </cell>
          <cell r="L780" t="str">
            <v xml:space="preserve">Jeffrey P. Salazar </v>
          </cell>
          <cell r="M780" t="str">
            <v>04-1863556-2</v>
          </cell>
          <cell r="N780" t="str">
            <v>310-918-502</v>
          </cell>
          <cell r="O780">
            <v>43</v>
          </cell>
          <cell r="P780">
            <v>502</v>
          </cell>
          <cell r="Q780">
            <v>62</v>
          </cell>
          <cell r="R780">
            <v>12</v>
          </cell>
          <cell r="S780">
            <v>0</v>
          </cell>
          <cell r="T780" t="str">
            <v>William M. Rondolo 
Purok 5, Brgy. Munting Ambling, Magdalena Laguna 
09770350189</v>
          </cell>
          <cell r="U780" t="str">
            <v>2023-04-01</v>
          </cell>
        </row>
        <row r="781">
          <cell r="C781" t="str">
            <v>S116</v>
          </cell>
          <cell r="D781" t="str">
            <v>Principe</v>
          </cell>
          <cell r="E781" t="str">
            <v>Jomari</v>
          </cell>
          <cell r="F781" t="str">
            <v>Navarro</v>
          </cell>
          <cell r="G781" t="str">
            <v>Jom</v>
          </cell>
          <cell r="H781" t="str">
            <v>0970-401-5590</v>
          </cell>
          <cell r="I781" t="str">
            <v>2001-04-05</v>
          </cell>
          <cell r="J781">
            <v>1</v>
          </cell>
          <cell r="K781">
            <v>1</v>
          </cell>
          <cell r="M781" t="str">
            <v>34-9083044-7</v>
          </cell>
          <cell r="N781" t="str">
            <v>374-903-955</v>
          </cell>
          <cell r="O781">
            <v>43</v>
          </cell>
          <cell r="P781">
            <v>502</v>
          </cell>
          <cell r="Q781">
            <v>62</v>
          </cell>
          <cell r="R781">
            <v>12</v>
          </cell>
          <cell r="S781">
            <v>0</v>
          </cell>
          <cell r="T781" t="str">
            <v>Lorence Kathlyn Formon
Southville Marinig
Cabuyao Laguna
0953-278-5982</v>
          </cell>
          <cell r="U781" t="str">
            <v>2023-04-01</v>
          </cell>
        </row>
        <row r="782">
          <cell r="C782" t="str">
            <v>S094</v>
          </cell>
          <cell r="D782" t="str">
            <v>Reblando</v>
          </cell>
          <cell r="E782" t="str">
            <v>Jemark</v>
          </cell>
          <cell r="F782" t="str">
            <v>Marfil</v>
          </cell>
          <cell r="G782" t="str">
            <v>Jemark</v>
          </cell>
          <cell r="H782" t="str">
            <v>0926-720-0713</v>
          </cell>
          <cell r="I782" t="str">
            <v>1998-10-05</v>
          </cell>
          <cell r="J782">
            <v>1</v>
          </cell>
          <cell r="K782">
            <v>1</v>
          </cell>
          <cell r="M782" t="str">
            <v>34-7597077-5</v>
          </cell>
          <cell r="N782" t="str">
            <v>351-562-954</v>
          </cell>
          <cell r="O782">
            <v>43</v>
          </cell>
          <cell r="P782">
            <v>502</v>
          </cell>
          <cell r="Q782">
            <v>62</v>
          </cell>
          <cell r="R782">
            <v>12</v>
          </cell>
          <cell r="S782">
            <v>0</v>
          </cell>
          <cell r="T782" t="str">
            <v>Renato Reblando
Blk 35 Lot 42 SOuhtville 1 Niugan
Cabuyao City Laguna
0991-840-5843</v>
          </cell>
          <cell r="U782" t="str">
            <v>2023-04-01</v>
          </cell>
        </row>
        <row r="783">
          <cell r="C783" t="str">
            <v>S101</v>
          </cell>
          <cell r="D783" t="str">
            <v xml:space="preserve">Salvidal </v>
          </cell>
          <cell r="E783" t="str">
            <v xml:space="preserve">Joan </v>
          </cell>
          <cell r="F783" t="str">
            <v xml:space="preserve">Alarva </v>
          </cell>
          <cell r="G783" t="str">
            <v xml:space="preserve">Jho </v>
          </cell>
          <cell r="H783">
            <v>9637631121</v>
          </cell>
          <cell r="I783" t="str">
            <v>1996-09-26</v>
          </cell>
          <cell r="J783">
            <v>2</v>
          </cell>
          <cell r="K783">
            <v>1</v>
          </cell>
          <cell r="M783" t="str">
            <v>04-3947765-7</v>
          </cell>
          <cell r="N783" t="str">
            <v>344-568-861</v>
          </cell>
          <cell r="O783">
            <v>43</v>
          </cell>
          <cell r="P783">
            <v>492</v>
          </cell>
          <cell r="Q783">
            <v>55</v>
          </cell>
          <cell r="R783">
            <v>11</v>
          </cell>
          <cell r="S783">
            <v>0</v>
          </cell>
          <cell r="T783" t="str">
            <v>Jill Baron 
593 Bulihan, Sala, Cabuyao Laguna 
09709416585</v>
          </cell>
          <cell r="U783" t="str">
            <v>2023-04-01</v>
          </cell>
        </row>
        <row r="784">
          <cell r="C784" t="str">
            <v>S095</v>
          </cell>
          <cell r="D784" t="str">
            <v>Rellorosa</v>
          </cell>
          <cell r="E784" t="str">
            <v>Mary Kaselyn</v>
          </cell>
          <cell r="F784" t="str">
            <v>Gipit</v>
          </cell>
          <cell r="G784" t="str">
            <v>Kasie</v>
          </cell>
          <cell r="H784" t="str">
            <v>0956-125-77-29</v>
          </cell>
          <cell r="I784" t="str">
            <v>1987-10-04</v>
          </cell>
          <cell r="J784">
            <v>2</v>
          </cell>
          <cell r="K784">
            <v>2</v>
          </cell>
          <cell r="L784" t="str">
            <v>Richard Awa Rellorosa</v>
          </cell>
          <cell r="M784" t="str">
            <v>04-1683627-9</v>
          </cell>
          <cell r="N784" t="str">
            <v>294-876-350</v>
          </cell>
          <cell r="O784">
            <v>43</v>
          </cell>
          <cell r="P784">
            <v>502</v>
          </cell>
          <cell r="Q784">
            <v>62</v>
          </cell>
          <cell r="R784">
            <v>12</v>
          </cell>
          <cell r="S784">
            <v>0</v>
          </cell>
          <cell r="T784" t="str">
            <v>Cyril A. Rellorosa
Mabuhay, Carmona Cavite
0917-564-8739</v>
          </cell>
          <cell r="U784" t="str">
            <v>2023-04-01</v>
          </cell>
        </row>
        <row r="785">
          <cell r="C785" t="str">
            <v>S096</v>
          </cell>
          <cell r="D785" t="str">
            <v>Repana</v>
          </cell>
          <cell r="E785" t="str">
            <v>El Brian</v>
          </cell>
          <cell r="F785" t="str">
            <v>Noquera</v>
          </cell>
          <cell r="G785" t="str">
            <v>Bri</v>
          </cell>
          <cell r="H785" t="str">
            <v>0956-472-4032</v>
          </cell>
          <cell r="I785" t="str">
            <v>2001-11-19</v>
          </cell>
          <cell r="J785">
            <v>1</v>
          </cell>
          <cell r="K785">
            <v>1</v>
          </cell>
          <cell r="M785" t="str">
            <v>34-9864052-9</v>
          </cell>
          <cell r="O785">
            <v>43</v>
          </cell>
          <cell r="P785">
            <v>502</v>
          </cell>
          <cell r="Q785">
            <v>62</v>
          </cell>
          <cell r="R785">
            <v>12</v>
          </cell>
          <cell r="S785">
            <v>0</v>
          </cell>
          <cell r="T785" t="str">
            <v>Laurius S. Casim
Ph1 Blk 10 Lot 6 Villa Sta Rosa 
Caingin Sta.Rosa Laguna
0997-611-9265</v>
          </cell>
          <cell r="U785" t="str">
            <v>2023-04-01</v>
          </cell>
        </row>
        <row r="786">
          <cell r="C786" t="str">
            <v>S097</v>
          </cell>
          <cell r="D786" t="str">
            <v>Repudas</v>
          </cell>
          <cell r="E786" t="str">
            <v>Jenifer</v>
          </cell>
          <cell r="F786" t="str">
            <v>Dumaquit</v>
          </cell>
          <cell r="G786" t="str">
            <v>Jheng</v>
          </cell>
          <cell r="H786" t="str">
            <v>0961-600-2478</v>
          </cell>
          <cell r="I786" t="str">
            <v>1998-06-02</v>
          </cell>
          <cell r="J786">
            <v>2</v>
          </cell>
          <cell r="K786">
            <v>1</v>
          </cell>
          <cell r="M786" t="str">
            <v>04-4013258-3</v>
          </cell>
          <cell r="N786" t="str">
            <v>345-507-252</v>
          </cell>
          <cell r="O786">
            <v>43</v>
          </cell>
          <cell r="P786">
            <v>502</v>
          </cell>
          <cell r="Q786">
            <v>62</v>
          </cell>
          <cell r="R786">
            <v>12</v>
          </cell>
          <cell r="S786">
            <v>0</v>
          </cell>
          <cell r="T786" t="str">
            <v>Rowena D. Repudas
Mabuhat Mamatid
Cabuyao Laguna
0910-865-1367</v>
          </cell>
          <cell r="U786" t="str">
            <v>2023-04-01</v>
          </cell>
        </row>
        <row r="787">
          <cell r="C787" t="str">
            <v>S117</v>
          </cell>
          <cell r="D787" t="str">
            <v>Sapo</v>
          </cell>
          <cell r="E787" t="str">
            <v>Jenina Ann</v>
          </cell>
          <cell r="F787" t="str">
            <v>Lectura</v>
          </cell>
          <cell r="G787" t="str">
            <v>Janine</v>
          </cell>
          <cell r="H787" t="str">
            <v>0970-196-4778</v>
          </cell>
          <cell r="I787" t="str">
            <v>1993-01-23</v>
          </cell>
          <cell r="J787">
            <v>2</v>
          </cell>
          <cell r="K787">
            <v>1</v>
          </cell>
          <cell r="M787" t="str">
            <v>04-2346321-1</v>
          </cell>
          <cell r="N787" t="str">
            <v>321-852-946</v>
          </cell>
          <cell r="O787">
            <v>43</v>
          </cell>
          <cell r="P787">
            <v>502</v>
          </cell>
          <cell r="Q787">
            <v>62</v>
          </cell>
          <cell r="R787">
            <v>12</v>
          </cell>
          <cell r="S787">
            <v>0</v>
          </cell>
          <cell r="T787" t="str">
            <v>Jenika Ann S. Dacara
San Agustin
Oas Albay
0921-908-6259</v>
          </cell>
          <cell r="U787" t="str">
            <v>2023-04-01</v>
          </cell>
        </row>
        <row r="788">
          <cell r="C788" t="str">
            <v>S103</v>
          </cell>
          <cell r="D788" t="str">
            <v>Solis</v>
          </cell>
          <cell r="E788" t="str">
            <v>Mateo</v>
          </cell>
          <cell r="F788" t="str">
            <v>Malicdem</v>
          </cell>
          <cell r="G788" t="str">
            <v>Bong</v>
          </cell>
          <cell r="H788" t="str">
            <v>0927-078-4621</v>
          </cell>
          <cell r="I788" t="str">
            <v>1993-12-08</v>
          </cell>
          <cell r="J788">
            <v>1</v>
          </cell>
          <cell r="K788">
            <v>2</v>
          </cell>
          <cell r="L788" t="str">
            <v>Daisy Bolotano Colalen</v>
          </cell>
          <cell r="M788" t="str">
            <v>34-6997502-9</v>
          </cell>
          <cell r="N788" t="str">
            <v>358-729-527</v>
          </cell>
          <cell r="O788">
            <v>43</v>
          </cell>
          <cell r="P788">
            <v>502</v>
          </cell>
          <cell r="Q788">
            <v>62</v>
          </cell>
          <cell r="R788">
            <v>12</v>
          </cell>
          <cell r="S788">
            <v>0</v>
          </cell>
          <cell r="T788" t="str">
            <v>Daisy C. Solis
Blk 11 Lot 72 Southville
Marinig Cabuyao Laguna
0935-435-1987</v>
          </cell>
          <cell r="U788" t="str">
            <v>2023-04-01</v>
          </cell>
        </row>
        <row r="789">
          <cell r="C789" t="str">
            <v>S104</v>
          </cell>
          <cell r="D789" t="str">
            <v>Suganob</v>
          </cell>
          <cell r="E789" t="str">
            <v>Beverly</v>
          </cell>
          <cell r="F789" t="str">
            <v>Reroma</v>
          </cell>
          <cell r="G789" t="str">
            <v>Bev</v>
          </cell>
          <cell r="H789" t="str">
            <v>0970-137-9512</v>
          </cell>
          <cell r="I789" t="str">
            <v>1996-06-25</v>
          </cell>
          <cell r="J789">
            <v>2</v>
          </cell>
          <cell r="K789">
            <v>1</v>
          </cell>
          <cell r="M789" t="str">
            <v>08-2815069-5</v>
          </cell>
          <cell r="N789" t="str">
            <v>358-072-637</v>
          </cell>
          <cell r="O789">
            <v>43</v>
          </cell>
          <cell r="P789">
            <v>502</v>
          </cell>
          <cell r="Q789">
            <v>62</v>
          </cell>
          <cell r="R789">
            <v>12</v>
          </cell>
          <cell r="S789">
            <v>0</v>
          </cell>
          <cell r="T789" t="str">
            <v>John Anthony R. Suganob
Tanauan Batangas
0945-995-5564</v>
          </cell>
          <cell r="U789" t="str">
            <v>2023-04-01</v>
          </cell>
        </row>
        <row r="790">
          <cell r="C790" t="str">
            <v>S105</v>
          </cell>
          <cell r="D790" t="str">
            <v>Tonga</v>
          </cell>
          <cell r="E790" t="str">
            <v>Michelle</v>
          </cell>
          <cell r="F790" t="str">
            <v>Longasa</v>
          </cell>
          <cell r="G790" t="str">
            <v>Mitch</v>
          </cell>
          <cell r="H790" t="str">
            <v>0946-758-9045</v>
          </cell>
          <cell r="I790" t="str">
            <v>1988-10-18</v>
          </cell>
          <cell r="J790">
            <v>2</v>
          </cell>
          <cell r="K790">
            <v>1</v>
          </cell>
          <cell r="M790" t="str">
            <v>04-4258465-0</v>
          </cell>
          <cell r="N790" t="str">
            <v>380-502-182</v>
          </cell>
          <cell r="O790">
            <v>43</v>
          </cell>
          <cell r="P790">
            <v>492</v>
          </cell>
          <cell r="Q790">
            <v>55</v>
          </cell>
          <cell r="R790">
            <v>11</v>
          </cell>
          <cell r="S790">
            <v>0</v>
          </cell>
          <cell r="T790" t="str">
            <v>Albert R. Ortaliz
Blk 6 Lot 28 Pittland Terelay
Cabuyao City Laguna
0955-057-0498</v>
          </cell>
          <cell r="U790" t="str">
            <v>2023-04-01</v>
          </cell>
        </row>
        <row r="791">
          <cell r="C791" t="str">
            <v>S106</v>
          </cell>
          <cell r="D791" t="str">
            <v>Tribunsay</v>
          </cell>
          <cell r="E791" t="str">
            <v>Shaira</v>
          </cell>
          <cell r="F791" t="str">
            <v>Rosas</v>
          </cell>
          <cell r="G791" t="str">
            <v>Shai</v>
          </cell>
          <cell r="H791" t="str">
            <v>0946-311-8249</v>
          </cell>
          <cell r="I791" t="str">
            <v>1990-07-07</v>
          </cell>
          <cell r="J791">
            <v>2</v>
          </cell>
          <cell r="K791">
            <v>1</v>
          </cell>
          <cell r="M791" t="str">
            <v>04-2018929-7</v>
          </cell>
          <cell r="N791" t="str">
            <v>324-942-872</v>
          </cell>
          <cell r="O791">
            <v>43</v>
          </cell>
          <cell r="P791">
            <v>502</v>
          </cell>
          <cell r="Q791">
            <v>62</v>
          </cell>
          <cell r="R791">
            <v>12</v>
          </cell>
          <cell r="S791">
            <v>0</v>
          </cell>
          <cell r="T791" t="str">
            <v>Sonia Rosas Tribunsay
34 Luis Palat St. Angeles Zone 4
Tayabas City, Quezon
0933-337-5113</v>
          </cell>
          <cell r="U791" t="str">
            <v>2023-04-01</v>
          </cell>
        </row>
        <row r="792">
          <cell r="C792" t="str">
            <v>S107</v>
          </cell>
          <cell r="D792" t="str">
            <v>Valencia</v>
          </cell>
          <cell r="E792" t="str">
            <v>Carmina</v>
          </cell>
          <cell r="F792" t="str">
            <v>Dayo</v>
          </cell>
          <cell r="G792" t="str">
            <v>Mina</v>
          </cell>
          <cell r="H792" t="str">
            <v>0945-573-0166</v>
          </cell>
          <cell r="I792" t="str">
            <v>1998-08-23</v>
          </cell>
          <cell r="J792">
            <v>2</v>
          </cell>
          <cell r="K792">
            <v>1</v>
          </cell>
          <cell r="M792" t="str">
            <v>34-8324397-3</v>
          </cell>
          <cell r="N792" t="str">
            <v>360-954-294</v>
          </cell>
          <cell r="O792">
            <v>43</v>
          </cell>
          <cell r="P792">
            <v>502</v>
          </cell>
          <cell r="Q792">
            <v>62</v>
          </cell>
          <cell r="R792">
            <v>12</v>
          </cell>
          <cell r="S792">
            <v>0</v>
          </cell>
          <cell r="T792" t="str">
            <v>Delia M. Valencia
Manaol Nagcarlan
Laguna
0970-867-6957</v>
          </cell>
          <cell r="U792" t="str">
            <v>2023-04-01</v>
          </cell>
        </row>
        <row r="793">
          <cell r="C793" t="str">
            <v>S108</v>
          </cell>
          <cell r="D793" t="str">
            <v>Vera Cruz</v>
          </cell>
          <cell r="E793" t="str">
            <v>Marynor</v>
          </cell>
          <cell r="F793">
            <v>0</v>
          </cell>
          <cell r="G793" t="str">
            <v>Marynor</v>
          </cell>
          <cell r="H793" t="str">
            <v>0949-826-9512</v>
          </cell>
          <cell r="I793" t="str">
            <v>2002-09-02</v>
          </cell>
          <cell r="J793">
            <v>2</v>
          </cell>
          <cell r="K793">
            <v>1</v>
          </cell>
          <cell r="M793" t="str">
            <v>35-0004120-7</v>
          </cell>
          <cell r="N793" t="str">
            <v>394-204-859</v>
          </cell>
          <cell r="O793">
            <v>43</v>
          </cell>
          <cell r="P793">
            <v>502</v>
          </cell>
          <cell r="Q793">
            <v>62</v>
          </cell>
          <cell r="R793">
            <v>12</v>
          </cell>
          <cell r="S793">
            <v>0</v>
          </cell>
          <cell r="T793" t="str">
            <v>Mark Lorenz Dagdag
Block 347 Lot 4 Peony St.
Pembo, Makati City
0995-426-0394</v>
          </cell>
          <cell r="U793" t="str">
            <v>2023-04-03</v>
          </cell>
        </row>
        <row r="794">
          <cell r="C794" t="str">
            <v>S109</v>
          </cell>
          <cell r="D794" t="str">
            <v>Vergara</v>
          </cell>
          <cell r="E794" t="str">
            <v>Francis</v>
          </cell>
          <cell r="F794" t="str">
            <v>Aguirre</v>
          </cell>
          <cell r="G794" t="str">
            <v>Francis</v>
          </cell>
          <cell r="H794" t="str">
            <v>0907-499-4697</v>
          </cell>
          <cell r="I794" t="str">
            <v>1988-07-22</v>
          </cell>
          <cell r="J794">
            <v>1</v>
          </cell>
          <cell r="K794">
            <v>1</v>
          </cell>
          <cell r="M794" t="str">
            <v>34-8721809-8</v>
          </cell>
          <cell r="O794">
            <v>43</v>
          </cell>
          <cell r="P794">
            <v>502</v>
          </cell>
          <cell r="Q794">
            <v>62</v>
          </cell>
          <cell r="R794">
            <v>12</v>
          </cell>
          <cell r="S794">
            <v>0</v>
          </cell>
          <cell r="T794" t="str">
            <v xml:space="preserve">Cecillia Vergara
0013 Purok 1 Butong
Cabuyao Laguna
0907-499-4698
</v>
          </cell>
          <cell r="U794" t="str">
            <v>2023-04-01</v>
          </cell>
        </row>
        <row r="795">
          <cell r="C795" t="str">
            <v>S110</v>
          </cell>
          <cell r="D795" t="str">
            <v>Viernes</v>
          </cell>
          <cell r="E795" t="str">
            <v>Joseph</v>
          </cell>
          <cell r="F795" t="str">
            <v>Yaldo</v>
          </cell>
          <cell r="G795" t="str">
            <v>Seph</v>
          </cell>
          <cell r="H795" t="str">
            <v>0918-403-3318</v>
          </cell>
          <cell r="I795" t="str">
            <v>2000-03-28</v>
          </cell>
          <cell r="J795">
            <v>1</v>
          </cell>
          <cell r="K795">
            <v>1</v>
          </cell>
          <cell r="M795" t="str">
            <v>04-4110382-5</v>
          </cell>
          <cell r="N795" t="str">
            <v>359-742-169</v>
          </cell>
          <cell r="O795">
            <v>43</v>
          </cell>
          <cell r="P795">
            <v>502</v>
          </cell>
          <cell r="Q795">
            <v>62</v>
          </cell>
          <cell r="R795">
            <v>12</v>
          </cell>
          <cell r="S795">
            <v>0</v>
          </cell>
          <cell r="T795" t="str">
            <v>Rolando Y. Viernes
Brgy 2 Tibag Calamba City
Laguna
0938-747-8110</v>
          </cell>
          <cell r="U795" t="str">
            <v>2023-04-01</v>
          </cell>
        </row>
        <row r="796">
          <cell r="C796" t="str">
            <v>S111</v>
          </cell>
          <cell r="D796" t="str">
            <v>Vistan</v>
          </cell>
          <cell r="E796" t="str">
            <v>Christine Joy</v>
          </cell>
          <cell r="F796" t="str">
            <v>Aloro</v>
          </cell>
          <cell r="G796" t="str">
            <v>Cee Jhay</v>
          </cell>
          <cell r="H796" t="str">
            <v>0992-539-2540</v>
          </cell>
          <cell r="I796" t="str">
            <v>1996-03-21</v>
          </cell>
          <cell r="J796">
            <v>2</v>
          </cell>
          <cell r="K796">
            <v>1</v>
          </cell>
          <cell r="M796" t="str">
            <v>34-4808965-1</v>
          </cell>
          <cell r="N796" t="str">
            <v>327-445-955</v>
          </cell>
          <cell r="O796">
            <v>43</v>
          </cell>
          <cell r="P796">
            <v>502</v>
          </cell>
          <cell r="Q796">
            <v>62</v>
          </cell>
          <cell r="R796">
            <v>12</v>
          </cell>
          <cell r="S796">
            <v>0</v>
          </cell>
          <cell r="T796" t="str">
            <v>Mary Jane Vistan
2442 Hacienda Pantoc San Francisco,
San Antonio, Nueva Ecija
0967-551-6118</v>
          </cell>
          <cell r="U796" t="str">
            <v>2023-04-01</v>
          </cell>
        </row>
        <row r="797">
          <cell r="C797" t="str">
            <v>S119</v>
          </cell>
          <cell r="D797" t="str">
            <v>Clemente</v>
          </cell>
          <cell r="E797" t="str">
            <v>Realiza</v>
          </cell>
          <cell r="F797" t="str">
            <v>Tamayo</v>
          </cell>
          <cell r="G797" t="str">
            <v>Izza</v>
          </cell>
          <cell r="H797" t="str">
            <v>0946-657-8198</v>
          </cell>
          <cell r="I797" t="str">
            <v>1983-08-22</v>
          </cell>
          <cell r="J797">
            <v>2</v>
          </cell>
          <cell r="K797">
            <v>1</v>
          </cell>
          <cell r="M797" t="str">
            <v>02-1986072-7</v>
          </cell>
          <cell r="N797" t="str">
            <v>708-722-546</v>
          </cell>
          <cell r="O797">
            <v>43</v>
          </cell>
          <cell r="P797">
            <v>453</v>
          </cell>
          <cell r="Q797">
            <v>20</v>
          </cell>
          <cell r="R797">
            <v>4</v>
          </cell>
          <cell r="S797">
            <v>0</v>
          </cell>
          <cell r="T797" t="str">
            <v>Jacinto T. Clemente
Zone #5 Bibiclat, Aliaga
Nueva Ecija
0975-947-5676</v>
          </cell>
          <cell r="U797" t="str">
            <v>2023-04-08</v>
          </cell>
        </row>
        <row r="798">
          <cell r="C798" t="str">
            <v>S120</v>
          </cell>
          <cell r="D798" t="str">
            <v>MoÃ±asque</v>
          </cell>
          <cell r="E798" t="str">
            <v>John Paul</v>
          </cell>
          <cell r="F798">
            <v>0</v>
          </cell>
          <cell r="G798" t="str">
            <v>JP</v>
          </cell>
          <cell r="H798" t="str">
            <v>0995-622-7292</v>
          </cell>
          <cell r="I798" t="str">
            <v>2001-04-04</v>
          </cell>
          <cell r="J798">
            <v>1</v>
          </cell>
          <cell r="K798">
            <v>1</v>
          </cell>
          <cell r="M798" t="str">
            <v>35-0011727-0</v>
          </cell>
          <cell r="N798" t="str">
            <v>386-384-077</v>
          </cell>
          <cell r="O798">
            <v>43</v>
          </cell>
          <cell r="P798">
            <v>451</v>
          </cell>
          <cell r="Q798">
            <v>20</v>
          </cell>
          <cell r="R798">
            <v>4</v>
          </cell>
          <cell r="S798">
            <v>0</v>
          </cell>
          <cell r="T798" t="str">
            <v>Alma MoÃ±asque
Blumentirit HPA Puyas,
Mucia Negros Occidental
0963-619-3793</v>
          </cell>
          <cell r="U798" t="str">
            <v>2023-04-01</v>
          </cell>
        </row>
        <row r="799">
          <cell r="C799" t="str">
            <v>S121</v>
          </cell>
          <cell r="D799" t="str">
            <v>Alfon</v>
          </cell>
          <cell r="E799" t="str">
            <v>Justin</v>
          </cell>
          <cell r="F799" t="str">
            <v>Saan</v>
          </cell>
          <cell r="G799" t="str">
            <v>TEN</v>
          </cell>
          <cell r="H799" t="str">
            <v>0945-140-0076</v>
          </cell>
          <cell r="I799" t="str">
            <v>1996-08-05</v>
          </cell>
          <cell r="J799">
            <v>1</v>
          </cell>
          <cell r="K799">
            <v>2</v>
          </cell>
          <cell r="L799" t="str">
            <v>Claudine May Capinig Opleda</v>
          </cell>
          <cell r="M799" t="str">
            <v>04-2991946-8</v>
          </cell>
          <cell r="N799" t="str">
            <v>327-178-055</v>
          </cell>
          <cell r="O799">
            <v>43</v>
          </cell>
          <cell r="P799">
            <v>455</v>
          </cell>
          <cell r="Q799">
            <v>20</v>
          </cell>
          <cell r="R799">
            <v>4</v>
          </cell>
          <cell r="S799">
            <v>0</v>
          </cell>
          <cell r="T799" t="str">
            <v>Claudine May Alfon
Blk 19 Lot 40 Southville 1,Marinig
Cabuyao City Laguna
0961-705-2863</v>
          </cell>
          <cell r="U799" t="str">
            <v>2023-04-01</v>
          </cell>
        </row>
        <row r="800">
          <cell r="C800" t="str">
            <v>S122</v>
          </cell>
          <cell r="D800" t="str">
            <v>Salazar</v>
          </cell>
          <cell r="E800" t="str">
            <v>Camille Elaine</v>
          </cell>
          <cell r="F800" t="str">
            <v>Causaren</v>
          </cell>
          <cell r="G800" t="str">
            <v>Elaine</v>
          </cell>
          <cell r="H800" t="str">
            <v>0976-110-4286</v>
          </cell>
          <cell r="I800" t="str">
            <v>1994-02-20</v>
          </cell>
          <cell r="J800">
            <v>2</v>
          </cell>
          <cell r="K800">
            <v>1</v>
          </cell>
          <cell r="M800" t="str">
            <v>34-4540772-8</v>
          </cell>
          <cell r="N800" t="str">
            <v>356-948-902</v>
          </cell>
          <cell r="O800">
            <v>43</v>
          </cell>
          <cell r="P800">
            <v>455</v>
          </cell>
          <cell r="Q800">
            <v>20</v>
          </cell>
          <cell r="R800">
            <v>4</v>
          </cell>
          <cell r="S800">
            <v>0</v>
          </cell>
          <cell r="T800" t="str">
            <v>Edna Salazar
365 Mabin St. Pob. III
Mendez, Cavite
0961-423-6530</v>
          </cell>
          <cell r="U800" t="str">
            <v>2023-04-01</v>
          </cell>
        </row>
        <row r="801">
          <cell r="C801" t="str">
            <v>S123</v>
          </cell>
          <cell r="D801" t="str">
            <v>Villanueva</v>
          </cell>
          <cell r="E801" t="str">
            <v>Jefrey</v>
          </cell>
          <cell r="F801" t="str">
            <v>Marasigan</v>
          </cell>
          <cell r="G801" t="str">
            <v>Jef</v>
          </cell>
          <cell r="H801" t="str">
            <v>0966-355-7461</v>
          </cell>
          <cell r="I801" t="str">
            <v>2000-02-05</v>
          </cell>
          <cell r="J801">
            <v>1</v>
          </cell>
          <cell r="K801">
            <v>1</v>
          </cell>
          <cell r="M801" t="str">
            <v>35-1325439-5</v>
          </cell>
          <cell r="N801" t="str">
            <v>658-122-252</v>
          </cell>
          <cell r="O801">
            <v>43</v>
          </cell>
          <cell r="P801">
            <v>387</v>
          </cell>
          <cell r="Q801">
            <v>20</v>
          </cell>
          <cell r="R801">
            <v>4</v>
          </cell>
          <cell r="S801">
            <v>0</v>
          </cell>
          <cell r="T801" t="str">
            <v>Aiza Villanueva
Marinig Southville 1, 
Cabuyao City Laguna
0991-826-1466</v>
          </cell>
          <cell r="U801" t="str">
            <v>2023-04-01</v>
          </cell>
        </row>
        <row r="802">
          <cell r="C802" t="str">
            <v>S125</v>
          </cell>
          <cell r="D802" t="str">
            <v>Crisostomo</v>
          </cell>
          <cell r="E802" t="str">
            <v>Eddie</v>
          </cell>
          <cell r="F802" t="str">
            <v>Hernandez</v>
          </cell>
          <cell r="G802" t="str">
            <v>Eddie</v>
          </cell>
          <cell r="I802" t="str">
            <v>1996-02-11</v>
          </cell>
          <cell r="J802">
            <v>1</v>
          </cell>
          <cell r="K802">
            <v>2</v>
          </cell>
          <cell r="L802" t="str">
            <v>Grace Ann Algire Velasco</v>
          </cell>
          <cell r="M802" t="str">
            <v>04-2899404-4</v>
          </cell>
          <cell r="N802" t="str">
            <v>353-089-498</v>
          </cell>
          <cell r="O802">
            <v>40</v>
          </cell>
          <cell r="P802">
            <v>441</v>
          </cell>
          <cell r="Q802">
            <v>21</v>
          </cell>
          <cell r="R802">
            <v>4</v>
          </cell>
          <cell r="S802">
            <v>0</v>
          </cell>
          <cell r="T802" t="str">
            <v>Grace Ann Crisostomo
163-A San Isidro,Cabuyao City
Laguna
0930-902-1546</v>
          </cell>
          <cell r="U802" t="str">
            <v>2023-04-01</v>
          </cell>
        </row>
        <row r="803">
          <cell r="C803" t="str">
            <v>S126</v>
          </cell>
          <cell r="D803" t="str">
            <v>Rapsing</v>
          </cell>
          <cell r="E803" t="str">
            <v>Marielle</v>
          </cell>
          <cell r="F803" t="str">
            <v>Llamido</v>
          </cell>
          <cell r="G803" t="str">
            <v>Yela</v>
          </cell>
          <cell r="H803" t="str">
            <v>0930-709-1361</v>
          </cell>
          <cell r="I803" t="str">
            <v>1998-04-30</v>
          </cell>
          <cell r="J803">
            <v>2</v>
          </cell>
          <cell r="K803">
            <v>2</v>
          </cell>
          <cell r="L803" t="str">
            <v>Christopher Bello Rapsing SEPARATED</v>
          </cell>
          <cell r="M803" t="str">
            <v>04-4035823-1</v>
          </cell>
          <cell r="N803" t="str">
            <v>731-785-254</v>
          </cell>
          <cell r="O803">
            <v>32</v>
          </cell>
          <cell r="P803">
            <v>466</v>
          </cell>
          <cell r="Q803">
            <v>33</v>
          </cell>
          <cell r="R803">
            <v>8</v>
          </cell>
          <cell r="S803">
            <v>0</v>
          </cell>
          <cell r="T803" t="str">
            <v>Adelina P. Llamido
Brgy 2 Tibag Calamba City
Laguna
0955-528-8759</v>
          </cell>
          <cell r="U803" t="str">
            <v>2023-04-01</v>
          </cell>
        </row>
        <row r="804">
          <cell r="C804" t="str">
            <v>S127</v>
          </cell>
          <cell r="D804" t="str">
            <v>Calaminos</v>
          </cell>
          <cell r="E804" t="str">
            <v>Lea</v>
          </cell>
          <cell r="F804" t="str">
            <v>Reobaldes</v>
          </cell>
          <cell r="G804" t="str">
            <v>Ley</v>
          </cell>
          <cell r="H804" t="str">
            <v>0991-840-3879</v>
          </cell>
          <cell r="I804" t="str">
            <v>1998-08-22</v>
          </cell>
          <cell r="J804">
            <v>2</v>
          </cell>
          <cell r="K804">
            <v>1</v>
          </cell>
          <cell r="M804" t="str">
            <v>04-3974706-0</v>
          </cell>
          <cell r="N804" t="str">
            <v>314-212-813</v>
          </cell>
          <cell r="O804">
            <v>43</v>
          </cell>
          <cell r="P804">
            <v>502</v>
          </cell>
          <cell r="Q804">
            <v>62</v>
          </cell>
          <cell r="R804">
            <v>12</v>
          </cell>
          <cell r="S804">
            <v>0</v>
          </cell>
          <cell r="T804" t="str">
            <v>Exequiel Mangahis
Phase 1 Blk 14 Lot 17 De Luna Subd
Ibaba Sta Rosa, Laguna
0965-722-5458</v>
          </cell>
          <cell r="U804" t="str">
            <v>2023-04-01</v>
          </cell>
        </row>
        <row r="805">
          <cell r="C805" t="str">
            <v>S129</v>
          </cell>
          <cell r="D805" t="str">
            <v>Dalag</v>
          </cell>
          <cell r="E805" t="str">
            <v>Johbile</v>
          </cell>
          <cell r="F805" t="str">
            <v>Bueno</v>
          </cell>
          <cell r="G805" t="str">
            <v>Johbile</v>
          </cell>
          <cell r="H805" t="str">
            <v>0995-657-1660</v>
          </cell>
          <cell r="I805" t="str">
            <v>1999-06-30</v>
          </cell>
          <cell r="J805">
            <v>2</v>
          </cell>
          <cell r="K805">
            <v>1</v>
          </cell>
          <cell r="M805" t="str">
            <v>04-4223588-6</v>
          </cell>
          <cell r="N805" t="str">
            <v>361-394-542</v>
          </cell>
          <cell r="O805">
            <v>43</v>
          </cell>
          <cell r="P805">
            <v>502</v>
          </cell>
          <cell r="Q805">
            <v>62</v>
          </cell>
          <cell r="R805">
            <v>12</v>
          </cell>
          <cell r="S805">
            <v>0</v>
          </cell>
          <cell r="T805" t="str">
            <v>Wilhimina Zonio
B-48 L-30 Southville 1
Niuga, Cabuyao City Laguna
0956-685-8589</v>
          </cell>
          <cell r="U805" t="str">
            <v>2023-04-03</v>
          </cell>
        </row>
        <row r="806">
          <cell r="C806" t="str">
            <v>S130</v>
          </cell>
          <cell r="D806" t="str">
            <v>Dela PeÃ±a</v>
          </cell>
          <cell r="E806" t="str">
            <v>Aljon</v>
          </cell>
          <cell r="F806" t="str">
            <v>Lontoc</v>
          </cell>
          <cell r="G806" t="str">
            <v>Aljon</v>
          </cell>
          <cell r="H806" t="str">
            <v>0995-540-3198</v>
          </cell>
          <cell r="I806" t="str">
            <v>2002-12-12</v>
          </cell>
          <cell r="J806">
            <v>1</v>
          </cell>
          <cell r="K806">
            <v>1</v>
          </cell>
          <cell r="M806" t="str">
            <v>35-1995136-2</v>
          </cell>
          <cell r="N806" t="str">
            <v>612-918-389</v>
          </cell>
          <cell r="O806">
            <v>43</v>
          </cell>
          <cell r="P806">
            <v>502</v>
          </cell>
          <cell r="Q806">
            <v>62</v>
          </cell>
          <cell r="R806">
            <v>12</v>
          </cell>
          <cell r="S806">
            <v>0</v>
          </cell>
          <cell r="T806" t="str">
            <v>Alben B. Dela PeÃ±a
Apitong Naujan
Orriental Mindoro
0955-877-6828</v>
          </cell>
          <cell r="U806" t="str">
            <v>2023-04-03</v>
          </cell>
        </row>
        <row r="807">
          <cell r="C807" t="str">
            <v>S133</v>
          </cell>
          <cell r="D807" t="str">
            <v>Capili</v>
          </cell>
          <cell r="E807" t="str">
            <v>Stephanie Joyce</v>
          </cell>
          <cell r="F807">
            <v>0</v>
          </cell>
          <cell r="G807" t="str">
            <v>Joyce</v>
          </cell>
          <cell r="H807" t="str">
            <v>0915-064-3448</v>
          </cell>
          <cell r="I807" t="str">
            <v>1998-08-28</v>
          </cell>
          <cell r="J807">
            <v>2</v>
          </cell>
          <cell r="K807">
            <v>1</v>
          </cell>
          <cell r="M807" t="str">
            <v>04-4098098-4</v>
          </cell>
          <cell r="N807" t="str">
            <v>379-204-123</v>
          </cell>
          <cell r="O807">
            <v>43</v>
          </cell>
          <cell r="P807">
            <v>393</v>
          </cell>
          <cell r="Q807">
            <v>34</v>
          </cell>
          <cell r="R807">
            <v>8</v>
          </cell>
          <cell r="S807">
            <v>0</v>
          </cell>
          <cell r="T807" t="str">
            <v>Rowena Perez
Brgy Palisa Tiaong Quezon
0910-701-5971</v>
          </cell>
          <cell r="U807" t="str">
            <v>2023-04-03</v>
          </cell>
        </row>
        <row r="808">
          <cell r="C808" t="str">
            <v>S134</v>
          </cell>
          <cell r="D808" t="str">
            <v>De Leon</v>
          </cell>
          <cell r="E808" t="str">
            <v>Zarina</v>
          </cell>
          <cell r="F808" t="str">
            <v>Velasquez</v>
          </cell>
          <cell r="G808" t="str">
            <v>Zaru</v>
          </cell>
          <cell r="H808" t="str">
            <v>0991-843-3693</v>
          </cell>
          <cell r="I808" t="str">
            <v>1992-10-05</v>
          </cell>
          <cell r="J808">
            <v>2</v>
          </cell>
          <cell r="K808">
            <v>1</v>
          </cell>
          <cell r="M808" t="str">
            <v>04-2384283-2</v>
          </cell>
          <cell r="N808" t="str">
            <v>422-023-427</v>
          </cell>
          <cell r="O808">
            <v>43</v>
          </cell>
          <cell r="P808">
            <v>472</v>
          </cell>
          <cell r="Q808">
            <v>34</v>
          </cell>
          <cell r="R808">
            <v>8</v>
          </cell>
          <cell r="S808">
            <v>0</v>
          </cell>
          <cell r="T808" t="str">
            <v xml:space="preserve">Nerissa De Leon
B15 L117 Southville
Marinig Cabuyao Laguna
0935-763-98-59
</v>
          </cell>
          <cell r="U808" t="str">
            <v>2023-04-03</v>
          </cell>
        </row>
        <row r="809">
          <cell r="C809" t="str">
            <v>S136</v>
          </cell>
          <cell r="D809" t="str">
            <v>Macaraig</v>
          </cell>
          <cell r="E809" t="str">
            <v>Rey Mark</v>
          </cell>
          <cell r="F809" t="str">
            <v>Arcayos</v>
          </cell>
          <cell r="G809" t="str">
            <v>Remark</v>
          </cell>
          <cell r="H809" t="str">
            <v>0963-736-7711</v>
          </cell>
          <cell r="I809" t="str">
            <v>2000-02-01</v>
          </cell>
          <cell r="J809">
            <v>1</v>
          </cell>
          <cell r="K809">
            <v>1</v>
          </cell>
          <cell r="M809" t="str">
            <v>04-4239012-9</v>
          </cell>
          <cell r="N809" t="str">
            <v>359-977-434</v>
          </cell>
          <cell r="O809">
            <v>43</v>
          </cell>
          <cell r="P809">
            <v>472</v>
          </cell>
          <cell r="Q809">
            <v>34</v>
          </cell>
          <cell r="R809">
            <v>8</v>
          </cell>
          <cell r="S809">
            <v>0</v>
          </cell>
          <cell r="T809" t="str">
            <v>Lorna Macaraig
Pahinga Norte Candelaria
0930-000-4960</v>
          </cell>
          <cell r="U809" t="str">
            <v>2023-04-03</v>
          </cell>
        </row>
        <row r="810">
          <cell r="C810" t="str">
            <v>S137</v>
          </cell>
          <cell r="D810" t="str">
            <v>Mancilla</v>
          </cell>
          <cell r="E810" t="str">
            <v>Joan</v>
          </cell>
          <cell r="F810" t="str">
            <v>Hena</v>
          </cell>
          <cell r="G810" t="str">
            <v>Ann</v>
          </cell>
          <cell r="H810" t="str">
            <v>0995-667-0821</v>
          </cell>
          <cell r="I810" t="str">
            <v>1998-02-19</v>
          </cell>
          <cell r="J810">
            <v>2</v>
          </cell>
          <cell r="K810">
            <v>1</v>
          </cell>
          <cell r="M810" t="str">
            <v>04-4053744-7</v>
          </cell>
          <cell r="N810" t="str">
            <v>350-183-368</v>
          </cell>
          <cell r="O810">
            <v>43</v>
          </cell>
          <cell r="P810">
            <v>472</v>
          </cell>
          <cell r="Q810">
            <v>34</v>
          </cell>
          <cell r="R810">
            <v>8</v>
          </cell>
          <cell r="S810">
            <v>0</v>
          </cell>
          <cell r="T810" t="str">
            <v>Jay Ann Mancilla
Banlic Cabuyao Laguna
0908-312-1147</v>
          </cell>
          <cell r="U810" t="str">
            <v>2023-04-03</v>
          </cell>
        </row>
        <row r="811">
          <cell r="C811" t="str">
            <v>S138</v>
          </cell>
          <cell r="D811" t="str">
            <v>Manongsong</v>
          </cell>
          <cell r="E811" t="str">
            <v>Angeluz</v>
          </cell>
          <cell r="F811">
            <v>0</v>
          </cell>
          <cell r="G811" t="str">
            <v>Gjel</v>
          </cell>
          <cell r="H811" t="str">
            <v>0991-508-7914</v>
          </cell>
          <cell r="I811" t="str">
            <v>1994-06-13</v>
          </cell>
          <cell r="J811">
            <v>2</v>
          </cell>
          <cell r="K811">
            <v>1</v>
          </cell>
          <cell r="M811" t="str">
            <v>04-2857132-8</v>
          </cell>
          <cell r="N811" t="str">
            <v>453-653-906</v>
          </cell>
          <cell r="O811">
            <v>43</v>
          </cell>
          <cell r="P811">
            <v>472</v>
          </cell>
          <cell r="Q811">
            <v>34</v>
          </cell>
          <cell r="R811">
            <v>8</v>
          </cell>
          <cell r="S811">
            <v>0</v>
          </cell>
          <cell r="T811" t="str">
            <v>Francis P. Lleva
B7 L9 Bel-Flor San Cristobal
Calamba City Laguna
0961-401-7758</v>
          </cell>
          <cell r="U811" t="str">
            <v>2023-04-03</v>
          </cell>
        </row>
        <row r="812">
          <cell r="C812" t="str">
            <v>S139</v>
          </cell>
          <cell r="D812" t="str">
            <v>Mercado</v>
          </cell>
          <cell r="E812" t="str">
            <v>Arvin</v>
          </cell>
          <cell r="F812" t="str">
            <v>Terzol</v>
          </cell>
          <cell r="G812" t="str">
            <v>Vhin</v>
          </cell>
          <cell r="H812" t="str">
            <v>0950-54-7268</v>
          </cell>
          <cell r="I812" t="str">
            <v>1995-09-04</v>
          </cell>
          <cell r="J812">
            <v>1</v>
          </cell>
          <cell r="K812">
            <v>1</v>
          </cell>
          <cell r="M812" t="str">
            <v>04-2782931-4</v>
          </cell>
          <cell r="N812" t="str">
            <v>708-725-840</v>
          </cell>
          <cell r="O812">
            <v>43</v>
          </cell>
          <cell r="P812">
            <v>472</v>
          </cell>
          <cell r="Q812">
            <v>34</v>
          </cell>
          <cell r="R812">
            <v>8</v>
          </cell>
          <cell r="S812">
            <v>0</v>
          </cell>
          <cell r="T812" t="str">
            <v>Ma. Cristina R. Palas
Lingga Calamba City
Laguna
0951-551-4546</v>
          </cell>
          <cell r="U812" t="str">
            <v>2023-04-03</v>
          </cell>
        </row>
        <row r="813">
          <cell r="C813" t="str">
            <v>S140</v>
          </cell>
          <cell r="D813" t="str">
            <v xml:space="preserve">Pielago </v>
          </cell>
          <cell r="E813" t="str">
            <v>Grosy Mae</v>
          </cell>
          <cell r="F813" t="str">
            <v>Norombaba</v>
          </cell>
          <cell r="G813" t="str">
            <v>Mae</v>
          </cell>
          <cell r="H813" t="str">
            <v>0909-075-0559</v>
          </cell>
          <cell r="I813" t="str">
            <v>2000-04-22</v>
          </cell>
          <cell r="J813">
            <v>2</v>
          </cell>
          <cell r="K813">
            <v>1</v>
          </cell>
          <cell r="M813" t="str">
            <v>04-4213513-5</v>
          </cell>
          <cell r="N813" t="str">
            <v>747-743-538</v>
          </cell>
          <cell r="O813">
            <v>43</v>
          </cell>
          <cell r="P813">
            <v>472</v>
          </cell>
          <cell r="Q813">
            <v>34</v>
          </cell>
          <cell r="R813">
            <v>8</v>
          </cell>
          <cell r="S813">
            <v>0</v>
          </cell>
          <cell r="T813" t="str">
            <v>Ron Jester Venturina
St. Christopher 1
Paciano Rizal, Calamba City
Laguna
0909-075-055</v>
          </cell>
          <cell r="U813" t="str">
            <v>2023-04-04</v>
          </cell>
        </row>
        <row r="814">
          <cell r="C814" t="str">
            <v>S141</v>
          </cell>
          <cell r="D814" t="str">
            <v>Barimbao</v>
          </cell>
          <cell r="E814" t="str">
            <v>Edward Kenn</v>
          </cell>
          <cell r="F814">
            <v>0</v>
          </cell>
          <cell r="G814" t="str">
            <v>Kenn</v>
          </cell>
          <cell r="H814" t="str">
            <v>0956-325-9481</v>
          </cell>
          <cell r="I814" t="str">
            <v>1996-05-05</v>
          </cell>
          <cell r="J814">
            <v>1</v>
          </cell>
          <cell r="K814">
            <v>1</v>
          </cell>
          <cell r="M814" t="str">
            <v>34-7982414-4</v>
          </cell>
          <cell r="N814" t="str">
            <v>383-280-821</v>
          </cell>
          <cell r="O814">
            <v>43</v>
          </cell>
          <cell r="P814">
            <v>493</v>
          </cell>
          <cell r="Q814">
            <v>55</v>
          </cell>
          <cell r="R814">
            <v>11</v>
          </cell>
          <cell r="S814">
            <v>0</v>
          </cell>
          <cell r="T814" t="str">
            <v>Helen T. Barimbao
Maloro Tangub City Misamis Occidental
0910-731-3754</v>
          </cell>
          <cell r="U814" t="str">
            <v>2023-04-12</v>
          </cell>
        </row>
        <row r="815">
          <cell r="C815" t="str">
            <v>S144</v>
          </cell>
          <cell r="D815" t="str">
            <v>Paran</v>
          </cell>
          <cell r="E815" t="str">
            <v>Jhon Carlo</v>
          </cell>
          <cell r="F815" t="str">
            <v>Siglos</v>
          </cell>
          <cell r="G815" t="str">
            <v>Carlo</v>
          </cell>
          <cell r="H815" t="str">
            <v>0935-919-5141</v>
          </cell>
          <cell r="I815" t="str">
            <v>1993-11-23</v>
          </cell>
          <cell r="J815">
            <v>1</v>
          </cell>
          <cell r="K815">
            <v>2</v>
          </cell>
          <cell r="L815" t="str">
            <v>Maricar Magpantay Tapay</v>
          </cell>
          <cell r="M815" t="str">
            <v>04-2901300-5</v>
          </cell>
          <cell r="N815" t="str">
            <v>448-925-659</v>
          </cell>
          <cell r="O815">
            <v>121</v>
          </cell>
          <cell r="P815">
            <v>478</v>
          </cell>
          <cell r="Q815">
            <v>54</v>
          </cell>
          <cell r="R815">
            <v>9</v>
          </cell>
          <cell r="S815">
            <v>0</v>
          </cell>
          <cell r="T815" t="str">
            <v>Maricar Paran
Malabanan Balete Batangas
0955-336-6810</v>
          </cell>
          <cell r="U815" t="str">
            <v>2023-04-17</v>
          </cell>
        </row>
        <row r="816">
          <cell r="C816" t="str">
            <v>S145</v>
          </cell>
          <cell r="D816" t="str">
            <v>Dimailig</v>
          </cell>
          <cell r="E816" t="str">
            <v>Rhodelyn</v>
          </cell>
          <cell r="F816" t="str">
            <v>Castillo</v>
          </cell>
          <cell r="G816" t="str">
            <v>Rhodelyn</v>
          </cell>
          <cell r="H816" t="str">
            <v>0977-011-6071</v>
          </cell>
          <cell r="I816" t="str">
            <v>1998-10-01</v>
          </cell>
          <cell r="J816">
            <v>2</v>
          </cell>
          <cell r="K816">
            <v>1</v>
          </cell>
          <cell r="M816" t="str">
            <v>04-4531803-0</v>
          </cell>
          <cell r="N816" t="str">
            <v>658-469-419</v>
          </cell>
          <cell r="O816">
            <v>52</v>
          </cell>
          <cell r="P816">
            <v>493</v>
          </cell>
          <cell r="Q816">
            <v>55</v>
          </cell>
          <cell r="R816">
            <v>11</v>
          </cell>
          <cell r="S816">
            <v>0</v>
          </cell>
          <cell r="T816" t="str">
            <v>Jecelyn C. Dimailig
Caluangan, Calaca, Batangas
0915-462-3608</v>
          </cell>
          <cell r="U816" t="str">
            <v>2023-05-02</v>
          </cell>
        </row>
        <row r="817">
          <cell r="C817" t="str">
            <v>S146</v>
          </cell>
          <cell r="D817" t="str">
            <v>Enila</v>
          </cell>
          <cell r="E817" t="str">
            <v>Angelica Jane</v>
          </cell>
          <cell r="F817" t="str">
            <v>Garcia</v>
          </cell>
          <cell r="G817" t="str">
            <v>Ange</v>
          </cell>
          <cell r="H817" t="str">
            <v>0906-623-1836</v>
          </cell>
          <cell r="I817" t="str">
            <v>1999-10-20</v>
          </cell>
          <cell r="J817">
            <v>2</v>
          </cell>
          <cell r="K817">
            <v>1</v>
          </cell>
          <cell r="M817" t="str">
            <v>04-4531801-4</v>
          </cell>
          <cell r="O817">
            <v>52</v>
          </cell>
          <cell r="P817">
            <v>493</v>
          </cell>
          <cell r="Q817">
            <v>55</v>
          </cell>
          <cell r="R817">
            <v>11</v>
          </cell>
          <cell r="S817">
            <v>0</v>
          </cell>
          <cell r="T817" t="str">
            <v>Marife G. Enila
Gulod Itaas, Batangas City
0927-272-0649</v>
          </cell>
          <cell r="U817" t="str">
            <v>2023-05-02</v>
          </cell>
        </row>
        <row r="818">
          <cell r="C818" t="str">
            <v>S147</v>
          </cell>
          <cell r="D818" t="str">
            <v>Fajardo</v>
          </cell>
          <cell r="E818" t="str">
            <v>Jeus Christian</v>
          </cell>
          <cell r="F818" t="str">
            <v>Pimentel</v>
          </cell>
          <cell r="G818" t="str">
            <v>Jeus</v>
          </cell>
          <cell r="H818" t="str">
            <v>0921-837-2606</v>
          </cell>
          <cell r="I818" t="str">
            <v>1996-07-07</v>
          </cell>
          <cell r="J818">
            <v>1</v>
          </cell>
          <cell r="K818">
            <v>1</v>
          </cell>
          <cell r="M818" t="str">
            <v>34-9563875-4</v>
          </cell>
          <cell r="N818" t="str">
            <v>376-233-460</v>
          </cell>
          <cell r="O818">
            <v>109</v>
          </cell>
          <cell r="P818">
            <v>487</v>
          </cell>
          <cell r="Q818">
            <v>61</v>
          </cell>
          <cell r="R818">
            <v>11</v>
          </cell>
          <cell r="S818">
            <v>0</v>
          </cell>
          <cell r="T818" t="str">
            <v>Criselda C. Pimentel
Blk 1 Lot 27 bayabas St, Ceris III,
Canlubang, Calamba City, Laguna
0917-505-1613</v>
          </cell>
          <cell r="U818" t="str">
            <v>2023-05-02</v>
          </cell>
        </row>
        <row r="819">
          <cell r="C819" t="str">
            <v>S149</v>
          </cell>
          <cell r="D819" t="str">
            <v>Estacio</v>
          </cell>
          <cell r="E819" t="str">
            <v>Daryll Justin</v>
          </cell>
          <cell r="F819" t="str">
            <v>Onte</v>
          </cell>
          <cell r="G819" t="str">
            <v>Daryll</v>
          </cell>
          <cell r="H819" t="str">
            <v>0955-492-5018</v>
          </cell>
          <cell r="I819" t="str">
            <v>1998-10-08</v>
          </cell>
          <cell r="J819">
            <v>1</v>
          </cell>
          <cell r="K819">
            <v>1</v>
          </cell>
          <cell r="M819" t="str">
            <v>04-4531021-6</v>
          </cell>
          <cell r="N819" t="str">
            <v>658-106-479</v>
          </cell>
          <cell r="O819">
            <v>86</v>
          </cell>
          <cell r="P819">
            <v>299</v>
          </cell>
          <cell r="Q819">
            <v>19</v>
          </cell>
          <cell r="R819">
            <v>4</v>
          </cell>
          <cell r="S819">
            <v>0</v>
          </cell>
          <cell r="T819" t="str">
            <v>Ursula O. Estacio
Blk 15 Lot 9 Ph 1, Bria Homes,
Banadero, Calamba City, Laguna
0991-479-8119</v>
          </cell>
          <cell r="U819" t="str">
            <v>2023-05-04</v>
          </cell>
        </row>
        <row r="820">
          <cell r="C820" t="str">
            <v>S151</v>
          </cell>
          <cell r="D820" t="str">
            <v>Lagmay</v>
          </cell>
          <cell r="E820" t="str">
            <v>John Arvin</v>
          </cell>
          <cell r="F820" t="str">
            <v>Parrocha</v>
          </cell>
          <cell r="G820" t="str">
            <v>John</v>
          </cell>
          <cell r="H820" t="str">
            <v>0955-340-8854</v>
          </cell>
          <cell r="I820" t="str">
            <v>1996-10-11</v>
          </cell>
          <cell r="J820">
            <v>1</v>
          </cell>
          <cell r="K820">
            <v>1</v>
          </cell>
          <cell r="M820" t="str">
            <v>04-4514597-3</v>
          </cell>
          <cell r="N820" t="str">
            <v>657-192-853</v>
          </cell>
          <cell r="O820">
            <v>86</v>
          </cell>
          <cell r="P820">
            <v>517</v>
          </cell>
          <cell r="Q820">
            <v>77</v>
          </cell>
          <cell r="R820">
            <v>14</v>
          </cell>
          <cell r="S820">
            <v>0</v>
          </cell>
          <cell r="T820" t="str">
            <v>Revelyn P. Lagmay
Blk21 Lot34 Ph1 Mabuhay City,
Baclaran, Cabuyao City, Laguna
0946-155-4652</v>
          </cell>
          <cell r="U820" t="str">
            <v>2023-05-15</v>
          </cell>
        </row>
        <row r="821">
          <cell r="C821" t="str">
            <v>S153</v>
          </cell>
          <cell r="D821" t="str">
            <v>Bathan</v>
          </cell>
          <cell r="E821" t="str">
            <v>Harold</v>
          </cell>
          <cell r="F821" t="str">
            <v>Arcan</v>
          </cell>
          <cell r="G821" t="str">
            <v>Dudz</v>
          </cell>
          <cell r="H821" t="str">
            <v>0961-621-9839</v>
          </cell>
          <cell r="I821" t="str">
            <v>1995-07-28</v>
          </cell>
          <cell r="J821">
            <v>1</v>
          </cell>
          <cell r="K821">
            <v>1</v>
          </cell>
          <cell r="M821" t="str">
            <v>04-2993977-8</v>
          </cell>
          <cell r="N821" t="str">
            <v>338-515-238</v>
          </cell>
          <cell r="O821">
            <v>101</v>
          </cell>
          <cell r="P821">
            <v>406</v>
          </cell>
          <cell r="Q821">
            <v>51</v>
          </cell>
          <cell r="R821">
            <v>1</v>
          </cell>
          <cell r="S821">
            <v>0</v>
          </cell>
          <cell r="T821" t="str">
            <v>Luanne A. Bathan
B59 L1 A2 Kapayapaan Ville
Canlubang, Calamba City
0918-511-2024</v>
          </cell>
          <cell r="U821" t="str">
            <v>2023-05-18</v>
          </cell>
        </row>
        <row r="822">
          <cell r="C822" t="str">
            <v>S154</v>
          </cell>
          <cell r="D822" t="str">
            <v>Domingo</v>
          </cell>
          <cell r="E822" t="str">
            <v>Dominador Jr.</v>
          </cell>
          <cell r="F822" t="str">
            <v>Aquino</v>
          </cell>
          <cell r="G822" t="str">
            <v>JR</v>
          </cell>
          <cell r="H822" t="str">
            <v>0956-831-1230</v>
          </cell>
          <cell r="I822" t="str">
            <v>1997-06-23</v>
          </cell>
          <cell r="J822">
            <v>1</v>
          </cell>
          <cell r="K822">
            <v>1</v>
          </cell>
          <cell r="M822" t="str">
            <v>34-8779799-1</v>
          </cell>
          <cell r="N822" t="str">
            <v>712-091-258</v>
          </cell>
          <cell r="O822">
            <v>86</v>
          </cell>
          <cell r="P822">
            <v>403</v>
          </cell>
          <cell r="Q822">
            <v>51</v>
          </cell>
          <cell r="R822">
            <v>1</v>
          </cell>
          <cell r="S822">
            <v>0</v>
          </cell>
          <cell r="T822" t="str">
            <v>Christopher Domingo
Punta, Calamba City Laguna
0917-816-4713</v>
          </cell>
          <cell r="U822" t="str">
            <v>2023-05-22</v>
          </cell>
        </row>
        <row r="823">
          <cell r="C823" t="str">
            <v>S155</v>
          </cell>
          <cell r="D823" t="str">
            <v>Esguerra</v>
          </cell>
          <cell r="E823" t="str">
            <v>Bryan Louie</v>
          </cell>
          <cell r="F823" t="str">
            <v>Acob</v>
          </cell>
          <cell r="G823" t="str">
            <v>Bryan</v>
          </cell>
          <cell r="H823" t="str">
            <v>0977-254-9632</v>
          </cell>
          <cell r="I823" t="str">
            <v>1999-11-04</v>
          </cell>
          <cell r="J823">
            <v>1</v>
          </cell>
          <cell r="K823">
            <v>1</v>
          </cell>
          <cell r="M823" t="str">
            <v>04-4535457-3</v>
          </cell>
          <cell r="N823" t="str">
            <v>658-123-132</v>
          </cell>
          <cell r="O823">
            <v>86</v>
          </cell>
          <cell r="P823">
            <v>499</v>
          </cell>
          <cell r="Q823">
            <v>66</v>
          </cell>
          <cell r="R823">
            <v>12</v>
          </cell>
          <cell r="S823">
            <v>0</v>
          </cell>
          <cell r="T823" t="str">
            <v>Lilia Esguerra
Blk 26 Lot 8 Villa Palao
Banlic, Calamba City
0916-759-6689</v>
          </cell>
          <cell r="U823" t="str">
            <v>2023-05-22</v>
          </cell>
        </row>
        <row r="824">
          <cell r="C824" t="str">
            <v>S156</v>
          </cell>
          <cell r="D824" t="str">
            <v>Figura</v>
          </cell>
          <cell r="E824" t="str">
            <v>Aldrin</v>
          </cell>
          <cell r="F824">
            <v>0</v>
          </cell>
          <cell r="G824" t="str">
            <v>Boknoy</v>
          </cell>
          <cell r="H824" t="str">
            <v>0938-895-6227</v>
          </cell>
          <cell r="I824" t="str">
            <v>1999-06-01</v>
          </cell>
          <cell r="J824">
            <v>1</v>
          </cell>
          <cell r="K824">
            <v>1</v>
          </cell>
          <cell r="M824" t="str">
            <v>05-1520177-6</v>
          </cell>
          <cell r="N824" t="str">
            <v>361-193-087</v>
          </cell>
          <cell r="O824">
            <v>55</v>
          </cell>
          <cell r="P824">
            <v>435</v>
          </cell>
          <cell r="Q824">
            <v>19</v>
          </cell>
          <cell r="R824">
            <v>4</v>
          </cell>
          <cell r="S824">
            <v>0</v>
          </cell>
          <cell r="T824" t="str">
            <v>Shesica Silaba
Mt.Clair Sta. Anastacia, Sto.Tomas
Batangas
0912-949-6962</v>
          </cell>
          <cell r="U824" t="str">
            <v>2023-05-22</v>
          </cell>
        </row>
        <row r="825">
          <cell r="C825" t="str">
            <v>S157</v>
          </cell>
          <cell r="D825" t="str">
            <v>Capunitan</v>
          </cell>
          <cell r="E825" t="str">
            <v>Vince Emil</v>
          </cell>
          <cell r="F825" t="str">
            <v>Nuque</v>
          </cell>
          <cell r="G825" t="str">
            <v>Vince</v>
          </cell>
          <cell r="H825" t="str">
            <v>0928-181-6080</v>
          </cell>
          <cell r="I825" t="str">
            <v>2000-04-06</v>
          </cell>
          <cell r="J825">
            <v>1</v>
          </cell>
          <cell r="K825">
            <v>1</v>
          </cell>
          <cell r="M825" t="str">
            <v>04-4548748-2</v>
          </cell>
          <cell r="N825" t="str">
            <v>657-569-643</v>
          </cell>
          <cell r="O825">
            <v>86</v>
          </cell>
          <cell r="P825">
            <v>485</v>
          </cell>
          <cell r="Q825">
            <v>59</v>
          </cell>
          <cell r="R825">
            <v>11</v>
          </cell>
          <cell r="S825">
            <v>0</v>
          </cell>
          <cell r="T825" t="str">
            <v>Editha N. Capunitan
B84 L14 Ph1 Paoay St, Mabuhay City,
Mamatid, Cabuyao, Laguna
0918-301-3320</v>
          </cell>
          <cell r="U825" t="str">
            <v>2023-06-05</v>
          </cell>
        </row>
        <row r="826">
          <cell r="C826" t="str">
            <v>S158</v>
          </cell>
          <cell r="D826" t="str">
            <v>Casquejo</v>
          </cell>
          <cell r="E826" t="str">
            <v>Karl Michael</v>
          </cell>
          <cell r="F826" t="str">
            <v>Lucas</v>
          </cell>
          <cell r="G826" t="str">
            <v>Karl</v>
          </cell>
          <cell r="H826" t="str">
            <v>0906-239-2605</v>
          </cell>
          <cell r="I826" t="str">
            <v>2000-03-07</v>
          </cell>
          <cell r="J826">
            <v>1</v>
          </cell>
          <cell r="K826">
            <v>1</v>
          </cell>
          <cell r="M826" t="str">
            <v>04-4514534-2</v>
          </cell>
          <cell r="N826" t="str">
            <v>657-267-902</v>
          </cell>
          <cell r="O826">
            <v>86</v>
          </cell>
          <cell r="P826">
            <v>499</v>
          </cell>
          <cell r="Q826">
            <v>66</v>
          </cell>
          <cell r="R826">
            <v>12</v>
          </cell>
          <cell r="S826">
            <v>0</v>
          </cell>
          <cell r="T826" t="str">
            <v>Michael E. Casquejo
Blk7 Lot12 Centennial Homes,
Pulo, Cabuyao Laguna
0966-132-1623</v>
          </cell>
          <cell r="U826" t="str">
            <v>2023-06-06</v>
          </cell>
        </row>
        <row r="827">
          <cell r="C827" t="str">
            <v>S160</v>
          </cell>
          <cell r="D827" t="str">
            <v>Del Rosario</v>
          </cell>
          <cell r="E827" t="str">
            <v>Mark Adriane</v>
          </cell>
          <cell r="F827" t="str">
            <v>Resoso</v>
          </cell>
          <cell r="G827" t="str">
            <v>Ian</v>
          </cell>
          <cell r="H827" t="str">
            <v>0956-073-4461</v>
          </cell>
          <cell r="I827" t="str">
            <v>1999-09-13</v>
          </cell>
          <cell r="J827">
            <v>1</v>
          </cell>
          <cell r="K827">
            <v>1</v>
          </cell>
          <cell r="M827" t="str">
            <v>04-4554178-4</v>
          </cell>
          <cell r="N827" t="str">
            <v>658-074-677</v>
          </cell>
          <cell r="O827">
            <v>86</v>
          </cell>
          <cell r="P827">
            <v>433</v>
          </cell>
          <cell r="Q827">
            <v>19</v>
          </cell>
          <cell r="R827">
            <v>4</v>
          </cell>
          <cell r="S827">
            <v>0</v>
          </cell>
          <cell r="T827" t="str">
            <v>Rhona R. Del Rosario
F. De San Juan St, Bgy. Uno,
Pagsanjan, Laguna
0956-073-4461</v>
          </cell>
          <cell r="U827" t="str">
            <v>2023-06-13</v>
          </cell>
        </row>
        <row r="828">
          <cell r="C828" t="str">
            <v>S161</v>
          </cell>
          <cell r="D828" t="str">
            <v>De La Cruz</v>
          </cell>
          <cell r="E828" t="str">
            <v>Cyrus Braeson</v>
          </cell>
          <cell r="F828" t="str">
            <v>Bartolome</v>
          </cell>
          <cell r="G828" t="str">
            <v>Braeson</v>
          </cell>
          <cell r="H828" t="str">
            <v>0915-505-3145</v>
          </cell>
          <cell r="I828" t="str">
            <v>1999-04-18</v>
          </cell>
          <cell r="J828">
            <v>1</v>
          </cell>
          <cell r="K828">
            <v>1</v>
          </cell>
          <cell r="M828" t="str">
            <v>04-3920929-4</v>
          </cell>
          <cell r="N828" t="str">
            <v>507-675-578</v>
          </cell>
          <cell r="O828">
            <v>55</v>
          </cell>
          <cell r="P828">
            <v>435</v>
          </cell>
          <cell r="Q828">
            <v>19</v>
          </cell>
          <cell r="R828">
            <v>4</v>
          </cell>
          <cell r="S828">
            <v>0</v>
          </cell>
          <cell r="T828" t="str">
            <v>Edna B. De La Cruz
238 Purok III, Bgy. San Juan,
San Pablo City, Laguna
0910-683-9556</v>
          </cell>
          <cell r="U828" t="str">
            <v>2023-06-20</v>
          </cell>
        </row>
        <row r="829">
          <cell r="C829" t="str">
            <v>S163</v>
          </cell>
          <cell r="D829" t="str">
            <v>De Olino</v>
          </cell>
          <cell r="E829" t="str">
            <v>Michelle</v>
          </cell>
          <cell r="F829" t="str">
            <v>Dandasan</v>
          </cell>
          <cell r="G829" t="str">
            <v>Mitch</v>
          </cell>
          <cell r="H829" t="str">
            <v>0938-1280-0224</v>
          </cell>
          <cell r="I829" t="str">
            <v>1982-02-09</v>
          </cell>
          <cell r="J829">
            <v>2</v>
          </cell>
          <cell r="K829">
            <v>2</v>
          </cell>
          <cell r="L829" t="str">
            <v>Zandro Sollera De Olino</v>
          </cell>
          <cell r="M829" t="str">
            <v>02-2006452-5</v>
          </cell>
          <cell r="N829" t="str">
            <v>232-877-685</v>
          </cell>
          <cell r="O829">
            <v>10</v>
          </cell>
          <cell r="P829">
            <v>356</v>
          </cell>
          <cell r="Q829">
            <v>37</v>
          </cell>
          <cell r="R829">
            <v>8</v>
          </cell>
          <cell r="S829">
            <v>0</v>
          </cell>
          <cell r="T829" t="str">
            <v>Zandro S. De Olino
Lot 6, Blk 2b Amara Villas Pasong Kawayan II
Gen. Trias Cavite
0938-592-8046</v>
          </cell>
          <cell r="U829" t="str">
            <v>2023-07-12</v>
          </cell>
        </row>
        <row r="830">
          <cell r="C830" t="str">
            <v>S167</v>
          </cell>
          <cell r="D830" t="str">
            <v>Sulit</v>
          </cell>
          <cell r="E830" t="str">
            <v>Vannesa Ann</v>
          </cell>
          <cell r="F830" t="str">
            <v>Pecoro</v>
          </cell>
          <cell r="G830" t="str">
            <v>Vane</v>
          </cell>
          <cell r="H830" t="str">
            <v>0961-438-7718</v>
          </cell>
          <cell r="I830" t="str">
            <v>1999-07-05</v>
          </cell>
          <cell r="J830">
            <v>2</v>
          </cell>
          <cell r="K830">
            <v>1</v>
          </cell>
          <cell r="M830" t="str">
            <v>04-4547053-8</v>
          </cell>
          <cell r="N830" t="str">
            <v>601-848-247</v>
          </cell>
          <cell r="O830">
            <v>97</v>
          </cell>
          <cell r="P830">
            <v>510</v>
          </cell>
          <cell r="Q830">
            <v>72</v>
          </cell>
          <cell r="R830">
            <v>13</v>
          </cell>
          <cell r="S830">
            <v>0</v>
          </cell>
          <cell r="T830" t="str">
            <v>Grace P. Sulit
Dagatan, Taysan, Batangas
0935-142-0569</v>
          </cell>
          <cell r="U830" t="str">
            <v>2023-07-18</v>
          </cell>
        </row>
        <row r="831">
          <cell r="C831" t="str">
            <v>S165</v>
          </cell>
          <cell r="D831" t="str">
            <v>Dominguez</v>
          </cell>
          <cell r="E831" t="str">
            <v>Camille</v>
          </cell>
          <cell r="F831" t="str">
            <v>Vargas</v>
          </cell>
          <cell r="G831" t="str">
            <v>Cayla</v>
          </cell>
          <cell r="H831" t="str">
            <v>0977-785-1139</v>
          </cell>
          <cell r="I831" t="str">
            <v>2000-05-01</v>
          </cell>
          <cell r="J831">
            <v>2</v>
          </cell>
          <cell r="K831">
            <v>1</v>
          </cell>
          <cell r="M831" t="str">
            <v>35-1695333-4</v>
          </cell>
          <cell r="N831" t="str">
            <v>616-014-561</v>
          </cell>
          <cell r="O831">
            <v>86</v>
          </cell>
          <cell r="P831">
            <v>466</v>
          </cell>
          <cell r="Q831">
            <v>33</v>
          </cell>
          <cell r="R831">
            <v>8</v>
          </cell>
          <cell r="S831">
            <v>0</v>
          </cell>
          <cell r="T831" t="str">
            <v>Liezel R. Vargas
2355 Sibulo #2 Subd, Landayan,
San Pedro, Laguna
0926-545-9784</v>
          </cell>
          <cell r="U831" t="str">
            <v>2023-07-18</v>
          </cell>
        </row>
        <row r="832">
          <cell r="C832" t="str">
            <v>S168</v>
          </cell>
          <cell r="D832" t="str">
            <v>Honra</v>
          </cell>
          <cell r="E832" t="str">
            <v>Mary Ann</v>
          </cell>
          <cell r="F832" t="str">
            <v>Hapita</v>
          </cell>
          <cell r="G832" t="str">
            <v>Meann</v>
          </cell>
          <cell r="H832" t="str">
            <v>0912-695-3829</v>
          </cell>
          <cell r="I832" t="str">
            <v>2000-07-13</v>
          </cell>
          <cell r="J832">
            <v>2</v>
          </cell>
          <cell r="K832">
            <v>1</v>
          </cell>
          <cell r="M832" t="str">
            <v>34-8451467-2</v>
          </cell>
          <cell r="N832" t="str">
            <v>622-584-493</v>
          </cell>
          <cell r="O832">
            <v>41</v>
          </cell>
          <cell r="P832">
            <v>474</v>
          </cell>
          <cell r="Q832">
            <v>49</v>
          </cell>
          <cell r="R832">
            <v>8</v>
          </cell>
          <cell r="S832">
            <v>0</v>
          </cell>
          <cell r="T832" t="str">
            <v>June Honra
Bgy. 1, Crossing,
Calamba City, Laguna
0970-134-8556</v>
          </cell>
          <cell r="U832" t="str">
            <v>2023-07-19</v>
          </cell>
        </row>
        <row r="833">
          <cell r="C833" t="str">
            <v>S169</v>
          </cell>
          <cell r="D833" t="str">
            <v>Bastian</v>
          </cell>
          <cell r="E833" t="str">
            <v>Nally</v>
          </cell>
          <cell r="F833" t="str">
            <v>Delos Santos</v>
          </cell>
          <cell r="G833" t="str">
            <v>Nal</v>
          </cell>
          <cell r="H833" t="str">
            <v>0917-690-9029</v>
          </cell>
          <cell r="I833" t="str">
            <v>1986-07-28</v>
          </cell>
          <cell r="J833">
            <v>1</v>
          </cell>
          <cell r="K833">
            <v>2</v>
          </cell>
          <cell r="L833" t="str">
            <v>Ferlita Roque Pelaro</v>
          </cell>
          <cell r="M833" t="str">
            <v>34-2102903-6</v>
          </cell>
          <cell r="N833" t="str">
            <v>445-943-381</v>
          </cell>
          <cell r="O833">
            <v>102</v>
          </cell>
          <cell r="P833">
            <v>406</v>
          </cell>
          <cell r="Q833">
            <v>51</v>
          </cell>
          <cell r="R833">
            <v>1</v>
          </cell>
          <cell r="S833">
            <v>0</v>
          </cell>
          <cell r="T833" t="str">
            <v>Let Bastian
Blk2 Lot16 Ph4 Celina Plains Subd,
Pook, Sta. Rosa, Laguna
0917-487-9433</v>
          </cell>
          <cell r="U833" t="str">
            <v>2023-07-24</v>
          </cell>
        </row>
        <row r="834">
          <cell r="C834" t="str">
            <v>S170</v>
          </cell>
          <cell r="D834" t="str">
            <v>Caisip</v>
          </cell>
          <cell r="E834" t="str">
            <v>Fernan</v>
          </cell>
          <cell r="F834" t="str">
            <v>MuÃ±oz</v>
          </cell>
          <cell r="G834" t="str">
            <v>Fernan</v>
          </cell>
          <cell r="H834" t="str">
            <v>0917-855-6948</v>
          </cell>
          <cell r="I834" t="str">
            <v>1980-03-07</v>
          </cell>
          <cell r="J834">
            <v>1</v>
          </cell>
          <cell r="K834">
            <v>2</v>
          </cell>
          <cell r="L834" t="str">
            <v>Lhea May Dela Cruz Sarmiento</v>
          </cell>
          <cell r="M834" t="str">
            <v>33-6758485-5</v>
          </cell>
          <cell r="N834" t="str">
            <v>301-172-041</v>
          </cell>
          <cell r="O834">
            <v>8</v>
          </cell>
          <cell r="P834">
            <v>433</v>
          </cell>
          <cell r="Q834">
            <v>19</v>
          </cell>
          <cell r="R834">
            <v>4</v>
          </cell>
          <cell r="S834">
            <v>0</v>
          </cell>
          <cell r="T834" t="str">
            <v>Lhea May S. Caisip
Blk25 Lot20 Vitto St, Gran Avila Subd,
Majada Out, Calamba City, Laguna
0917-801-7368</v>
          </cell>
          <cell r="U834" t="str">
            <v>2023-07-24</v>
          </cell>
        </row>
        <row r="835">
          <cell r="C835" t="str">
            <v>S171</v>
          </cell>
          <cell r="D835" t="str">
            <v>Villanueva</v>
          </cell>
          <cell r="E835" t="str">
            <v>Karl Daniel</v>
          </cell>
          <cell r="F835" t="str">
            <v>Vinluan</v>
          </cell>
          <cell r="G835" t="str">
            <v>Liam</v>
          </cell>
          <cell r="H835" t="str">
            <v>0935-480-3912</v>
          </cell>
          <cell r="I835" t="str">
            <v>2000-04-22</v>
          </cell>
          <cell r="J835">
            <v>1</v>
          </cell>
          <cell r="K835">
            <v>1</v>
          </cell>
          <cell r="M835" t="str">
            <v>04-4579045-4</v>
          </cell>
          <cell r="N835" t="str">
            <v>657-910-774</v>
          </cell>
          <cell r="O835">
            <v>86</v>
          </cell>
          <cell r="P835">
            <v>486</v>
          </cell>
          <cell r="Q835">
            <v>59</v>
          </cell>
          <cell r="R835">
            <v>11</v>
          </cell>
          <cell r="S835">
            <v>0</v>
          </cell>
          <cell r="T835" t="str">
            <v>NiÃ±a Jesusa V. Villanueva
402 San Roque, San Pedro, Laguna
0991-925-4123</v>
          </cell>
          <cell r="U835" t="str">
            <v>2023-07-24</v>
          </cell>
        </row>
        <row r="836">
          <cell r="C836" t="str">
            <v>S173</v>
          </cell>
          <cell r="D836" t="str">
            <v>Mahinay</v>
          </cell>
          <cell r="E836" t="str">
            <v>Hendrix</v>
          </cell>
          <cell r="F836" t="str">
            <v>Mangana</v>
          </cell>
          <cell r="G836" t="str">
            <v>Drix</v>
          </cell>
          <cell r="H836" t="str">
            <v>0977-773-9660</v>
          </cell>
          <cell r="I836" t="str">
            <v>1997-04-22</v>
          </cell>
          <cell r="J836">
            <v>1</v>
          </cell>
          <cell r="K836">
            <v>1</v>
          </cell>
          <cell r="M836" t="str">
            <v>04-3883726-9</v>
          </cell>
          <cell r="N836" t="str">
            <v>354-120-927</v>
          </cell>
          <cell r="O836">
            <v>55</v>
          </cell>
          <cell r="P836">
            <v>342</v>
          </cell>
          <cell r="Q836">
            <v>33</v>
          </cell>
          <cell r="R836">
            <v>8</v>
          </cell>
          <cell r="S836">
            <v>0</v>
          </cell>
          <cell r="T836" t="str">
            <v>Hergelen I. Barbin
Blk 12 Lot 19 Ireland St,
Villa La Prinza, Calamba City
0991-846-6428</v>
          </cell>
          <cell r="U836" t="str">
            <v>2023-08-02</v>
          </cell>
        </row>
        <row r="837">
          <cell r="C837" t="str">
            <v>S175</v>
          </cell>
          <cell r="D837" t="str">
            <v xml:space="preserve">Coracero </v>
          </cell>
          <cell r="E837" t="str">
            <v>Christal</v>
          </cell>
          <cell r="F837" t="str">
            <v>Bautista</v>
          </cell>
          <cell r="G837" t="str">
            <v>Thala</v>
          </cell>
          <cell r="H837" t="str">
            <v>0951-517-7503</v>
          </cell>
          <cell r="I837" t="str">
            <v>2001-09-03</v>
          </cell>
          <cell r="J837">
            <v>2</v>
          </cell>
          <cell r="K837">
            <v>1</v>
          </cell>
          <cell r="M837" t="str">
            <v>04-4591075-5</v>
          </cell>
          <cell r="O837">
            <v>52</v>
          </cell>
          <cell r="P837">
            <v>502</v>
          </cell>
          <cell r="Q837">
            <v>62</v>
          </cell>
          <cell r="R837">
            <v>12</v>
          </cell>
          <cell r="S837">
            <v>0</v>
          </cell>
          <cell r="T837" t="str">
            <v>Geraldine B. Coracero
Blk 5 Lot 4 Bgy. Pittland,
Cabuyao City, Laguna
0930-686-7406</v>
          </cell>
          <cell r="U837" t="str">
            <v>2023-08-09</v>
          </cell>
        </row>
        <row r="838">
          <cell r="C838" t="str">
            <v>S177</v>
          </cell>
          <cell r="D838" t="str">
            <v>Gonzales</v>
          </cell>
          <cell r="E838" t="str">
            <v>Mark Kimwell</v>
          </cell>
          <cell r="F838" t="str">
            <v>Magnaye</v>
          </cell>
          <cell r="G838" t="str">
            <v>Mark</v>
          </cell>
          <cell r="H838" t="str">
            <v>0966-685-9333</v>
          </cell>
          <cell r="I838" t="str">
            <v>2000-05-23</v>
          </cell>
          <cell r="J838">
            <v>1</v>
          </cell>
          <cell r="K838">
            <v>1</v>
          </cell>
          <cell r="M838" t="str">
            <v>04-4518769-8</v>
          </cell>
          <cell r="N838" t="str">
            <v>657-354-285</v>
          </cell>
          <cell r="O838">
            <v>86</v>
          </cell>
          <cell r="P838">
            <v>485</v>
          </cell>
          <cell r="Q838">
            <v>59</v>
          </cell>
          <cell r="R838">
            <v>11</v>
          </cell>
          <cell r="S838">
            <v>0</v>
          </cell>
          <cell r="T838" t="str">
            <v>Editha M. Gonzales
Manghinao Uno, Bauan, Batangas
0999-651-2637</v>
          </cell>
          <cell r="U838" t="str">
            <v>2023-08-09</v>
          </cell>
        </row>
        <row r="839">
          <cell r="C839" t="str">
            <v>S178</v>
          </cell>
          <cell r="D839" t="str">
            <v>LaraÃ±o</v>
          </cell>
          <cell r="E839" t="str">
            <v>Joe Mari</v>
          </cell>
          <cell r="F839" t="str">
            <v>Herradura</v>
          </cell>
          <cell r="G839" t="str">
            <v>Jom</v>
          </cell>
          <cell r="H839" t="str">
            <v>0969-147-0193</v>
          </cell>
          <cell r="I839" t="str">
            <v>1998-09-03</v>
          </cell>
          <cell r="J839">
            <v>1</v>
          </cell>
          <cell r="K839">
            <v>1</v>
          </cell>
          <cell r="M839" t="str">
            <v>35-1045629-3</v>
          </cell>
          <cell r="N839" t="str">
            <v>505-928-657</v>
          </cell>
          <cell r="O839">
            <v>86</v>
          </cell>
          <cell r="P839">
            <v>435</v>
          </cell>
          <cell r="Q839">
            <v>19</v>
          </cell>
          <cell r="R839">
            <v>4</v>
          </cell>
          <cell r="S839">
            <v>0</v>
          </cell>
          <cell r="T839" t="str">
            <v>Marilyn H. LaraÃ±o
25B ML Quezon St, Bgy. San Roque,
Victoria, Laguna
0925-459-4286</v>
          </cell>
          <cell r="U839" t="str">
            <v>2023-08-09</v>
          </cell>
        </row>
        <row r="840">
          <cell r="C840" t="str">
            <v>S179</v>
          </cell>
          <cell r="D840" t="str">
            <v>Panganiban</v>
          </cell>
          <cell r="E840" t="str">
            <v>Amor Shane</v>
          </cell>
          <cell r="F840" t="str">
            <v>Espiritu</v>
          </cell>
          <cell r="G840" t="str">
            <v>Amor</v>
          </cell>
          <cell r="H840" t="str">
            <v>0975-670-4676</v>
          </cell>
          <cell r="I840" t="str">
            <v>2001-01-08</v>
          </cell>
          <cell r="J840">
            <v>2</v>
          </cell>
          <cell r="K840">
            <v>1</v>
          </cell>
          <cell r="M840" t="str">
            <v>04-4580242-3</v>
          </cell>
          <cell r="N840" t="str">
            <v>658-650-327</v>
          </cell>
          <cell r="O840">
            <v>86</v>
          </cell>
          <cell r="P840">
            <v>485</v>
          </cell>
          <cell r="Q840">
            <v>59</v>
          </cell>
          <cell r="R840">
            <v>11</v>
          </cell>
          <cell r="S840">
            <v>0</v>
          </cell>
          <cell r="T840" t="str">
            <v>Marites E. Panganiban
Malalim, Batangas City, Batangas
0915-388-5188</v>
          </cell>
          <cell r="U840" t="str">
            <v>2023-08-09</v>
          </cell>
        </row>
        <row r="841">
          <cell r="C841" t="str">
            <v>S181</v>
          </cell>
          <cell r="D841" t="str">
            <v>Burato</v>
          </cell>
          <cell r="E841" t="str">
            <v>Maria Eira</v>
          </cell>
          <cell r="F841" t="str">
            <v>Tejadilla</v>
          </cell>
          <cell r="G841" t="str">
            <v>Eira</v>
          </cell>
          <cell r="H841" t="str">
            <v>0975-984-3158</v>
          </cell>
          <cell r="I841" t="str">
            <v>1999-09-14</v>
          </cell>
          <cell r="J841">
            <v>2</v>
          </cell>
          <cell r="K841">
            <v>1</v>
          </cell>
          <cell r="M841" t="str">
            <v>04-4067647-6</v>
          </cell>
          <cell r="N841" t="str">
            <v>346-647-632</v>
          </cell>
          <cell r="O841">
            <v>58</v>
          </cell>
          <cell r="P841">
            <v>9</v>
          </cell>
          <cell r="Q841">
            <v>4</v>
          </cell>
          <cell r="R841">
            <v>1</v>
          </cell>
          <cell r="S841">
            <v>0</v>
          </cell>
          <cell r="T841" t="str">
            <v>Jhon Villy Basa
Blk 152 Lot 30 Ph 2 Mahogany,
Cabuyao, Laguna
0936-127-4686</v>
          </cell>
          <cell r="U841" t="str">
            <v>2023-09-13</v>
          </cell>
        </row>
        <row r="842">
          <cell r="C842" t="str">
            <v>S182</v>
          </cell>
          <cell r="D842" t="str">
            <v>Bates</v>
          </cell>
          <cell r="E842" t="str">
            <v>Rose Jewel</v>
          </cell>
          <cell r="F842" t="str">
            <v>Del Valle</v>
          </cell>
          <cell r="G842" t="str">
            <v>RJ</v>
          </cell>
          <cell r="H842" t="str">
            <v>0947-767-6340</v>
          </cell>
          <cell r="I842" t="str">
            <v>2000-08-20</v>
          </cell>
          <cell r="J842">
            <v>2</v>
          </cell>
          <cell r="K842">
            <v>1</v>
          </cell>
          <cell r="M842" t="str">
            <v>04-4345282-0</v>
          </cell>
          <cell r="N842" t="str">
            <v>619-639-126</v>
          </cell>
          <cell r="O842">
            <v>97</v>
          </cell>
          <cell r="P842">
            <v>489</v>
          </cell>
          <cell r="Q842">
            <v>58</v>
          </cell>
          <cell r="R842">
            <v>11</v>
          </cell>
          <cell r="S842">
            <v>0</v>
          </cell>
          <cell r="T842" t="str">
            <v>Cristina D. Bates
Blk 2 Lot 13 P2B Mahogany Villas,
Looc, Calamba City, Laguna
0939-356-7415</v>
          </cell>
          <cell r="U842" t="str">
            <v>2023-09-20</v>
          </cell>
        </row>
        <row r="843">
          <cell r="C843" t="str">
            <v>S183</v>
          </cell>
          <cell r="D843" t="str">
            <v>Sale</v>
          </cell>
          <cell r="E843" t="str">
            <v>Leovin</v>
          </cell>
          <cell r="F843" t="str">
            <v>Nierra</v>
          </cell>
          <cell r="G843" t="str">
            <v>Vin</v>
          </cell>
          <cell r="H843" t="str">
            <v>0926-001-6777</v>
          </cell>
          <cell r="I843" t="str">
            <v>1998-08-16</v>
          </cell>
          <cell r="J843">
            <v>1</v>
          </cell>
          <cell r="K843">
            <v>1</v>
          </cell>
          <cell r="M843" t="str">
            <v>06-4417810-7</v>
          </cell>
          <cell r="N843">
            <v>0</v>
          </cell>
          <cell r="O843">
            <v>86</v>
          </cell>
          <cell r="P843">
            <v>499</v>
          </cell>
          <cell r="Q843">
            <v>66</v>
          </cell>
          <cell r="R843">
            <v>12</v>
          </cell>
          <cell r="S843">
            <v>0</v>
          </cell>
          <cell r="T843" t="str">
            <v>Leonardo A. Sale
Pili, Almeria, Biliran
0920-422-8548</v>
          </cell>
          <cell r="U843" t="str">
            <v>2023-09-21</v>
          </cell>
        </row>
        <row r="844">
          <cell r="C844" t="str">
            <v>S185</v>
          </cell>
          <cell r="D844" t="str">
            <v>Aberde</v>
          </cell>
          <cell r="E844" t="str">
            <v>Nona Mae</v>
          </cell>
          <cell r="F844" t="str">
            <v>Cerbo</v>
          </cell>
          <cell r="G844" t="str">
            <v>Namae</v>
          </cell>
          <cell r="H844" t="str">
            <v>0906-072-8729</v>
          </cell>
          <cell r="I844" t="str">
            <v>2000-08-31</v>
          </cell>
          <cell r="J844">
            <v>2</v>
          </cell>
          <cell r="K844">
            <v>1</v>
          </cell>
          <cell r="M844" t="str">
            <v>04-4573380-6</v>
          </cell>
          <cell r="N844" t="str">
            <v>655-646-211</v>
          </cell>
          <cell r="O844">
            <v>58</v>
          </cell>
          <cell r="P844">
            <v>7</v>
          </cell>
          <cell r="Q844">
            <v>4</v>
          </cell>
          <cell r="R844">
            <v>1</v>
          </cell>
          <cell r="S844">
            <v>0</v>
          </cell>
          <cell r="T844" t="str">
            <v>Nouf Shean Aberde
260 San Lorenzo Ruiz St, Mayapa,
Calamba City, Laguna
0930-463-9830</v>
          </cell>
          <cell r="U844" t="str">
            <v>2023-10-24</v>
          </cell>
        </row>
        <row r="845">
          <cell r="C845" t="str">
            <v>S187</v>
          </cell>
          <cell r="D845" t="str">
            <v>Salvador</v>
          </cell>
          <cell r="E845" t="str">
            <v>Rian Nicole</v>
          </cell>
          <cell r="F845" t="str">
            <v>Pagsisihan</v>
          </cell>
          <cell r="G845" t="str">
            <v>Rian</v>
          </cell>
          <cell r="H845" t="str">
            <v>0905-341-4397</v>
          </cell>
          <cell r="I845" t="str">
            <v>2001-09-10</v>
          </cell>
          <cell r="J845">
            <v>2</v>
          </cell>
          <cell r="K845">
            <v>1</v>
          </cell>
          <cell r="M845" t="str">
            <v>04-4634504-4</v>
          </cell>
          <cell r="N845" t="str">
            <v>--</v>
          </cell>
          <cell r="O845">
            <v>96</v>
          </cell>
          <cell r="P845">
            <v>490</v>
          </cell>
          <cell r="Q845">
            <v>56</v>
          </cell>
          <cell r="R845">
            <v>11</v>
          </cell>
          <cell r="S845">
            <v>0</v>
          </cell>
          <cell r="T845" t="str">
            <v>Randy A. Salvador
Blk 29 Lot 3 Ph2 Santol St, Mercedes Homes,
San Miguel, Sto. Tomas, Batangas
0956-256-4401</v>
          </cell>
          <cell r="U845" t="str">
            <v>2023-11-06</v>
          </cell>
        </row>
        <row r="846">
          <cell r="C846" t="str">
            <v>S188</v>
          </cell>
          <cell r="D846" t="str">
            <v>Dequito</v>
          </cell>
          <cell r="E846" t="str">
            <v>Aira Nissa</v>
          </cell>
          <cell r="F846" t="str">
            <v>Lalusin</v>
          </cell>
          <cell r="G846" t="str">
            <v>Nissa</v>
          </cell>
          <cell r="H846" t="str">
            <v>0969-633-0731</v>
          </cell>
          <cell r="I846" t="str">
            <v>2001-07-18</v>
          </cell>
          <cell r="J846">
            <v>2</v>
          </cell>
          <cell r="K846">
            <v>1</v>
          </cell>
          <cell r="M846" t="str">
            <v>04-4644607-9</v>
          </cell>
          <cell r="N846" t="str">
            <v>--</v>
          </cell>
          <cell r="O846">
            <v>96</v>
          </cell>
          <cell r="P846">
            <v>501</v>
          </cell>
          <cell r="Q846">
            <v>63</v>
          </cell>
          <cell r="R846">
            <v>12</v>
          </cell>
          <cell r="S846">
            <v>0</v>
          </cell>
          <cell r="T846" t="str">
            <v>Leonisa L. Dequito
L10 Blk4 Ph4B Via Potenza St, Litta Grande,
Bgy. Isabang, Lucena City
0917-133-3053</v>
          </cell>
          <cell r="U846" t="str">
            <v>2023-11-13</v>
          </cell>
        </row>
        <row r="847">
          <cell r="C847" t="str">
            <v>S189</v>
          </cell>
          <cell r="D847" t="str">
            <v>Magbago</v>
          </cell>
          <cell r="E847" t="str">
            <v>Kenneth</v>
          </cell>
          <cell r="F847" t="str">
            <v>Gamez</v>
          </cell>
          <cell r="G847" t="str">
            <v>Ken</v>
          </cell>
          <cell r="H847" t="str">
            <v>0916-976-5148</v>
          </cell>
          <cell r="I847" t="str">
            <v>1998-03-15</v>
          </cell>
          <cell r="J847">
            <v>1</v>
          </cell>
          <cell r="K847">
            <v>1</v>
          </cell>
          <cell r="M847" t="str">
            <v>04-3922799-1</v>
          </cell>
          <cell r="N847" t="str">
            <v>621-654-549</v>
          </cell>
          <cell r="O847">
            <v>52</v>
          </cell>
          <cell r="P847">
            <v>472</v>
          </cell>
          <cell r="Q847">
            <v>34</v>
          </cell>
          <cell r="R847">
            <v>8</v>
          </cell>
          <cell r="S847">
            <v>0</v>
          </cell>
          <cell r="T847" t="str">
            <v>Katherene Magbago
Landayan, San Pedro, Laguna
0955-472-4425</v>
          </cell>
          <cell r="U847" t="str">
            <v>2023-11-13</v>
          </cell>
        </row>
        <row r="848">
          <cell r="C848" t="str">
            <v>S190</v>
          </cell>
          <cell r="D848" t="str">
            <v>Cadiz</v>
          </cell>
          <cell r="E848" t="str">
            <v>Jerome Eljay</v>
          </cell>
          <cell r="F848" t="str">
            <v>De Luna</v>
          </cell>
          <cell r="G848" t="str">
            <v>Jerome</v>
          </cell>
          <cell r="H848" t="str">
            <v>0999-691-0182</v>
          </cell>
          <cell r="I848" t="str">
            <v>1995-11-26</v>
          </cell>
          <cell r="J848">
            <v>1</v>
          </cell>
          <cell r="K848">
            <v>1</v>
          </cell>
          <cell r="M848" t="str">
            <v>04-4142854-2</v>
          </cell>
          <cell r="N848" t="str">
            <v>357-714-345</v>
          </cell>
          <cell r="O848">
            <v>86</v>
          </cell>
          <cell r="P848">
            <v>403</v>
          </cell>
          <cell r="Q848">
            <v>51</v>
          </cell>
          <cell r="R848">
            <v>1</v>
          </cell>
          <cell r="S848">
            <v>0</v>
          </cell>
          <cell r="T848" t="str">
            <v>Lucila D. Cadiz
Bgy. Lutucan Malabag, Sariaya, Quezon
0956-429-5660</v>
          </cell>
          <cell r="U848" t="str">
            <v>2023-11-14</v>
          </cell>
        </row>
        <row r="849">
          <cell r="C849" t="str">
            <v>T001</v>
          </cell>
          <cell r="D849" t="str">
            <v>Micosa</v>
          </cell>
          <cell r="E849" t="str">
            <v>Gessa</v>
          </cell>
          <cell r="F849" t="str">
            <v>Maitim</v>
          </cell>
          <cell r="G849" t="str">
            <v>Ges</v>
          </cell>
          <cell r="H849" t="str">
            <v>0936-447-9019</v>
          </cell>
          <cell r="I849" t="str">
            <v>1997-09-16</v>
          </cell>
          <cell r="J849">
            <v>2</v>
          </cell>
          <cell r="K849">
            <v>1</v>
          </cell>
          <cell r="M849" t="str">
            <v>04-3678972-0</v>
          </cell>
          <cell r="N849" t="str">
            <v>324-672-236</v>
          </cell>
          <cell r="O849">
            <v>87</v>
          </cell>
          <cell r="P849">
            <v>401</v>
          </cell>
          <cell r="Q849">
            <v>51</v>
          </cell>
          <cell r="R849">
            <v>1</v>
          </cell>
          <cell r="S849">
            <v>0</v>
          </cell>
          <cell r="T849" t="str">
            <v>Guillermo P. Micosa
023 Purok 1, Laguerta,
Calamba City, Laguna
0933-456-8195</v>
          </cell>
          <cell r="U849" t="str">
            <v>2024-01-03</v>
          </cell>
        </row>
        <row r="850">
          <cell r="C850" t="str">
            <v>T002</v>
          </cell>
          <cell r="D850" t="str">
            <v>Tayag</v>
          </cell>
          <cell r="E850" t="str">
            <v>Mannix Daryl</v>
          </cell>
          <cell r="F850" t="str">
            <v>Dungan</v>
          </cell>
          <cell r="G850" t="str">
            <v>Mannix</v>
          </cell>
          <cell r="H850" t="str">
            <v>0920-347-7414</v>
          </cell>
          <cell r="I850" t="str">
            <v>1994-01-14</v>
          </cell>
          <cell r="J850">
            <v>1</v>
          </cell>
          <cell r="K850">
            <v>1</v>
          </cell>
          <cell r="M850" t="str">
            <v>01-2831686-7</v>
          </cell>
          <cell r="N850" t="str">
            <v>350-174-877</v>
          </cell>
          <cell r="O850">
            <v>80</v>
          </cell>
          <cell r="P850">
            <v>403</v>
          </cell>
          <cell r="Q850">
            <v>51</v>
          </cell>
          <cell r="R850">
            <v>1</v>
          </cell>
          <cell r="S850">
            <v>0</v>
          </cell>
          <cell r="T850" t="str">
            <v>Eden Dacumos
JB Village II, Balibago,
Sta. Rosa City, Laguna
0977-426-6380</v>
          </cell>
          <cell r="U850" t="str">
            <v>2024-01-11</v>
          </cell>
        </row>
        <row r="851">
          <cell r="C851" t="str">
            <v>T003</v>
          </cell>
          <cell r="D851" t="str">
            <v>Batusin</v>
          </cell>
          <cell r="E851" t="str">
            <v>Bermar</v>
          </cell>
          <cell r="F851" t="str">
            <v>Quizol</v>
          </cell>
          <cell r="G851" t="str">
            <v>Mar</v>
          </cell>
          <cell r="H851" t="str">
            <v>0930-321-6034</v>
          </cell>
          <cell r="I851" t="str">
            <v>1993-01-30</v>
          </cell>
          <cell r="J851">
            <v>1</v>
          </cell>
          <cell r="K851">
            <v>1</v>
          </cell>
          <cell r="M851" t="str">
            <v>34-3620399-9</v>
          </cell>
          <cell r="N851" t="str">
            <v>327-213-062</v>
          </cell>
          <cell r="O851">
            <v>41</v>
          </cell>
          <cell r="P851">
            <v>474</v>
          </cell>
          <cell r="Q851">
            <v>49</v>
          </cell>
          <cell r="R851">
            <v>8</v>
          </cell>
          <cell r="S851">
            <v>0</v>
          </cell>
          <cell r="T851" t="str">
            <v>Marilyn Q. Batusin
Sitio Matalao, Mendez,
Mogpog, Marinduque
0963-325-4054</v>
          </cell>
          <cell r="U851" t="str">
            <v>2024-01-20</v>
          </cell>
        </row>
        <row r="852">
          <cell r="C852" t="str">
            <v>T004</v>
          </cell>
          <cell r="D852" t="str">
            <v>Dela Cruz</v>
          </cell>
          <cell r="E852" t="str">
            <v>Julius Brian</v>
          </cell>
          <cell r="F852" t="str">
            <v>Alcantara</v>
          </cell>
          <cell r="G852" t="str">
            <v>JB</v>
          </cell>
          <cell r="H852" t="str">
            <v>0960-429-9512</v>
          </cell>
          <cell r="I852" t="str">
            <v>1986-03-08</v>
          </cell>
          <cell r="J852">
            <v>1</v>
          </cell>
          <cell r="K852">
            <v>2</v>
          </cell>
          <cell r="L852" t="str">
            <v>Roda Constantino Mariano</v>
          </cell>
          <cell r="M852" t="str">
            <v>33-9719505-2</v>
          </cell>
          <cell r="N852" t="str">
            <v>246-235-402</v>
          </cell>
          <cell r="O852">
            <v>86</v>
          </cell>
          <cell r="P852">
            <v>466</v>
          </cell>
          <cell r="Q852">
            <v>33</v>
          </cell>
          <cell r="R852">
            <v>8</v>
          </cell>
          <cell r="S852">
            <v>0</v>
          </cell>
          <cell r="T852" t="str">
            <v>Roda M. Dela Cruz
Ph1 Sec10 Blk4 Lot10 Blue Isle Subd,
Sta. Maria, Sto. Tomas, Batangas
0920-909-0938</v>
          </cell>
          <cell r="U852" t="str">
            <v>2024-02-01</v>
          </cell>
        </row>
        <row r="853">
          <cell r="C853" t="str">
            <v>T005</v>
          </cell>
          <cell r="D853" t="str">
            <v>Yago</v>
          </cell>
          <cell r="E853" t="str">
            <v>Rejoice</v>
          </cell>
          <cell r="F853" t="str">
            <v>Magbanua</v>
          </cell>
          <cell r="G853" t="str">
            <v>Joyce</v>
          </cell>
          <cell r="H853" t="str">
            <v>0907-226-9878</v>
          </cell>
          <cell r="I853" t="str">
            <v>2000-09-07</v>
          </cell>
          <cell r="J853">
            <v>2</v>
          </cell>
          <cell r="K853">
            <v>1</v>
          </cell>
          <cell r="M853" t="str">
            <v>34-9522645-4</v>
          </cell>
          <cell r="N853" t="str">
            <v>390-656-744</v>
          </cell>
          <cell r="O853">
            <v>32</v>
          </cell>
          <cell r="P853">
            <v>356</v>
          </cell>
          <cell r="Q853">
            <v>37</v>
          </cell>
          <cell r="R853">
            <v>8</v>
          </cell>
          <cell r="S853">
            <v>0</v>
          </cell>
          <cell r="T853" t="str">
            <v>Lovine May Balason
Lot 8 Blk 3 Florida St, Landmark Subd,
Parian, Calamba City, Laguna
0967-340-0736</v>
          </cell>
          <cell r="U853" t="str">
            <v>2024-02-06</v>
          </cell>
        </row>
        <row r="854">
          <cell r="C854" t="str">
            <v>T006</v>
          </cell>
          <cell r="D854" t="str">
            <v>Atinon</v>
          </cell>
          <cell r="E854" t="str">
            <v>Ireesh</v>
          </cell>
          <cell r="F854" t="str">
            <v>Mesina</v>
          </cell>
          <cell r="G854" t="str">
            <v>Resh</v>
          </cell>
          <cell r="H854" t="str">
            <v>0976-142-4352</v>
          </cell>
          <cell r="I854" t="str">
            <v>1994-03-05</v>
          </cell>
          <cell r="J854">
            <v>1</v>
          </cell>
          <cell r="K854">
            <v>1</v>
          </cell>
          <cell r="M854" t="str">
            <v>04-3674816-9</v>
          </cell>
          <cell r="N854" t="str">
            <v>478-614-585</v>
          </cell>
          <cell r="O854">
            <v>52</v>
          </cell>
          <cell r="P854">
            <v>453</v>
          </cell>
          <cell r="Q854">
            <v>20</v>
          </cell>
          <cell r="R854">
            <v>4</v>
          </cell>
          <cell r="S854">
            <v>0</v>
          </cell>
          <cell r="T854" t="str">
            <v>Irene M. Atinon
#0616 Purok 2 Bgy. Turbina,
Calamba City, Laguna
0936-721-4744</v>
          </cell>
          <cell r="U854" t="str">
            <v>2024-02-19</v>
          </cell>
        </row>
        <row r="855">
          <cell r="C855" t="str">
            <v>T007</v>
          </cell>
          <cell r="D855" t="str">
            <v>Cuevas</v>
          </cell>
          <cell r="E855" t="str">
            <v>Marc Carl Jhun</v>
          </cell>
          <cell r="F855" t="str">
            <v>Unida</v>
          </cell>
          <cell r="G855" t="str">
            <v>Marc</v>
          </cell>
          <cell r="H855" t="str">
            <v>0956-699-9261</v>
          </cell>
          <cell r="I855" t="str">
            <v>2001-03-18</v>
          </cell>
          <cell r="J855">
            <v>1</v>
          </cell>
          <cell r="K855">
            <v>1</v>
          </cell>
          <cell r="M855" t="str">
            <v>35-2742017-3</v>
          </cell>
          <cell r="N855" t="str">
            <v>657-934-459</v>
          </cell>
          <cell r="O855">
            <v>86</v>
          </cell>
          <cell r="P855">
            <v>435</v>
          </cell>
          <cell r="Q855">
            <v>19</v>
          </cell>
          <cell r="R855">
            <v>4</v>
          </cell>
          <cell r="S855">
            <v>0</v>
          </cell>
          <cell r="T855" t="str">
            <v>Sharon U. Cuevas
334 Morga St, Bgy. 46,
Tondo, Manila
0916-545-2590</v>
          </cell>
          <cell r="U855" t="str">
            <v>2024-02-19</v>
          </cell>
        </row>
        <row r="856">
          <cell r="C856" t="str">
            <v>T008</v>
          </cell>
          <cell r="D856" t="str">
            <v>Cac</v>
          </cell>
          <cell r="E856" t="str">
            <v>Leonard</v>
          </cell>
          <cell r="F856" t="str">
            <v>Valiente</v>
          </cell>
          <cell r="G856" t="str">
            <v>Onad</v>
          </cell>
          <cell r="H856" t="str">
            <v>0939-773-9203</v>
          </cell>
          <cell r="I856" t="str">
            <v>1996-09-26</v>
          </cell>
          <cell r="J856">
            <v>1</v>
          </cell>
          <cell r="K856">
            <v>2</v>
          </cell>
          <cell r="L856" t="str">
            <v>Em Rose Vergara Abiad</v>
          </cell>
          <cell r="M856" t="str">
            <v>04-3641057-8</v>
          </cell>
          <cell r="N856" t="str">
            <v>374-886-822</v>
          </cell>
          <cell r="O856">
            <v>43</v>
          </cell>
          <cell r="P856">
            <v>502</v>
          </cell>
          <cell r="Q856">
            <v>62</v>
          </cell>
          <cell r="R856">
            <v>12</v>
          </cell>
          <cell r="S856">
            <v>0</v>
          </cell>
          <cell r="T856" t="str">
            <v>Em Rose A. Cac
0073 Purok 1, Butong,
Cabuyao City, Laguna
0939-134-5213</v>
          </cell>
          <cell r="U856" t="str">
            <v>2024-02-26</v>
          </cell>
        </row>
        <row r="857">
          <cell r="C857" t="str">
            <v>T009</v>
          </cell>
          <cell r="D857" t="str">
            <v>Cernero</v>
          </cell>
          <cell r="E857" t="str">
            <v>Aldwin</v>
          </cell>
          <cell r="F857" t="str">
            <v>Antazo</v>
          </cell>
          <cell r="G857" t="str">
            <v>Dwinn</v>
          </cell>
          <cell r="H857" t="str">
            <v>0956-883-1398</v>
          </cell>
          <cell r="I857" t="str">
            <v>2000-08-06</v>
          </cell>
          <cell r="J857">
            <v>1</v>
          </cell>
          <cell r="K857">
            <v>1</v>
          </cell>
          <cell r="M857" t="str">
            <v>34-8519791-7</v>
          </cell>
          <cell r="N857" t="str">
            <v>365-079-764</v>
          </cell>
          <cell r="O857">
            <v>43</v>
          </cell>
          <cell r="P857">
            <v>499</v>
          </cell>
          <cell r="Q857">
            <v>66</v>
          </cell>
          <cell r="R857">
            <v>12</v>
          </cell>
          <cell r="S857">
            <v>0</v>
          </cell>
          <cell r="T857" t="str">
            <v>Vincent Doblada
Bigaa, Cabuyao, Laguna
0927-702-3967</v>
          </cell>
          <cell r="U857" t="str">
            <v>2024-03-01</v>
          </cell>
        </row>
        <row r="858">
          <cell r="C858" t="str">
            <v>T011</v>
          </cell>
          <cell r="D858" t="str">
            <v>Sanorjo</v>
          </cell>
          <cell r="E858" t="str">
            <v>Harvey</v>
          </cell>
          <cell r="F858" t="str">
            <v>Diaz</v>
          </cell>
          <cell r="G858" t="str">
            <v>Vey</v>
          </cell>
          <cell r="H858" t="str">
            <v>0994-728-0411</v>
          </cell>
          <cell r="I858" t="str">
            <v>2001-02-06</v>
          </cell>
          <cell r="J858">
            <v>1</v>
          </cell>
          <cell r="K858">
            <v>1</v>
          </cell>
          <cell r="M858" t="str">
            <v>35-0968671-5</v>
          </cell>
          <cell r="N858" t="str">
            <v>504-332-242</v>
          </cell>
          <cell r="O858">
            <v>41</v>
          </cell>
          <cell r="P858">
            <v>461</v>
          </cell>
          <cell r="Q858">
            <v>48</v>
          </cell>
          <cell r="R858">
            <v>4</v>
          </cell>
          <cell r="S858">
            <v>0</v>
          </cell>
          <cell r="T858" t="str">
            <v>Lyca Diaz Sanorjo
Blk 62 Lot 45 47 Palao Paikit,
Canlubang, Laguna
0977-336-9529</v>
          </cell>
          <cell r="U858" t="str">
            <v>2024-03-01</v>
          </cell>
        </row>
        <row r="859">
          <cell r="C859" t="str">
            <v>T012</v>
          </cell>
          <cell r="D859" t="str">
            <v>Alcantara</v>
          </cell>
          <cell r="E859" t="str">
            <v>Jezelle</v>
          </cell>
          <cell r="F859" t="str">
            <v>De Vera</v>
          </cell>
          <cell r="G859" t="str">
            <v>Jez</v>
          </cell>
          <cell r="H859" t="str">
            <v>0997-163-9642</v>
          </cell>
          <cell r="I859" t="str">
            <v>1996-12-23</v>
          </cell>
          <cell r="J859">
            <v>2</v>
          </cell>
          <cell r="K859">
            <v>1</v>
          </cell>
          <cell r="M859" t="str">
            <v>04-3940318-4</v>
          </cell>
          <cell r="N859" t="str">
            <v>344-098-424</v>
          </cell>
          <cell r="O859">
            <v>97</v>
          </cell>
          <cell r="P859">
            <v>147</v>
          </cell>
          <cell r="Q859">
            <v>28</v>
          </cell>
          <cell r="R859">
            <v>6</v>
          </cell>
          <cell r="S859">
            <v>0</v>
          </cell>
          <cell r="T859" t="str">
            <v>Marissa D. Alcantara
Purok 4 Banlic, 
Cabuyao, Laguna
0910-088-3242</v>
          </cell>
          <cell r="U859" t="str">
            <v>2024-03-13</v>
          </cell>
        </row>
        <row r="860">
          <cell r="C860" t="str">
            <v>T014</v>
          </cell>
          <cell r="D860" t="str">
            <v>Melchor</v>
          </cell>
          <cell r="E860" t="str">
            <v>Fely Rose</v>
          </cell>
          <cell r="F860" t="str">
            <v>Amballoc</v>
          </cell>
          <cell r="G860" t="str">
            <v>Fely</v>
          </cell>
          <cell r="H860" t="str">
            <v>0969-105-1952</v>
          </cell>
          <cell r="I860" t="str">
            <v>1996-07-04</v>
          </cell>
          <cell r="J860">
            <v>2</v>
          </cell>
          <cell r="K860">
            <v>1</v>
          </cell>
          <cell r="M860" t="str">
            <v>04-4164216-6</v>
          </cell>
          <cell r="N860" t="str">
            <v>356-475-769</v>
          </cell>
          <cell r="O860">
            <v>52</v>
          </cell>
          <cell r="P860">
            <v>492</v>
          </cell>
          <cell r="Q860">
            <v>55</v>
          </cell>
          <cell r="R860">
            <v>11</v>
          </cell>
          <cell r="S860">
            <v>0</v>
          </cell>
          <cell r="T860" t="str">
            <v>Madeline A. Melchor
Blk31 Lot7 Leyte St, MCDC,
Canlubang, Calamba City, Laguna
0926-722-2598</v>
          </cell>
          <cell r="U860" t="str">
            <v>2024-03-13</v>
          </cell>
        </row>
        <row r="861">
          <cell r="C861" t="str">
            <v>T015</v>
          </cell>
          <cell r="D861" t="str">
            <v>Nolasco</v>
          </cell>
          <cell r="E861" t="str">
            <v>Ronel</v>
          </cell>
          <cell r="F861" t="str">
            <v>Lamusao</v>
          </cell>
          <cell r="G861" t="str">
            <v>Nel</v>
          </cell>
          <cell r="H861" t="str">
            <v>0965-762-7679</v>
          </cell>
          <cell r="I861" t="str">
            <v>1994-03-30</v>
          </cell>
          <cell r="J861">
            <v>1</v>
          </cell>
          <cell r="K861">
            <v>1</v>
          </cell>
          <cell r="M861" t="str">
            <v>04-2895517-7</v>
          </cell>
          <cell r="N861">
            <v>0</v>
          </cell>
          <cell r="O861">
            <v>52</v>
          </cell>
          <cell r="P861">
            <v>492</v>
          </cell>
          <cell r="Q861">
            <v>55</v>
          </cell>
          <cell r="R861">
            <v>11</v>
          </cell>
          <cell r="S861">
            <v>0</v>
          </cell>
          <cell r="T861" t="str">
            <v>Analyn J. Andal
Blk5 Lot85 Don Jose,
Banlic, Cabuyao, Laguna
0965-762-7548</v>
          </cell>
          <cell r="U861" t="str">
            <v>2024-03-13</v>
          </cell>
        </row>
        <row r="862">
          <cell r="C862" t="str">
            <v>T016</v>
          </cell>
          <cell r="D862" t="str">
            <v>Bose</v>
          </cell>
          <cell r="E862" t="str">
            <v>Robert Jr.</v>
          </cell>
          <cell r="F862" t="str">
            <v>Gomez</v>
          </cell>
          <cell r="G862" t="str">
            <v>Bert</v>
          </cell>
          <cell r="H862" t="str">
            <v>0994-932-4702</v>
          </cell>
          <cell r="I862" t="str">
            <v>1997-01-28</v>
          </cell>
          <cell r="J862">
            <v>1</v>
          </cell>
          <cell r="K862">
            <v>1</v>
          </cell>
          <cell r="M862" t="str">
            <v>04-2915982-0</v>
          </cell>
          <cell r="N862" t="str">
            <v>626-165-467</v>
          </cell>
          <cell r="O862">
            <v>40</v>
          </cell>
          <cell r="P862">
            <v>489</v>
          </cell>
          <cell r="Q862">
            <v>58</v>
          </cell>
          <cell r="R862">
            <v>11</v>
          </cell>
          <cell r="S862">
            <v>0</v>
          </cell>
          <cell r="T862" t="str">
            <v>Edmark B. Soriano
Lot 10 Blk 2 Prince Village,
Banlic, Cabuyao, Laguna
0909-654-0284</v>
          </cell>
          <cell r="U862" t="str">
            <v>2024-03-20</v>
          </cell>
        </row>
        <row r="863">
          <cell r="C863" t="str">
            <v>T017</v>
          </cell>
          <cell r="D863" t="str">
            <v>Camas</v>
          </cell>
          <cell r="E863" t="str">
            <v>Trechelle</v>
          </cell>
          <cell r="F863" t="str">
            <v>Cantalejo</v>
          </cell>
          <cell r="G863" t="str">
            <v>Trech</v>
          </cell>
          <cell r="H863" t="str">
            <v>0956-133-9922</v>
          </cell>
          <cell r="I863" t="str">
            <v>1998-12-07</v>
          </cell>
          <cell r="J863">
            <v>2</v>
          </cell>
          <cell r="K863">
            <v>2</v>
          </cell>
          <cell r="L863" t="str">
            <v>Kim Laurence Delos Santos Camas</v>
          </cell>
          <cell r="M863" t="str">
            <v>34-7855830-1</v>
          </cell>
          <cell r="N863" t="str">
            <v>349-926-373</v>
          </cell>
          <cell r="O863">
            <v>40</v>
          </cell>
          <cell r="P863">
            <v>500</v>
          </cell>
          <cell r="Q863">
            <v>65</v>
          </cell>
          <cell r="R863">
            <v>12</v>
          </cell>
          <cell r="S863">
            <v>0</v>
          </cell>
          <cell r="T863" t="str">
            <v>John Carlo Santos
Blk 43 Lot 6 Asia 2 Ph2 Kapayapaan Ville,
Canlubang, Calamba City, Laguna
0966-774-2737</v>
          </cell>
          <cell r="U863" t="str">
            <v>2024-03-20</v>
          </cell>
        </row>
        <row r="864">
          <cell r="C864" t="str">
            <v>T018</v>
          </cell>
          <cell r="D864" t="str">
            <v>OraÃ±a</v>
          </cell>
          <cell r="E864" t="str">
            <v>Dave Mark</v>
          </cell>
          <cell r="F864" t="str">
            <v>Reyes</v>
          </cell>
          <cell r="G864" t="str">
            <v>Dave</v>
          </cell>
          <cell r="H864" t="str">
            <v>0975-406-6065</v>
          </cell>
          <cell r="I864" t="str">
            <v>1988-06-08</v>
          </cell>
          <cell r="J864">
            <v>1</v>
          </cell>
          <cell r="K864">
            <v>1</v>
          </cell>
          <cell r="M864" t="str">
            <v>04-2310216-1</v>
          </cell>
          <cell r="N864" t="str">
            <v>--</v>
          </cell>
          <cell r="O864">
            <v>40</v>
          </cell>
          <cell r="P864">
            <v>488</v>
          </cell>
          <cell r="Q864">
            <v>58</v>
          </cell>
          <cell r="R864">
            <v>11</v>
          </cell>
          <cell r="S864">
            <v>0</v>
          </cell>
          <cell r="T864" t="str">
            <v>Andrew M. OreÃ±a
Bgy. Paciano Rizal, Sitio Manggahan,
Calamba Ciy, Laguna
0906-072-4510</v>
          </cell>
          <cell r="U864" t="str">
            <v>2024-03-20</v>
          </cell>
        </row>
        <row r="865">
          <cell r="C865" t="str">
            <v>T019</v>
          </cell>
          <cell r="D865" t="str">
            <v>Rivera</v>
          </cell>
          <cell r="E865" t="str">
            <v>Cristine Aira</v>
          </cell>
          <cell r="F865" t="str">
            <v>Bonganay</v>
          </cell>
          <cell r="G865" t="str">
            <v>Aira</v>
          </cell>
          <cell r="H865" t="str">
            <v>0926-586-3831</v>
          </cell>
          <cell r="I865" t="str">
            <v>1996-05-23</v>
          </cell>
          <cell r="J865">
            <v>2</v>
          </cell>
          <cell r="K865">
            <v>1</v>
          </cell>
          <cell r="M865" t="str">
            <v>05-1465792-3</v>
          </cell>
          <cell r="N865" t="str">
            <v>358-094-853</v>
          </cell>
          <cell r="O865">
            <v>40</v>
          </cell>
          <cell r="P865">
            <v>349</v>
          </cell>
          <cell r="Q865">
            <v>35</v>
          </cell>
          <cell r="R865">
            <v>8</v>
          </cell>
          <cell r="S865">
            <v>0</v>
          </cell>
          <cell r="T865" t="str">
            <v>Crisanta B. Rivera
Zone-3 Matagbac, Tabaco City
0938-597-5690</v>
          </cell>
          <cell r="U865" t="str">
            <v>2024-03-20</v>
          </cell>
        </row>
        <row r="866">
          <cell r="C866" t="str">
            <v>T020</v>
          </cell>
          <cell r="D866" t="str">
            <v>Sajor</v>
          </cell>
          <cell r="E866" t="str">
            <v>Jumar</v>
          </cell>
          <cell r="F866" t="str">
            <v>Magalso</v>
          </cell>
          <cell r="G866" t="str">
            <v>Mar</v>
          </cell>
          <cell r="H866" t="str">
            <v>0991-914-8463</v>
          </cell>
          <cell r="I866" t="str">
            <v>1996-12-31</v>
          </cell>
          <cell r="J866">
            <v>1</v>
          </cell>
          <cell r="K866">
            <v>1</v>
          </cell>
          <cell r="M866" t="str">
            <v>04-3219751-0</v>
          </cell>
          <cell r="N866" t="str">
            <v>460-011-347</v>
          </cell>
          <cell r="O866">
            <v>40</v>
          </cell>
          <cell r="P866">
            <v>468</v>
          </cell>
          <cell r="Q866">
            <v>35</v>
          </cell>
          <cell r="R866">
            <v>8</v>
          </cell>
          <cell r="S866">
            <v>0</v>
          </cell>
          <cell r="T866" t="str">
            <v>Meliza R. Pereda
Blk26 Lot5 Southville 1,
Niugan, Cabuyao, Laguna
0991-914-8463</v>
          </cell>
          <cell r="U866" t="str">
            <v>2024-03-20</v>
          </cell>
        </row>
        <row r="867">
          <cell r="C867" t="str">
            <v>T066</v>
          </cell>
          <cell r="D867" t="str">
            <v>Pastores</v>
          </cell>
          <cell r="E867" t="str">
            <v>Ericka Lou</v>
          </cell>
          <cell r="F867" t="str">
            <v>Anzaldo</v>
          </cell>
          <cell r="G867" t="str">
            <v>Ericka</v>
          </cell>
          <cell r="H867" t="str">
            <v>0935-357-0052</v>
          </cell>
          <cell r="I867" t="str">
            <v>2000-03-18</v>
          </cell>
          <cell r="J867">
            <v>2</v>
          </cell>
          <cell r="K867">
            <v>1</v>
          </cell>
          <cell r="M867" t="str">
            <v>04-4601030-8</v>
          </cell>
          <cell r="N867" t="str">
            <v>646-190-249</v>
          </cell>
          <cell r="O867">
            <v>45</v>
          </cell>
          <cell r="P867">
            <v>349</v>
          </cell>
          <cell r="Q867">
            <v>35</v>
          </cell>
          <cell r="R867">
            <v>8</v>
          </cell>
          <cell r="S867">
            <v>0</v>
          </cell>
          <cell r="T867" t="str">
            <v>Lourdes B. Pastores
Bucal, Calatagan, Batangas
0906-716-3784</v>
          </cell>
          <cell r="U867" t="str">
            <v>2024-04-01</v>
          </cell>
        </row>
        <row r="868">
          <cell r="C868" t="str">
            <v>T021</v>
          </cell>
          <cell r="D868" t="str">
            <v>Restar</v>
          </cell>
          <cell r="E868" t="str">
            <v>Fernando</v>
          </cell>
          <cell r="F868" t="str">
            <v>Gelilio</v>
          </cell>
          <cell r="G868" t="str">
            <v>Pando</v>
          </cell>
          <cell r="H868" t="str">
            <v>0969-438-8487</v>
          </cell>
          <cell r="I868" t="str">
            <v>2000-12-12</v>
          </cell>
          <cell r="J868">
            <v>1</v>
          </cell>
          <cell r="K868">
            <v>1</v>
          </cell>
          <cell r="M868" t="str">
            <v>34-9498160-6</v>
          </cell>
          <cell r="N868" t="str">
            <v>378-316-340</v>
          </cell>
          <cell r="O868">
            <v>43</v>
          </cell>
          <cell r="P868">
            <v>472</v>
          </cell>
          <cell r="Q868">
            <v>34</v>
          </cell>
          <cell r="R868">
            <v>8</v>
          </cell>
          <cell r="S868">
            <v>0</v>
          </cell>
          <cell r="T868" t="str">
            <v>Maeflor Restar
Phase 1 Lakeview, Halang,
Calamba City, Laguna
0907-306-0113</v>
          </cell>
          <cell r="U868" t="str">
            <v>2024-04-01</v>
          </cell>
        </row>
        <row r="869">
          <cell r="C869" t="str">
            <v>T022</v>
          </cell>
          <cell r="D869" t="str">
            <v>Morata</v>
          </cell>
          <cell r="E869" t="str">
            <v>Cecille</v>
          </cell>
          <cell r="F869" t="str">
            <v>Manungay</v>
          </cell>
          <cell r="G869" t="str">
            <v>Bana</v>
          </cell>
          <cell r="H869" t="str">
            <v>0907-974-5742</v>
          </cell>
          <cell r="I869" t="str">
            <v>1989-01-04</v>
          </cell>
          <cell r="J869">
            <v>2</v>
          </cell>
          <cell r="K869">
            <v>2</v>
          </cell>
          <cell r="L869" t="str">
            <v>Sherwin Obciana Morata</v>
          </cell>
          <cell r="M869" t="str">
            <v>04-2408624-4</v>
          </cell>
          <cell r="N869" t="str">
            <v>310-529-113</v>
          </cell>
          <cell r="O869">
            <v>43</v>
          </cell>
          <cell r="P869">
            <v>146</v>
          </cell>
          <cell r="Q869">
            <v>27</v>
          </cell>
          <cell r="R869">
            <v>6</v>
          </cell>
          <cell r="S869">
            <v>0</v>
          </cell>
          <cell r="T869" t="str">
            <v>Sherwin O. Morata
Blk3 Lot29 Ph1 Ext Mabuhay,
Mamatid, Cabuyao, Laguna
0930-481-9610</v>
          </cell>
          <cell r="U869" t="str">
            <v>2024-04-01</v>
          </cell>
        </row>
        <row r="870">
          <cell r="C870" t="str">
            <v>T023</v>
          </cell>
          <cell r="D870" t="str">
            <v>DueÃ±as</v>
          </cell>
          <cell r="E870" t="str">
            <v>Andrew Milo</v>
          </cell>
          <cell r="F870" t="str">
            <v>Abante</v>
          </cell>
          <cell r="G870" t="str">
            <v>Andrew</v>
          </cell>
          <cell r="H870" t="str">
            <v>0970-826-1451</v>
          </cell>
          <cell r="I870" t="str">
            <v>1999-03-11</v>
          </cell>
          <cell r="J870">
            <v>1</v>
          </cell>
          <cell r="K870">
            <v>1</v>
          </cell>
          <cell r="M870" t="str">
            <v>04-3872942-9</v>
          </cell>
          <cell r="N870" t="str">
            <v>336-137-072</v>
          </cell>
          <cell r="O870">
            <v>41</v>
          </cell>
          <cell r="P870">
            <v>508</v>
          </cell>
          <cell r="Q870">
            <v>71</v>
          </cell>
          <cell r="R870">
            <v>13</v>
          </cell>
          <cell r="S870">
            <v>0</v>
          </cell>
          <cell r="T870" t="str">
            <v>Bryna DueÃ±as
Blk24 Lot2 Ph1 San Isidro Hts,
San Isidro, Cabuyao, Laguna
0935-427-6088</v>
          </cell>
          <cell r="U870" t="str">
            <v>2024-04-01</v>
          </cell>
        </row>
        <row r="871">
          <cell r="C871" t="str">
            <v>T024</v>
          </cell>
          <cell r="D871" t="str">
            <v>Barawel Jr.</v>
          </cell>
          <cell r="E871" t="str">
            <v xml:space="preserve">Arnel </v>
          </cell>
          <cell r="F871" t="str">
            <v>Bueza</v>
          </cell>
          <cell r="G871" t="str">
            <v>Nhel</v>
          </cell>
          <cell r="H871" t="str">
            <v>0956-327-2124</v>
          </cell>
          <cell r="I871" t="str">
            <v>1992-04-15</v>
          </cell>
          <cell r="J871">
            <v>1</v>
          </cell>
          <cell r="K871">
            <v>1</v>
          </cell>
          <cell r="M871" t="str">
            <v>05-1274674-2</v>
          </cell>
          <cell r="N871" t="str">
            <v>332-954-745</v>
          </cell>
          <cell r="O871">
            <v>43</v>
          </cell>
          <cell r="P871">
            <v>505</v>
          </cell>
          <cell r="Q871">
            <v>69</v>
          </cell>
          <cell r="R871">
            <v>13</v>
          </cell>
          <cell r="S871">
            <v>0</v>
          </cell>
          <cell r="T871" t="str">
            <v>Jessica M. Agravante
156 Don Bosco St, Mayapa,
Calamba City, Laguna
0956-510-6831</v>
          </cell>
          <cell r="U871" t="str">
            <v>2024-04-01</v>
          </cell>
        </row>
        <row r="872">
          <cell r="C872" t="str">
            <v>T025</v>
          </cell>
          <cell r="D872" t="str">
            <v>Buenafe</v>
          </cell>
          <cell r="E872" t="str">
            <v>Jomari</v>
          </cell>
          <cell r="F872" t="str">
            <v>Sales</v>
          </cell>
          <cell r="G872" t="str">
            <v>Joms</v>
          </cell>
          <cell r="H872" t="str">
            <v>0992-496-8353</v>
          </cell>
          <cell r="I872" t="str">
            <v>2002-07-04</v>
          </cell>
          <cell r="J872">
            <v>1</v>
          </cell>
          <cell r="K872">
            <v>1</v>
          </cell>
          <cell r="M872" t="str">
            <v>35-1233697-1</v>
          </cell>
          <cell r="N872" t="str">
            <v>627-119-086</v>
          </cell>
          <cell r="O872">
            <v>43</v>
          </cell>
          <cell r="P872">
            <v>502</v>
          </cell>
          <cell r="Q872">
            <v>62</v>
          </cell>
          <cell r="R872">
            <v>12</v>
          </cell>
          <cell r="S872">
            <v>0</v>
          </cell>
          <cell r="T872" t="str">
            <v>Feligean Xhiamara Pepito
Southville 1, Marinig, Cabuyao, Laguna
0956-744-9619</v>
          </cell>
          <cell r="U872" t="str">
            <v>2024-04-01</v>
          </cell>
        </row>
        <row r="873">
          <cell r="C873" t="str">
            <v>T026</v>
          </cell>
          <cell r="D873" t="str">
            <v>Canata</v>
          </cell>
          <cell r="E873" t="str">
            <v>Joven</v>
          </cell>
          <cell r="F873" t="str">
            <v>Briones</v>
          </cell>
          <cell r="G873" t="str">
            <v>Joven</v>
          </cell>
          <cell r="H873" t="str">
            <v>0950-991-9948</v>
          </cell>
          <cell r="I873" t="str">
            <v>2000-05-26</v>
          </cell>
          <cell r="J873">
            <v>1</v>
          </cell>
          <cell r="K873">
            <v>1</v>
          </cell>
          <cell r="M873" t="str">
            <v>04-4218379-2</v>
          </cell>
          <cell r="N873" t="str">
            <v>358-487-109</v>
          </cell>
          <cell r="O873">
            <v>43</v>
          </cell>
          <cell r="P873">
            <v>502</v>
          </cell>
          <cell r="Q873">
            <v>62</v>
          </cell>
          <cell r="R873">
            <v>12</v>
          </cell>
          <cell r="S873">
            <v>0</v>
          </cell>
          <cell r="T873" t="str">
            <v>Roselyn A. Macaraeg
Blk23 Lot11 Ph1, San Isidro Hts,
San Isidro, Cabuyao, Laguna
0951-589-5106</v>
          </cell>
          <cell r="U873" t="str">
            <v>2024-04-01</v>
          </cell>
        </row>
        <row r="874">
          <cell r="C874" t="str">
            <v>T027</v>
          </cell>
          <cell r="D874" t="str">
            <v>Concepcion</v>
          </cell>
          <cell r="E874" t="str">
            <v>Jeric</v>
          </cell>
          <cell r="F874" t="str">
            <v>Atienza</v>
          </cell>
          <cell r="G874" t="str">
            <v>Jec-Jec</v>
          </cell>
          <cell r="H874" t="str">
            <v>0994-837-6889</v>
          </cell>
          <cell r="I874" t="str">
            <v>1992-07-15</v>
          </cell>
          <cell r="J874">
            <v>1</v>
          </cell>
          <cell r="K874">
            <v>1</v>
          </cell>
          <cell r="M874" t="str">
            <v>04-2653433-8</v>
          </cell>
          <cell r="N874" t="str">
            <v>333-909-433</v>
          </cell>
          <cell r="O874">
            <v>43</v>
          </cell>
          <cell r="P874">
            <v>504</v>
          </cell>
          <cell r="Q874">
            <v>69</v>
          </cell>
          <cell r="R874">
            <v>13</v>
          </cell>
          <cell r="S874">
            <v>0</v>
          </cell>
          <cell r="T874" t="str">
            <v>Janry Concepcion
Purok 5 Talegra St, Balibago,
Sta. Rosa City, Laguna
0970-825-8156</v>
          </cell>
          <cell r="U874" t="str">
            <v>2024-04-01</v>
          </cell>
        </row>
        <row r="875">
          <cell r="C875" t="str">
            <v>T028</v>
          </cell>
          <cell r="D875" t="str">
            <v>Cuya</v>
          </cell>
          <cell r="E875" t="str">
            <v>Ian</v>
          </cell>
          <cell r="F875" t="str">
            <v>Cleofe</v>
          </cell>
          <cell r="G875" t="str">
            <v>Yhanz</v>
          </cell>
          <cell r="H875" t="str">
            <v>0946-768-7325</v>
          </cell>
          <cell r="I875" t="str">
            <v>2001-12-10</v>
          </cell>
          <cell r="J875">
            <v>1</v>
          </cell>
          <cell r="K875">
            <v>1</v>
          </cell>
          <cell r="M875" t="str">
            <v>05-1618318-1</v>
          </cell>
          <cell r="N875" t="str">
            <v>--</v>
          </cell>
          <cell r="O875">
            <v>43</v>
          </cell>
          <cell r="P875">
            <v>499</v>
          </cell>
          <cell r="Q875">
            <v>66</v>
          </cell>
          <cell r="R875">
            <v>12</v>
          </cell>
          <cell r="S875">
            <v>0</v>
          </cell>
          <cell r="T875" t="str">
            <v>NiÃ±o Cending
P-2 CVL, Mayapa,
Calamba City, Laguna
0946-819-1051</v>
          </cell>
          <cell r="U875" t="str">
            <v>2024-04-01</v>
          </cell>
        </row>
        <row r="876">
          <cell r="C876" t="str">
            <v>T029</v>
          </cell>
          <cell r="D876" t="str">
            <v>Danseco</v>
          </cell>
          <cell r="E876" t="str">
            <v>Kevin</v>
          </cell>
          <cell r="F876" t="str">
            <v>Dadule</v>
          </cell>
          <cell r="G876" t="str">
            <v>Kevz</v>
          </cell>
          <cell r="H876" t="str">
            <v>0950-147-3892</v>
          </cell>
          <cell r="I876" t="str">
            <v>1999-03-15</v>
          </cell>
          <cell r="J876">
            <v>1</v>
          </cell>
          <cell r="K876">
            <v>1</v>
          </cell>
          <cell r="M876" t="str">
            <v>34-7813890-9</v>
          </cell>
          <cell r="N876" t="str">
            <v>752-673-581</v>
          </cell>
          <cell r="O876">
            <v>43</v>
          </cell>
          <cell r="P876">
            <v>453</v>
          </cell>
          <cell r="Q876">
            <v>20</v>
          </cell>
          <cell r="R876">
            <v>4</v>
          </cell>
          <cell r="S876">
            <v>0</v>
          </cell>
          <cell r="T876" t="str">
            <v>Ricardo I. Danseco
Bgy. Anahawan, Calauag, Quezon
0907-458-6006</v>
          </cell>
          <cell r="U876" t="str">
            <v>2024-04-01</v>
          </cell>
        </row>
        <row r="877">
          <cell r="C877" t="str">
            <v>T030</v>
          </cell>
          <cell r="D877" t="str">
            <v>Ebarita</v>
          </cell>
          <cell r="E877" t="str">
            <v>Cristela</v>
          </cell>
          <cell r="F877" t="str">
            <v>Sapa</v>
          </cell>
          <cell r="G877" t="str">
            <v>Cris</v>
          </cell>
          <cell r="H877" t="str">
            <v>0905-744-6009</v>
          </cell>
          <cell r="I877" t="str">
            <v>1992-06-29</v>
          </cell>
          <cell r="J877">
            <v>2</v>
          </cell>
          <cell r="K877">
            <v>1</v>
          </cell>
          <cell r="M877" t="str">
            <v>04-2478243-8</v>
          </cell>
          <cell r="N877" t="str">
            <v>318-404-876</v>
          </cell>
          <cell r="O877">
            <v>43</v>
          </cell>
          <cell r="P877">
            <v>504</v>
          </cell>
          <cell r="Q877">
            <v>69</v>
          </cell>
          <cell r="R877">
            <v>13</v>
          </cell>
          <cell r="S877">
            <v>0</v>
          </cell>
          <cell r="T877" t="str">
            <v xml:space="preserve">Jimmy O. Cambe
Centennial Townhomes, San Isidro,
Cabuyao City, Laguna
</v>
          </cell>
          <cell r="U877" t="str">
            <v>2024-04-01</v>
          </cell>
        </row>
        <row r="878">
          <cell r="C878" t="str">
            <v>T031</v>
          </cell>
          <cell r="D878" t="str">
            <v>Eclavea</v>
          </cell>
          <cell r="E878" t="str">
            <v>Jerome</v>
          </cell>
          <cell r="F878" t="str">
            <v>Bueno</v>
          </cell>
          <cell r="G878" t="str">
            <v>Jerome</v>
          </cell>
          <cell r="H878" t="str">
            <v>0938-583-0058</v>
          </cell>
          <cell r="I878" t="str">
            <v>2000-05-01</v>
          </cell>
          <cell r="J878">
            <v>1</v>
          </cell>
          <cell r="K878">
            <v>1</v>
          </cell>
          <cell r="M878" t="str">
            <v>34-9631411-6</v>
          </cell>
          <cell r="N878" t="str">
            <v>--</v>
          </cell>
          <cell r="O878">
            <v>43</v>
          </cell>
          <cell r="P878">
            <v>504</v>
          </cell>
          <cell r="Q878">
            <v>69</v>
          </cell>
          <cell r="R878">
            <v>13</v>
          </cell>
          <cell r="S878">
            <v>0</v>
          </cell>
          <cell r="T878" t="str">
            <v>Jhorizelle Eclavea
Blk8 Lot25 Mountainview Homes,
San Miguel, Sto. Tomas, Batangas
0915-286-4374</v>
          </cell>
          <cell r="U878" t="str">
            <v>2024-04-01</v>
          </cell>
        </row>
        <row r="879">
          <cell r="C879" t="str">
            <v>T032</v>
          </cell>
          <cell r="D879" t="str">
            <v>Edsil</v>
          </cell>
          <cell r="E879" t="str">
            <v>Norma</v>
          </cell>
          <cell r="F879" t="str">
            <v>Macalingay</v>
          </cell>
          <cell r="G879" t="str">
            <v>Norms</v>
          </cell>
          <cell r="H879" t="str">
            <v>0955-142-9856</v>
          </cell>
          <cell r="I879" t="str">
            <v>1988-04-10</v>
          </cell>
          <cell r="J879">
            <v>2</v>
          </cell>
          <cell r="K879">
            <v>1</v>
          </cell>
          <cell r="M879" t="str">
            <v>04-4132919-1</v>
          </cell>
          <cell r="N879" t="str">
            <v>353-200-570</v>
          </cell>
          <cell r="O879">
            <v>43</v>
          </cell>
          <cell r="P879">
            <v>453</v>
          </cell>
          <cell r="Q879">
            <v>20</v>
          </cell>
          <cell r="R879">
            <v>4</v>
          </cell>
          <cell r="S879">
            <v>0</v>
          </cell>
          <cell r="T879" t="str">
            <v>Baisa M. Edsil
Blk 10 Lot 2 Maresco Dream Homes,
Palo Alto, Calamba City, Laguna
0929-219-2042</v>
          </cell>
          <cell r="U879" t="str">
            <v>2024-04-01</v>
          </cell>
        </row>
        <row r="880">
          <cell r="C880" t="str">
            <v>T033</v>
          </cell>
          <cell r="D880" t="str">
            <v>Gaan</v>
          </cell>
          <cell r="E880" t="str">
            <v>Cherryfel</v>
          </cell>
          <cell r="F880" t="str">
            <v>Embrado</v>
          </cell>
          <cell r="G880" t="str">
            <v>Che</v>
          </cell>
          <cell r="H880" t="str">
            <v>0945-651-2550</v>
          </cell>
          <cell r="I880" t="str">
            <v>1993-10-11</v>
          </cell>
          <cell r="J880">
            <v>2</v>
          </cell>
          <cell r="K880">
            <v>1</v>
          </cell>
          <cell r="M880" t="str">
            <v>08-2450400-9</v>
          </cell>
          <cell r="N880" t="str">
            <v>494-515-000</v>
          </cell>
          <cell r="O880">
            <v>43</v>
          </cell>
          <cell r="P880">
            <v>451</v>
          </cell>
          <cell r="Q880">
            <v>20</v>
          </cell>
          <cell r="R880">
            <v>4</v>
          </cell>
          <cell r="S880">
            <v>0</v>
          </cell>
          <cell r="T880" t="str">
            <v>Juanito B. Gaan
Blk26 Lot41 Centennial Townhomes,
San Isidro, Cabuyao, Laguna
0969-646-7169</v>
          </cell>
          <cell r="U880" t="str">
            <v>2024-04-01</v>
          </cell>
        </row>
        <row r="881">
          <cell r="C881" t="str">
            <v>T034</v>
          </cell>
          <cell r="D881" t="str">
            <v>Groyon</v>
          </cell>
          <cell r="E881" t="str">
            <v>Gail</v>
          </cell>
          <cell r="F881" t="str">
            <v>Prodisimo</v>
          </cell>
          <cell r="G881" t="str">
            <v>Gail</v>
          </cell>
          <cell r="H881" t="str">
            <v>0930-486-6442</v>
          </cell>
          <cell r="I881" t="str">
            <v>2002-01-31</v>
          </cell>
          <cell r="J881">
            <v>2</v>
          </cell>
          <cell r="K881">
            <v>1</v>
          </cell>
          <cell r="M881" t="str">
            <v>04-4351657-5</v>
          </cell>
          <cell r="N881" t="str">
            <v>--</v>
          </cell>
          <cell r="O881">
            <v>43</v>
          </cell>
          <cell r="P881">
            <v>454</v>
          </cell>
          <cell r="Q881">
            <v>20</v>
          </cell>
          <cell r="R881">
            <v>4</v>
          </cell>
          <cell r="S881">
            <v>0</v>
          </cell>
          <cell r="T881" t="str">
            <v>Ren-niel P. Groyon
Casiguran, Sorsogon
0920-765-5119</v>
          </cell>
          <cell r="U881" t="str">
            <v>2024-04-01</v>
          </cell>
        </row>
        <row r="882">
          <cell r="C882" t="str">
            <v>T035</v>
          </cell>
          <cell r="D882" t="str">
            <v>Hernandez</v>
          </cell>
          <cell r="E882" t="str">
            <v>Jonathan</v>
          </cell>
          <cell r="F882" t="str">
            <v>Santillan</v>
          </cell>
          <cell r="G882" t="str">
            <v>Than</v>
          </cell>
          <cell r="H882" t="str">
            <v>0951-741-9351</v>
          </cell>
          <cell r="I882" t="str">
            <v>2003-11-07</v>
          </cell>
          <cell r="J882">
            <v>1</v>
          </cell>
          <cell r="K882">
            <v>1</v>
          </cell>
          <cell r="M882" t="str">
            <v>04-4507490-5</v>
          </cell>
          <cell r="N882" t="str">
            <v>--</v>
          </cell>
          <cell r="O882">
            <v>43</v>
          </cell>
          <cell r="P882">
            <v>453</v>
          </cell>
          <cell r="Q882">
            <v>20</v>
          </cell>
          <cell r="R882">
            <v>4</v>
          </cell>
          <cell r="S882">
            <v>0</v>
          </cell>
          <cell r="T882" t="str">
            <v>Edelisa S. Hernandez
Bgy. Parian, Calamba City, Laguna
0907-387-8963</v>
          </cell>
          <cell r="U882" t="str">
            <v>2024-04-01</v>
          </cell>
        </row>
        <row r="883">
          <cell r="C883" t="str">
            <v>T036</v>
          </cell>
          <cell r="D883" t="str">
            <v>Jadausan</v>
          </cell>
          <cell r="E883" t="str">
            <v>Arcillie</v>
          </cell>
          <cell r="F883" t="str">
            <v>Gubantes</v>
          </cell>
          <cell r="G883" t="str">
            <v>Arci</v>
          </cell>
          <cell r="H883" t="str">
            <v>0956-492-3607</v>
          </cell>
          <cell r="I883" t="str">
            <v>2000-11-05</v>
          </cell>
          <cell r="J883">
            <v>2</v>
          </cell>
          <cell r="K883">
            <v>1</v>
          </cell>
          <cell r="M883" t="str">
            <v>35-1000321-9</v>
          </cell>
          <cell r="N883" t="str">
            <v>504-351-270</v>
          </cell>
          <cell r="O883">
            <v>43</v>
          </cell>
          <cell r="P883">
            <v>454</v>
          </cell>
          <cell r="Q883">
            <v>20</v>
          </cell>
          <cell r="R883">
            <v>4</v>
          </cell>
          <cell r="S883">
            <v>0</v>
          </cell>
          <cell r="T883" t="str">
            <v>Jhunel S. Rey
Blk37 Lot43 Ph5 Mabuhay City,
Mamatid, Cabuyao, Laguna
0905-175-7843</v>
          </cell>
          <cell r="U883" t="str">
            <v>2024-04-01</v>
          </cell>
        </row>
        <row r="884">
          <cell r="C884" t="str">
            <v>T037</v>
          </cell>
          <cell r="D884" t="str">
            <v>Masanguid</v>
          </cell>
          <cell r="E884" t="str">
            <v>Mae-Ann</v>
          </cell>
          <cell r="F884" t="str">
            <v>Gapasin</v>
          </cell>
          <cell r="G884" t="str">
            <v>Mae</v>
          </cell>
          <cell r="H884" t="str">
            <v>0970-138-4687</v>
          </cell>
          <cell r="I884" t="str">
            <v>1995-05-13</v>
          </cell>
          <cell r="J884">
            <v>2</v>
          </cell>
          <cell r="K884">
            <v>1</v>
          </cell>
          <cell r="M884" t="str">
            <v>04-2745921-8</v>
          </cell>
          <cell r="N884" t="str">
            <v>468-910-465</v>
          </cell>
          <cell r="O884">
            <v>43</v>
          </cell>
          <cell r="P884">
            <v>453</v>
          </cell>
          <cell r="Q884">
            <v>20</v>
          </cell>
          <cell r="R884">
            <v>4</v>
          </cell>
          <cell r="S884">
            <v>0</v>
          </cell>
          <cell r="T884" t="str">
            <v>Flordeliza G. Masanguid
Blk5 Lot9 Pag-asa Vesta Plains,
Mada-In, Calamba, Laguna
0948-799-0587</v>
          </cell>
          <cell r="U884" t="str">
            <v>2024-04-01</v>
          </cell>
        </row>
        <row r="885">
          <cell r="C885" t="str">
            <v>T038</v>
          </cell>
          <cell r="D885" t="str">
            <v>Navarrosa</v>
          </cell>
          <cell r="E885" t="str">
            <v>Celia</v>
          </cell>
          <cell r="F885" t="str">
            <v>Talaman</v>
          </cell>
          <cell r="G885" t="str">
            <v>Celia</v>
          </cell>
          <cell r="H885" t="str">
            <v>0994-872-0838</v>
          </cell>
          <cell r="I885" t="str">
            <v>1979-01-13</v>
          </cell>
          <cell r="J885">
            <v>2</v>
          </cell>
          <cell r="K885">
            <v>1</v>
          </cell>
          <cell r="M885" t="str">
            <v>33-7243621-5</v>
          </cell>
          <cell r="N885" t="str">
            <v>332-302-929</v>
          </cell>
          <cell r="O885">
            <v>43</v>
          </cell>
          <cell r="P885">
            <v>451</v>
          </cell>
          <cell r="Q885">
            <v>20</v>
          </cell>
          <cell r="R885">
            <v>4</v>
          </cell>
          <cell r="S885">
            <v>0</v>
          </cell>
          <cell r="T885" t="str">
            <v>CJ Navarrosa
Katipunan Village, Western Bicutan,
Taguig City
0947-241-9828</v>
          </cell>
          <cell r="U885" t="str">
            <v>2024-04-01</v>
          </cell>
        </row>
        <row r="886">
          <cell r="C886" t="str">
            <v>T039</v>
          </cell>
          <cell r="D886" t="str">
            <v>Patenio</v>
          </cell>
          <cell r="E886" t="str">
            <v>Airah Mae</v>
          </cell>
          <cell r="F886" t="str">
            <v>Sibulo</v>
          </cell>
          <cell r="G886" t="str">
            <v>Airah</v>
          </cell>
          <cell r="H886" t="str">
            <v>0991-613-9195</v>
          </cell>
          <cell r="I886" t="str">
            <v>1997-09-12</v>
          </cell>
          <cell r="J886">
            <v>2</v>
          </cell>
          <cell r="K886">
            <v>1</v>
          </cell>
          <cell r="M886" t="str">
            <v>04-4237112-2</v>
          </cell>
          <cell r="N886" t="str">
            <v>359-978-092</v>
          </cell>
          <cell r="O886">
            <v>43</v>
          </cell>
          <cell r="P886">
            <v>505</v>
          </cell>
          <cell r="Q886">
            <v>69</v>
          </cell>
          <cell r="R886">
            <v>13</v>
          </cell>
          <cell r="S886">
            <v>0</v>
          </cell>
          <cell r="T886" t="str">
            <v>Armelyn Estacio
Mamatid, Cabuyao, Laguna
0998-928-4044</v>
          </cell>
          <cell r="U886" t="str">
            <v>2024-04-01</v>
          </cell>
        </row>
        <row r="887">
          <cell r="C887" t="str">
            <v>T040</v>
          </cell>
          <cell r="D887" t="str">
            <v>Samuya</v>
          </cell>
          <cell r="E887" t="str">
            <v>Jaystar</v>
          </cell>
          <cell r="F887" t="str">
            <v>--</v>
          </cell>
          <cell r="G887" t="str">
            <v>Jay</v>
          </cell>
          <cell r="H887" t="str">
            <v>0993-756-0175</v>
          </cell>
          <cell r="I887" t="str">
            <v>2001-10-28</v>
          </cell>
          <cell r="J887">
            <v>1</v>
          </cell>
          <cell r="K887">
            <v>1</v>
          </cell>
          <cell r="M887" t="str">
            <v>10-1371225-8</v>
          </cell>
          <cell r="N887" t="str">
            <v>632-064-119</v>
          </cell>
          <cell r="O887">
            <v>43</v>
          </cell>
          <cell r="P887">
            <v>499</v>
          </cell>
          <cell r="Q887">
            <v>66</v>
          </cell>
          <cell r="R887">
            <v>12</v>
          </cell>
          <cell r="S887">
            <v>0</v>
          </cell>
          <cell r="T887" t="str">
            <v>Rhea Joy Merontos
Purok 2 Riverside,
Banlic, Cabuyao, Laguna
0939-236-5709</v>
          </cell>
          <cell r="U887" t="str">
            <v>2024-04-01</v>
          </cell>
        </row>
        <row r="888">
          <cell r="C888" t="str">
            <v>T041</v>
          </cell>
          <cell r="D888" t="str">
            <v>San Lorenzo</v>
          </cell>
          <cell r="E888" t="str">
            <v>Gillian</v>
          </cell>
          <cell r="F888" t="str">
            <v>Oas</v>
          </cell>
          <cell r="G888" t="str">
            <v>Gillian</v>
          </cell>
          <cell r="H888" t="str">
            <v>0970-332-5526</v>
          </cell>
          <cell r="I888" t="str">
            <v>1999-04-11</v>
          </cell>
          <cell r="J888">
            <v>2</v>
          </cell>
          <cell r="K888">
            <v>1</v>
          </cell>
          <cell r="M888" t="str">
            <v>05-1518969-4</v>
          </cell>
          <cell r="N888" t="str">
            <v>658-285-604</v>
          </cell>
          <cell r="O888">
            <v>43</v>
          </cell>
          <cell r="P888">
            <v>387</v>
          </cell>
          <cell r="Q888">
            <v>20</v>
          </cell>
          <cell r="R888">
            <v>4</v>
          </cell>
          <cell r="S888">
            <v>0</v>
          </cell>
          <cell r="T888" t="str">
            <v>Gil A. San Lorenzo
Antipolo, Minalabac, Camarines Sur
0948-877-4125</v>
          </cell>
          <cell r="U888" t="str">
            <v>2024-04-01</v>
          </cell>
        </row>
        <row r="889">
          <cell r="C889" t="str">
            <v>T042</v>
          </cell>
          <cell r="D889" t="str">
            <v>Urriza</v>
          </cell>
          <cell r="E889" t="str">
            <v>Ronel</v>
          </cell>
          <cell r="F889" t="str">
            <v>Coronado</v>
          </cell>
          <cell r="G889" t="str">
            <v>Ron</v>
          </cell>
          <cell r="H889" t="str">
            <v>0906-158-1654</v>
          </cell>
          <cell r="I889" t="str">
            <v>1992-09-02</v>
          </cell>
          <cell r="J889">
            <v>1</v>
          </cell>
          <cell r="K889">
            <v>1</v>
          </cell>
          <cell r="M889" t="str">
            <v>04-3574203-0</v>
          </cell>
          <cell r="N889" t="str">
            <v>463-782-692</v>
          </cell>
          <cell r="O889">
            <v>43</v>
          </cell>
          <cell r="P889">
            <v>453</v>
          </cell>
          <cell r="Q889">
            <v>20</v>
          </cell>
          <cell r="R889">
            <v>4</v>
          </cell>
          <cell r="S889">
            <v>0</v>
          </cell>
          <cell r="T889" t="str">
            <v>April B. Espedido
Bgy. Pook, Majayjay, Laguna
0945-709-2530</v>
          </cell>
          <cell r="U889" t="str">
            <v>2024-04-01</v>
          </cell>
        </row>
        <row r="890">
          <cell r="C890" t="str">
            <v>T043</v>
          </cell>
          <cell r="D890" t="str">
            <v>Monreal</v>
          </cell>
          <cell r="E890" t="str">
            <v>Diane</v>
          </cell>
          <cell r="F890" t="str">
            <v>Montenegro</v>
          </cell>
          <cell r="G890" t="str">
            <v>Diane</v>
          </cell>
          <cell r="H890" t="str">
            <v>0970-477-9821</v>
          </cell>
          <cell r="I890" t="str">
            <v>2004-05-21</v>
          </cell>
          <cell r="J890">
            <v>2</v>
          </cell>
          <cell r="K890">
            <v>1</v>
          </cell>
          <cell r="M890" t="str">
            <v>04-4399383-9</v>
          </cell>
          <cell r="N890" t="str">
            <v>613-230-708</v>
          </cell>
          <cell r="O890">
            <v>40</v>
          </cell>
          <cell r="P890">
            <v>511</v>
          </cell>
          <cell r="Q890">
            <v>72</v>
          </cell>
          <cell r="R890">
            <v>13</v>
          </cell>
          <cell r="S890">
            <v>0</v>
          </cell>
          <cell r="T890" t="str">
            <v>Justin P. Pintang
Mayapa, Calamba, Laguna
0963-253-4282</v>
          </cell>
          <cell r="U890" t="str">
            <v>2024-04-01</v>
          </cell>
        </row>
        <row r="891">
          <cell r="C891" t="str">
            <v>T065</v>
          </cell>
          <cell r="D891" t="str">
            <v>Rosalado</v>
          </cell>
          <cell r="E891" t="str">
            <v>Rico</v>
          </cell>
          <cell r="F891" t="str">
            <v>Ariba</v>
          </cell>
          <cell r="G891" t="str">
            <v>Ric</v>
          </cell>
          <cell r="H891" t="str">
            <v>0916-905-9424</v>
          </cell>
          <cell r="I891" t="str">
            <v>2000-11-20</v>
          </cell>
          <cell r="J891">
            <v>1</v>
          </cell>
          <cell r="K891">
            <v>1</v>
          </cell>
          <cell r="M891" t="str">
            <v>35-0613601-9</v>
          </cell>
          <cell r="N891" t="str">
            <v>397-876-715</v>
          </cell>
          <cell r="O891">
            <v>43</v>
          </cell>
          <cell r="P891">
            <v>451</v>
          </cell>
          <cell r="Q891">
            <v>20</v>
          </cell>
          <cell r="R891">
            <v>4</v>
          </cell>
          <cell r="S891">
            <v>0</v>
          </cell>
          <cell r="T891" t="str">
            <v>Frelyn Rosalado
Bgy. Pantalan, Tagapul-a,
Western Samar
0916-414-2483</v>
          </cell>
          <cell r="U891" t="str">
            <v>2024-04-01</v>
          </cell>
        </row>
        <row r="892">
          <cell r="C892" t="str">
            <v>T044</v>
          </cell>
          <cell r="D892" t="str">
            <v>Biolanguez</v>
          </cell>
          <cell r="E892" t="str">
            <v>Jovany</v>
          </cell>
          <cell r="F892" t="str">
            <v>Serencio</v>
          </cell>
          <cell r="G892" t="str">
            <v>Jovan</v>
          </cell>
          <cell r="H892" t="str">
            <v>0956-325-9283</v>
          </cell>
          <cell r="I892" t="str">
            <v>1998-03-10</v>
          </cell>
          <cell r="J892">
            <v>1</v>
          </cell>
          <cell r="K892">
            <v>1</v>
          </cell>
          <cell r="M892" t="str">
            <v>34-9745688-2</v>
          </cell>
          <cell r="N892" t="str">
            <v>--</v>
          </cell>
          <cell r="O892">
            <v>43</v>
          </cell>
          <cell r="P892">
            <v>492</v>
          </cell>
          <cell r="Q892">
            <v>55</v>
          </cell>
          <cell r="R892">
            <v>11</v>
          </cell>
          <cell r="S892">
            <v>0</v>
          </cell>
          <cell r="T892" t="str">
            <v>Vanessa Rose Biolanguez
San Fernando, RT Lim, 
Zamboanga Sibugay
0926-660-9619</v>
          </cell>
          <cell r="U892" t="str">
            <v>2024-04-01</v>
          </cell>
        </row>
        <row r="893">
          <cell r="C893" t="str">
            <v>T045</v>
          </cell>
          <cell r="D893" t="str">
            <v>Blancia</v>
          </cell>
          <cell r="E893" t="str">
            <v>Edison</v>
          </cell>
          <cell r="F893" t="str">
            <v>Puyong</v>
          </cell>
          <cell r="G893" t="str">
            <v>Tata</v>
          </cell>
          <cell r="H893" t="str">
            <v>0993-906-7871</v>
          </cell>
          <cell r="I893" t="str">
            <v>1994-10-22</v>
          </cell>
          <cell r="J893">
            <v>1</v>
          </cell>
          <cell r="K893">
            <v>1</v>
          </cell>
          <cell r="M893" t="str">
            <v>07-3431026-0</v>
          </cell>
          <cell r="N893" t="str">
            <v>357-832-021</v>
          </cell>
          <cell r="O893">
            <v>43</v>
          </cell>
          <cell r="P893">
            <v>499</v>
          </cell>
          <cell r="Q893">
            <v>66</v>
          </cell>
          <cell r="R893">
            <v>12</v>
          </cell>
          <cell r="S893">
            <v>0</v>
          </cell>
          <cell r="T893" t="str">
            <v>Charmie Pentoria
Zone 3 Lupi San Fernando,
Camarines Sur
0993-906-7871</v>
          </cell>
          <cell r="U893" t="str">
            <v>2024-04-01</v>
          </cell>
        </row>
        <row r="894">
          <cell r="C894" t="str">
            <v>T046</v>
          </cell>
          <cell r="D894" t="str">
            <v>Caparas</v>
          </cell>
          <cell r="E894" t="str">
            <v>Angelito</v>
          </cell>
          <cell r="F894" t="str">
            <v>Concepcion</v>
          </cell>
          <cell r="G894" t="str">
            <v>Angelo</v>
          </cell>
          <cell r="H894" t="str">
            <v>0929-355-1045</v>
          </cell>
          <cell r="I894" t="str">
            <v>1988-05-30</v>
          </cell>
          <cell r="J894">
            <v>1</v>
          </cell>
          <cell r="K894">
            <v>2</v>
          </cell>
          <cell r="L894" t="str">
            <v>Mhaila Mabelle Nobleza Lajom</v>
          </cell>
          <cell r="M894" t="str">
            <v>04-1722951-3</v>
          </cell>
          <cell r="N894" t="str">
            <v>304-341-018</v>
          </cell>
          <cell r="O894">
            <v>43</v>
          </cell>
          <cell r="P894">
            <v>499</v>
          </cell>
          <cell r="Q894">
            <v>66</v>
          </cell>
          <cell r="R894">
            <v>12</v>
          </cell>
          <cell r="S894">
            <v>0</v>
          </cell>
          <cell r="T894" t="str">
            <v>Mhaila Mabelle L. Caparas
Blk34 Lot4 San Isidro Heights,
Cabuyao, Laguna
0981-045-6574</v>
          </cell>
          <cell r="U894" t="str">
            <v>2024-04-01</v>
          </cell>
        </row>
        <row r="895">
          <cell r="C895" t="str">
            <v>T047</v>
          </cell>
          <cell r="D895" t="str">
            <v>Catarining</v>
          </cell>
          <cell r="E895" t="str">
            <v>Cherry</v>
          </cell>
          <cell r="F895" t="str">
            <v>Aganan</v>
          </cell>
          <cell r="G895" t="str">
            <v>Cherry</v>
          </cell>
          <cell r="H895" t="str">
            <v>0991-327-9303</v>
          </cell>
          <cell r="I895" t="str">
            <v>2000-08-03</v>
          </cell>
          <cell r="J895">
            <v>2</v>
          </cell>
          <cell r="K895">
            <v>1</v>
          </cell>
          <cell r="M895" t="str">
            <v>34-9679204-2</v>
          </cell>
          <cell r="N895" t="str">
            <v>389-530-865</v>
          </cell>
          <cell r="O895">
            <v>43</v>
          </cell>
          <cell r="P895">
            <v>493</v>
          </cell>
          <cell r="Q895">
            <v>55</v>
          </cell>
          <cell r="R895">
            <v>11</v>
          </cell>
          <cell r="S895">
            <v>0</v>
          </cell>
          <cell r="T895" t="str">
            <v>Michelle C. Vela
BiÃ±an, Laguna
0936-404-7552</v>
          </cell>
          <cell r="U895" t="str">
            <v>2024-04-01</v>
          </cell>
        </row>
        <row r="896">
          <cell r="C896" t="str">
            <v>T048</v>
          </cell>
          <cell r="D896" t="str">
            <v>Esquilona</v>
          </cell>
          <cell r="E896" t="str">
            <v>Rea</v>
          </cell>
          <cell r="F896" t="str">
            <v>Balbuena</v>
          </cell>
          <cell r="G896" t="str">
            <v>Rea</v>
          </cell>
          <cell r="H896" t="str">
            <v>0938-944-5690</v>
          </cell>
          <cell r="I896" t="str">
            <v>1993-05-04</v>
          </cell>
          <cell r="J896">
            <v>2</v>
          </cell>
          <cell r="K896">
            <v>1</v>
          </cell>
          <cell r="M896" t="str">
            <v>34-6480524-6</v>
          </cell>
          <cell r="N896" t="str">
            <v>341-298-441</v>
          </cell>
          <cell r="O896">
            <v>43</v>
          </cell>
          <cell r="P896">
            <v>502</v>
          </cell>
          <cell r="Q896">
            <v>62</v>
          </cell>
          <cell r="R896">
            <v>12</v>
          </cell>
          <cell r="S896">
            <v>0</v>
          </cell>
          <cell r="T896" t="str">
            <v>Roel B. Esquilona
Blk7 Lot15 Duhat St Milwood Subd,
Pulo, Cabuyao, Laguna
0950-659-4093</v>
          </cell>
          <cell r="U896" t="str">
            <v>2024-04-01</v>
          </cell>
        </row>
        <row r="897">
          <cell r="C897" t="str">
            <v>T049</v>
          </cell>
          <cell r="D897" t="str">
            <v>Ignacio</v>
          </cell>
          <cell r="E897" t="str">
            <v>Chad</v>
          </cell>
          <cell r="F897" t="str">
            <v>Mejica</v>
          </cell>
          <cell r="G897" t="str">
            <v>Chad</v>
          </cell>
          <cell r="H897" t="str">
            <v>0992-397-6852</v>
          </cell>
          <cell r="I897" t="str">
            <v>1994-11-04</v>
          </cell>
          <cell r="J897">
            <v>1</v>
          </cell>
          <cell r="K897">
            <v>1</v>
          </cell>
          <cell r="M897" t="str">
            <v>07-2833302-0</v>
          </cell>
          <cell r="N897" t="str">
            <v>319-032-598</v>
          </cell>
          <cell r="O897">
            <v>43</v>
          </cell>
          <cell r="P897">
            <v>499</v>
          </cell>
          <cell r="Q897">
            <v>66</v>
          </cell>
          <cell r="R897">
            <v>12</v>
          </cell>
          <cell r="S897">
            <v>0</v>
          </cell>
          <cell r="T897" t="str">
            <v>Gemma Alfelor
Purok 2 Bgy. Turbina,
Calamba City, Laguna
0950-464-9182</v>
          </cell>
          <cell r="U897" t="str">
            <v>2024-04-01</v>
          </cell>
        </row>
        <row r="898">
          <cell r="C898" t="str">
            <v>T050</v>
          </cell>
          <cell r="D898" t="str">
            <v>Magtibay</v>
          </cell>
          <cell r="E898" t="str">
            <v>Josie Mae</v>
          </cell>
          <cell r="F898" t="str">
            <v>Tambor</v>
          </cell>
          <cell r="G898" t="str">
            <v>Mae</v>
          </cell>
          <cell r="H898" t="str">
            <v>0920-382-5079</v>
          </cell>
          <cell r="I898" t="str">
            <v>2002-06-24</v>
          </cell>
          <cell r="J898">
            <v>2</v>
          </cell>
          <cell r="K898">
            <v>1</v>
          </cell>
          <cell r="M898" t="str">
            <v>35-0481068-3</v>
          </cell>
          <cell r="N898" t="str">
            <v>396-960-287</v>
          </cell>
          <cell r="O898">
            <v>43</v>
          </cell>
          <cell r="P898">
            <v>502</v>
          </cell>
          <cell r="Q898">
            <v>62</v>
          </cell>
          <cell r="R898">
            <v>12</v>
          </cell>
          <cell r="S898">
            <v>0</v>
          </cell>
          <cell r="T898" t="str">
            <v>Jonabel Magtibay
Modern Village, Paciano,
Calamba City, Laguna
0963-362-5514</v>
          </cell>
          <cell r="U898" t="str">
            <v>2024-04-01</v>
          </cell>
        </row>
        <row r="899">
          <cell r="C899" t="str">
            <v>T051</v>
          </cell>
          <cell r="D899" t="str">
            <v>Marquez</v>
          </cell>
          <cell r="E899" t="str">
            <v>Rogelyn</v>
          </cell>
          <cell r="F899" t="str">
            <v>Bermil</v>
          </cell>
          <cell r="G899" t="str">
            <v>Rhodge</v>
          </cell>
          <cell r="H899" t="str">
            <v>0936-177-6110</v>
          </cell>
          <cell r="I899" t="str">
            <v>1997-02-16</v>
          </cell>
          <cell r="J899">
            <v>2</v>
          </cell>
          <cell r="K899">
            <v>1</v>
          </cell>
          <cell r="M899" t="str">
            <v>34-7365817-0</v>
          </cell>
          <cell r="N899" t="str">
            <v>360-154-026</v>
          </cell>
          <cell r="O899">
            <v>43</v>
          </cell>
          <cell r="P899">
            <v>502</v>
          </cell>
          <cell r="Q899">
            <v>62</v>
          </cell>
          <cell r="R899">
            <v>12</v>
          </cell>
          <cell r="S899">
            <v>0</v>
          </cell>
          <cell r="T899" t="str">
            <v>Jennyfer B. Marquez
Caramoan, Camarines Sur
0956-325-9734</v>
          </cell>
          <cell r="U899" t="str">
            <v>2024-04-01</v>
          </cell>
        </row>
        <row r="900">
          <cell r="C900" t="str">
            <v>T052</v>
          </cell>
          <cell r="D900" t="str">
            <v>Mensurado</v>
          </cell>
          <cell r="E900" t="str">
            <v>Jocelyn</v>
          </cell>
          <cell r="F900" t="str">
            <v>Terrenal</v>
          </cell>
          <cell r="G900" t="str">
            <v>Jo</v>
          </cell>
          <cell r="H900" t="str">
            <v>0994-575-3268</v>
          </cell>
          <cell r="I900" t="str">
            <v>1998-01-18</v>
          </cell>
          <cell r="J900">
            <v>2</v>
          </cell>
          <cell r="K900">
            <v>2</v>
          </cell>
          <cell r="L900" t="str">
            <v>Jason Osianas Mensurado</v>
          </cell>
          <cell r="M900" t="str">
            <v>04-2971545-5</v>
          </cell>
          <cell r="N900" t="str">
            <v>764-658-227</v>
          </cell>
          <cell r="O900">
            <v>43</v>
          </cell>
          <cell r="P900">
            <v>502</v>
          </cell>
          <cell r="Q900">
            <v>62</v>
          </cell>
          <cell r="R900">
            <v>12</v>
          </cell>
          <cell r="S900">
            <v>0</v>
          </cell>
          <cell r="T900" t="str">
            <v>Jason O. Mensurado
Bgy. 3, Calamba City, Laguna
0994-575-3268</v>
          </cell>
          <cell r="U900" t="str">
            <v>2024-04-01</v>
          </cell>
        </row>
        <row r="901">
          <cell r="C901" t="str">
            <v>T053</v>
          </cell>
          <cell r="D901" t="str">
            <v>Mosqueda</v>
          </cell>
          <cell r="E901" t="str">
            <v>Renz</v>
          </cell>
          <cell r="F901" t="str">
            <v>Benedicto</v>
          </cell>
          <cell r="G901" t="str">
            <v>RZ</v>
          </cell>
          <cell r="H901" t="str">
            <v>0960-254-3991</v>
          </cell>
          <cell r="I901" t="str">
            <v>2003-01-15</v>
          </cell>
          <cell r="J901">
            <v>1</v>
          </cell>
          <cell r="K901">
            <v>1</v>
          </cell>
          <cell r="M901" t="str">
            <v>35-0843967-5</v>
          </cell>
          <cell r="N901" t="str">
            <v>642-654-579</v>
          </cell>
          <cell r="O901">
            <v>43</v>
          </cell>
          <cell r="P901">
            <v>492</v>
          </cell>
          <cell r="Q901">
            <v>55</v>
          </cell>
          <cell r="R901">
            <v>11</v>
          </cell>
          <cell r="S901">
            <v>0</v>
          </cell>
          <cell r="T901" t="str">
            <v>Ryan B. Mosqueda
92 Purok 1 Banlic,
Cabuyao City, Laguna
0967-792-8788</v>
          </cell>
          <cell r="U901" t="str">
            <v>2024-04-01</v>
          </cell>
        </row>
        <row r="902">
          <cell r="C902" t="str">
            <v>T054</v>
          </cell>
          <cell r="D902" t="str">
            <v>Padua</v>
          </cell>
          <cell r="E902" t="str">
            <v>Jonalyn</v>
          </cell>
          <cell r="F902" t="str">
            <v>Abitana</v>
          </cell>
          <cell r="G902" t="str">
            <v>Jona</v>
          </cell>
          <cell r="H902" t="str">
            <v>0967-850-7434</v>
          </cell>
          <cell r="I902" t="str">
            <v>1992-02-17</v>
          </cell>
          <cell r="J902">
            <v>2</v>
          </cell>
          <cell r="K902">
            <v>1</v>
          </cell>
          <cell r="M902" t="str">
            <v>04-2316994-2</v>
          </cell>
          <cell r="N902" t="str">
            <v>309-196-946</v>
          </cell>
          <cell r="O902">
            <v>43</v>
          </cell>
          <cell r="P902">
            <v>502</v>
          </cell>
          <cell r="Q902">
            <v>62</v>
          </cell>
          <cell r="R902">
            <v>12</v>
          </cell>
          <cell r="S902">
            <v>0</v>
          </cell>
          <cell r="T902" t="str">
            <v>Elena A. Padua
Parian, Calamba, Laguna
0997-549-0153</v>
          </cell>
          <cell r="U902" t="str">
            <v>2024-04-01</v>
          </cell>
        </row>
        <row r="903">
          <cell r="C903" t="str">
            <v>T056</v>
          </cell>
          <cell r="D903" t="str">
            <v>Pizarra</v>
          </cell>
          <cell r="E903" t="str">
            <v>Norirose</v>
          </cell>
          <cell r="F903" t="str">
            <v>Alipin</v>
          </cell>
          <cell r="G903" t="str">
            <v>Nori</v>
          </cell>
          <cell r="H903" t="str">
            <v>0969-558-8766</v>
          </cell>
          <cell r="I903" t="str">
            <v>2001-08-06</v>
          </cell>
          <cell r="J903">
            <v>2</v>
          </cell>
          <cell r="K903">
            <v>1</v>
          </cell>
          <cell r="M903" t="str">
            <v>34-9807992-5</v>
          </cell>
          <cell r="N903" t="str">
            <v>371-946-441</v>
          </cell>
          <cell r="O903">
            <v>43</v>
          </cell>
          <cell r="P903">
            <v>502</v>
          </cell>
          <cell r="Q903">
            <v>62</v>
          </cell>
          <cell r="R903">
            <v>12</v>
          </cell>
          <cell r="S903">
            <v>0</v>
          </cell>
          <cell r="T903" t="str">
            <v>Nora A. Pizarra
Blk19 Lot41 Southville 1,
Marinig, Cabuyao, Laguna
0949-421-3923</v>
          </cell>
          <cell r="U903" t="str">
            <v>2024-04-01</v>
          </cell>
        </row>
        <row r="904">
          <cell r="C904" t="str">
            <v>T057</v>
          </cell>
          <cell r="D904" t="str">
            <v>Rodrigo III</v>
          </cell>
          <cell r="E904" t="str">
            <v>Bernard</v>
          </cell>
          <cell r="F904" t="str">
            <v>Villar</v>
          </cell>
          <cell r="G904" t="str">
            <v>Thirdy</v>
          </cell>
          <cell r="H904" t="str">
            <v>0926-721-6557</v>
          </cell>
          <cell r="I904" t="str">
            <v>1995-04-18</v>
          </cell>
          <cell r="J904">
            <v>1</v>
          </cell>
          <cell r="K904">
            <v>1</v>
          </cell>
          <cell r="M904" t="str">
            <v>04-3659004-5</v>
          </cell>
          <cell r="N904" t="str">
            <v>384-933-788</v>
          </cell>
          <cell r="O904">
            <v>43</v>
          </cell>
          <cell r="P904">
            <v>502</v>
          </cell>
          <cell r="Q904">
            <v>62</v>
          </cell>
          <cell r="R904">
            <v>12</v>
          </cell>
          <cell r="S904">
            <v>0</v>
          </cell>
          <cell r="T904" t="str">
            <v>Elmer A. Villar
Room #26 Bermudez Apt, 17P Burgos St,
Poblacion 1, Cabuyao, Laguna
0906-913-4162</v>
          </cell>
          <cell r="U904" t="str">
            <v>2024-04-01</v>
          </cell>
        </row>
        <row r="905">
          <cell r="C905" t="str">
            <v>T058</v>
          </cell>
          <cell r="D905" t="str">
            <v>Sumabang</v>
          </cell>
          <cell r="E905" t="str">
            <v>Eric</v>
          </cell>
          <cell r="F905" t="str">
            <v>Echevarria</v>
          </cell>
          <cell r="G905" t="str">
            <v>Eric</v>
          </cell>
          <cell r="H905" t="str">
            <v>0985-882-3250</v>
          </cell>
          <cell r="I905" t="str">
            <v>2000-08-15</v>
          </cell>
          <cell r="J905">
            <v>1</v>
          </cell>
          <cell r="K905">
            <v>1</v>
          </cell>
          <cell r="M905" t="str">
            <v>04-4222017-6</v>
          </cell>
          <cell r="N905" t="str">
            <v>750-699-204</v>
          </cell>
          <cell r="O905">
            <v>43</v>
          </cell>
          <cell r="P905">
            <v>499</v>
          </cell>
          <cell r="Q905">
            <v>66</v>
          </cell>
          <cell r="R905">
            <v>12</v>
          </cell>
          <cell r="S905">
            <v>0</v>
          </cell>
          <cell r="T905" t="str">
            <v>Nicole Mercader
Don Bosco St, Mayapa,
Calamba City, Laguna
0995-084-1226</v>
          </cell>
          <cell r="U905" t="str">
            <v>2024-04-01</v>
          </cell>
        </row>
        <row r="906">
          <cell r="C906" t="str">
            <v>T059</v>
          </cell>
          <cell r="D906" t="str">
            <v>Taopo</v>
          </cell>
          <cell r="E906" t="str">
            <v>Lany</v>
          </cell>
          <cell r="F906" t="str">
            <v>Temanil</v>
          </cell>
          <cell r="G906" t="str">
            <v>Kit</v>
          </cell>
          <cell r="H906" t="str">
            <v>0928-571-2483</v>
          </cell>
          <cell r="I906" t="str">
            <v>1996-01-31</v>
          </cell>
          <cell r="J906">
            <v>2</v>
          </cell>
          <cell r="K906">
            <v>1</v>
          </cell>
          <cell r="M906" t="str">
            <v>05-1319790-5</v>
          </cell>
          <cell r="N906" t="str">
            <v>329-073-100</v>
          </cell>
          <cell r="O906">
            <v>43</v>
          </cell>
          <cell r="P906">
            <v>502</v>
          </cell>
          <cell r="Q906">
            <v>62</v>
          </cell>
          <cell r="R906">
            <v>12</v>
          </cell>
          <cell r="S906">
            <v>0</v>
          </cell>
          <cell r="T906" t="str">
            <v>Mark Jeson Olesco
Hacienda Hills, Palo Alto,
Calamba City, Laguna
0975-262-3128</v>
          </cell>
          <cell r="U906" t="str">
            <v>2024-04-01</v>
          </cell>
        </row>
        <row r="907">
          <cell r="C907" t="str">
            <v>T060</v>
          </cell>
          <cell r="D907" t="str">
            <v>Torrepalma</v>
          </cell>
          <cell r="E907" t="str">
            <v>Avegail</v>
          </cell>
          <cell r="F907" t="str">
            <v>Sainz</v>
          </cell>
          <cell r="G907" t="str">
            <v>Gail</v>
          </cell>
          <cell r="H907" t="str">
            <v>0927-377-1637</v>
          </cell>
          <cell r="I907" t="str">
            <v>1996-09-14</v>
          </cell>
          <cell r="J907">
            <v>2</v>
          </cell>
          <cell r="K907">
            <v>1</v>
          </cell>
          <cell r="M907" t="str">
            <v>05-1264713-9</v>
          </cell>
          <cell r="N907" t="str">
            <v>322-573-074</v>
          </cell>
          <cell r="O907">
            <v>43</v>
          </cell>
          <cell r="P907">
            <v>502</v>
          </cell>
          <cell r="Q907">
            <v>62</v>
          </cell>
          <cell r="R907">
            <v>12</v>
          </cell>
          <cell r="S907">
            <v>0</v>
          </cell>
          <cell r="T907" t="str">
            <v>Analyn Torrepalma
0570 Purok 4 Crossing St,
Siranglupa, Calamba, Laguna
0906-477-8940</v>
          </cell>
          <cell r="U907" t="str">
            <v>2024-04-01</v>
          </cell>
        </row>
        <row r="908">
          <cell r="C908" t="str">
            <v>T061</v>
          </cell>
          <cell r="D908" t="str">
            <v>ViaÃ±a</v>
          </cell>
          <cell r="E908" t="str">
            <v>Rodmar Jr.</v>
          </cell>
          <cell r="F908" t="str">
            <v>Acosta</v>
          </cell>
          <cell r="G908" t="str">
            <v>Mar</v>
          </cell>
          <cell r="H908" t="str">
            <v>0946-041-0243</v>
          </cell>
          <cell r="I908" t="str">
            <v>1998-06-09</v>
          </cell>
          <cell r="J908">
            <v>1</v>
          </cell>
          <cell r="K908">
            <v>1</v>
          </cell>
          <cell r="M908" t="str">
            <v>04-3711990-4</v>
          </cell>
          <cell r="N908" t="str">
            <v>331-306-039</v>
          </cell>
          <cell r="O908">
            <v>43</v>
          </cell>
          <cell r="P908">
            <v>485</v>
          </cell>
          <cell r="Q908">
            <v>59</v>
          </cell>
          <cell r="R908">
            <v>11</v>
          </cell>
          <cell r="S908">
            <v>0</v>
          </cell>
          <cell r="T908" t="str">
            <v>Dearly A. ViaÃ±a
221 Alcantara's Subd, Sto. Domingo,
Mayapa, Calamba, Laguna
0946-370-5950</v>
          </cell>
          <cell r="U908" t="str">
            <v>2024-04-01</v>
          </cell>
        </row>
        <row r="909">
          <cell r="C909" t="str">
            <v>T063</v>
          </cell>
          <cell r="D909" t="str">
            <v>Ariola</v>
          </cell>
          <cell r="E909" t="str">
            <v>Thricia</v>
          </cell>
          <cell r="F909" t="str">
            <v>Rejano</v>
          </cell>
          <cell r="G909" t="str">
            <v>Cia</v>
          </cell>
          <cell r="H909" t="str">
            <v>0927-792-8503</v>
          </cell>
          <cell r="I909" t="str">
            <v>2002-10-20</v>
          </cell>
          <cell r="J909">
            <v>2</v>
          </cell>
          <cell r="K909">
            <v>1</v>
          </cell>
          <cell r="M909" t="str">
            <v>35-0859115-7</v>
          </cell>
          <cell r="N909" t="str">
            <v>504-204-653</v>
          </cell>
          <cell r="O909">
            <v>43</v>
          </cell>
          <cell r="P909">
            <v>502</v>
          </cell>
          <cell r="Q909">
            <v>62</v>
          </cell>
          <cell r="R909">
            <v>12</v>
          </cell>
          <cell r="S909">
            <v>0</v>
          </cell>
          <cell r="T909" t="str">
            <v>Kenneth Paul Mijos
Unit 1, Bgy Banlic,
Cabuyao City, Laguna
0945-172-3028</v>
          </cell>
          <cell r="U909" t="str">
            <v>2024-04-01</v>
          </cell>
        </row>
        <row r="910">
          <cell r="C910" t="str">
            <v>T064</v>
          </cell>
          <cell r="D910" t="str">
            <v>Cameros</v>
          </cell>
          <cell r="E910" t="str">
            <v>Jolledel</v>
          </cell>
          <cell r="F910" t="str">
            <v>Coderes</v>
          </cell>
          <cell r="G910" t="str">
            <v>Jolly</v>
          </cell>
          <cell r="H910" t="str">
            <v>0946-573-1248</v>
          </cell>
          <cell r="I910" t="str">
            <v>2000-10-01</v>
          </cell>
          <cell r="J910">
            <v>2</v>
          </cell>
          <cell r="K910">
            <v>1</v>
          </cell>
          <cell r="M910" t="str">
            <v>34-8498249-5</v>
          </cell>
          <cell r="N910" t="str">
            <v>--</v>
          </cell>
          <cell r="O910">
            <v>43</v>
          </cell>
          <cell r="P910">
            <v>502</v>
          </cell>
          <cell r="Q910">
            <v>62</v>
          </cell>
          <cell r="R910">
            <v>12</v>
          </cell>
          <cell r="S910">
            <v>0</v>
          </cell>
          <cell r="T910" t="str">
            <v>Marcela C. Cameros
Blk26 Lot23 Ph2 Bgy. Pooc,
Sta. Rosa City, Laguna
0930-686-0628</v>
          </cell>
          <cell r="U910" t="str">
            <v>2024-04-01</v>
          </cell>
        </row>
        <row r="911">
          <cell r="C911" t="str">
            <v>T067</v>
          </cell>
          <cell r="D911" t="str">
            <v>Gabaldon</v>
          </cell>
          <cell r="E911" t="str">
            <v>Eugene</v>
          </cell>
          <cell r="F911" t="str">
            <v>Padua</v>
          </cell>
          <cell r="G911" t="str">
            <v>Gene</v>
          </cell>
          <cell r="H911" t="str">
            <v>0955-488-6020</v>
          </cell>
          <cell r="I911" t="str">
            <v>1999-10-11</v>
          </cell>
          <cell r="J911">
            <v>1</v>
          </cell>
          <cell r="K911">
            <v>1</v>
          </cell>
          <cell r="M911" t="str">
            <v>04-4047188-8</v>
          </cell>
          <cell r="N911" t="str">
            <v>349-097-978</v>
          </cell>
          <cell r="O911">
            <v>43</v>
          </cell>
          <cell r="P911">
            <v>502</v>
          </cell>
          <cell r="Q911">
            <v>62</v>
          </cell>
          <cell r="R911">
            <v>12</v>
          </cell>
          <cell r="S911">
            <v>0</v>
          </cell>
          <cell r="T911" t="str">
            <v>Ariel P. Gabaldon
303 Don Bosco St,
Mayapa, Calamba City, Laguna
0927-258-2171</v>
          </cell>
          <cell r="U911" t="str">
            <v>2024-04-02</v>
          </cell>
        </row>
        <row r="912">
          <cell r="C912" t="str">
            <v>T068</v>
          </cell>
          <cell r="D912" t="str">
            <v>Mirabel</v>
          </cell>
          <cell r="E912" t="str">
            <v>Richelle</v>
          </cell>
          <cell r="F912" t="str">
            <v>Mirandilla</v>
          </cell>
          <cell r="G912" t="str">
            <v>Chel</v>
          </cell>
          <cell r="H912" t="str">
            <v>0927638-9425</v>
          </cell>
          <cell r="I912" t="str">
            <v>2000-09-04</v>
          </cell>
          <cell r="J912">
            <v>2</v>
          </cell>
          <cell r="K912">
            <v>1</v>
          </cell>
          <cell r="M912" t="str">
            <v>35-0274229-0</v>
          </cell>
          <cell r="N912" t="str">
            <v>396-988-511</v>
          </cell>
          <cell r="O912">
            <v>43</v>
          </cell>
          <cell r="P912">
            <v>502</v>
          </cell>
          <cell r="Q912">
            <v>62</v>
          </cell>
          <cell r="R912">
            <v>12</v>
          </cell>
          <cell r="S912">
            <v>0</v>
          </cell>
          <cell r="T912" t="str">
            <v>Abegail M. Mirabel
Don Bosco, Mayapa,
Calamba City, Laguna
0910-547-7661</v>
          </cell>
          <cell r="U912" t="str">
            <v>2024-04-02</v>
          </cell>
        </row>
        <row r="913">
          <cell r="C913" t="str">
            <v>T069</v>
          </cell>
          <cell r="D913" t="str">
            <v>Lapasaran</v>
          </cell>
          <cell r="E913" t="str">
            <v>John Patrick</v>
          </cell>
          <cell r="F913" t="str">
            <v>--</v>
          </cell>
          <cell r="G913" t="str">
            <v>Jhonny</v>
          </cell>
          <cell r="H913" t="str">
            <v>0955-268-5322</v>
          </cell>
          <cell r="I913" t="str">
            <v>2000-05-06</v>
          </cell>
          <cell r="J913">
            <v>1</v>
          </cell>
          <cell r="K913">
            <v>1</v>
          </cell>
          <cell r="M913" t="str">
            <v>04-4131568-4</v>
          </cell>
          <cell r="N913" t="str">
            <v>--</v>
          </cell>
          <cell r="O913">
            <v>43</v>
          </cell>
          <cell r="P913">
            <v>454</v>
          </cell>
          <cell r="Q913">
            <v>20</v>
          </cell>
          <cell r="R913">
            <v>4</v>
          </cell>
          <cell r="S913">
            <v>0</v>
          </cell>
          <cell r="T913" t="str">
            <v>Junfrey P. Pesino
Blk 146 Lot 19 Ph2 2 Mabuhay,
Mamatid, Cabuyao, Laguna
0997-854-2735</v>
          </cell>
          <cell r="U913" t="str">
            <v>2024-04-05</v>
          </cell>
        </row>
        <row r="914">
          <cell r="C914" t="str">
            <v>T070</v>
          </cell>
          <cell r="D914" t="str">
            <v>Melu</v>
          </cell>
          <cell r="E914" t="str">
            <v>Buena Jirah</v>
          </cell>
          <cell r="F914" t="str">
            <v>Aguirre</v>
          </cell>
          <cell r="G914" t="str">
            <v>Buena</v>
          </cell>
          <cell r="H914" t="str">
            <v>0938-830-3976</v>
          </cell>
          <cell r="I914" t="str">
            <v>2001-02-02</v>
          </cell>
          <cell r="J914">
            <v>2</v>
          </cell>
          <cell r="K914">
            <v>1</v>
          </cell>
          <cell r="M914" t="str">
            <v>04-4685985-7</v>
          </cell>
          <cell r="N914" t="str">
            <v>375-269-496</v>
          </cell>
          <cell r="O914">
            <v>58</v>
          </cell>
          <cell r="P914">
            <v>7</v>
          </cell>
          <cell r="Q914">
            <v>4</v>
          </cell>
          <cell r="R914">
            <v>1</v>
          </cell>
          <cell r="S914">
            <v>0</v>
          </cell>
          <cell r="T914" t="str">
            <v>Bernadette A. Melu
Blk29 Lot62 Ph6 Southville 1,
Niugan, Cabuyao City, Laguna
0965-524-1158</v>
          </cell>
          <cell r="U914" t="str">
            <v>2024-04-08</v>
          </cell>
        </row>
        <row r="915">
          <cell r="C915" t="str">
            <v>T071</v>
          </cell>
          <cell r="D915" t="str">
            <v>Ibasitas</v>
          </cell>
          <cell r="E915" t="str">
            <v>Ma. Robelle</v>
          </cell>
          <cell r="F915" t="str">
            <v>Roldan</v>
          </cell>
          <cell r="G915" t="str">
            <v>Belle</v>
          </cell>
          <cell r="H915" t="str">
            <v xml:space="preserve">0961-038-8282 </v>
          </cell>
          <cell r="I915" t="str">
            <v>1988-12-02</v>
          </cell>
          <cell r="J915">
            <v>2</v>
          </cell>
          <cell r="K915">
            <v>2</v>
          </cell>
          <cell r="L915" t="str">
            <v>Keem Raniel Azuelo Ibasitas</v>
          </cell>
          <cell r="M915" t="str">
            <v>04-2093558-0</v>
          </cell>
          <cell r="N915" t="str">
            <v>296-628-142</v>
          </cell>
          <cell r="O915">
            <v>8</v>
          </cell>
          <cell r="P915">
            <v>7</v>
          </cell>
          <cell r="Q915">
            <v>4</v>
          </cell>
          <cell r="R915">
            <v>1</v>
          </cell>
          <cell r="S915">
            <v>0</v>
          </cell>
          <cell r="T915" t="str">
            <v>Keem Raniel A. Ibasitas
Blk12 Lot72 Marianas St, Pacific Hill,
Palo Alto, Calamba City, Laguna
0961-768-2737</v>
          </cell>
          <cell r="U915" t="str">
            <v>2024-04-11</v>
          </cell>
        </row>
        <row r="916">
          <cell r="C916" t="str">
            <v>T073</v>
          </cell>
          <cell r="D916" t="str">
            <v>Mantala</v>
          </cell>
          <cell r="E916" t="str">
            <v>Precious</v>
          </cell>
          <cell r="F916" t="str">
            <v>Ayap</v>
          </cell>
          <cell r="G916" t="str">
            <v>Precious</v>
          </cell>
          <cell r="H916" t="str">
            <v>0998-072-2661</v>
          </cell>
          <cell r="I916" t="str">
            <v>1999-01-12</v>
          </cell>
          <cell r="J916">
            <v>2</v>
          </cell>
          <cell r="K916">
            <v>1</v>
          </cell>
          <cell r="M916" t="str">
            <v>34-7412271-5</v>
          </cell>
          <cell r="N916" t="str">
            <v>353-753-979</v>
          </cell>
          <cell r="O916">
            <v>109</v>
          </cell>
          <cell r="P916">
            <v>487</v>
          </cell>
          <cell r="Q916">
            <v>61</v>
          </cell>
          <cell r="R916">
            <v>11</v>
          </cell>
          <cell r="S916">
            <v>0</v>
          </cell>
          <cell r="T916" t="str">
            <v>Evangelina A. Mantala
M117 Marmaine Ville II, Pansol,
Padre Garcia, Batangas
0947-399-7176</v>
          </cell>
          <cell r="U916" t="str">
            <v>2024-04-15</v>
          </cell>
        </row>
        <row r="917">
          <cell r="C917" t="str">
            <v>T072</v>
          </cell>
          <cell r="D917" t="str">
            <v>De Ocampo</v>
          </cell>
          <cell r="E917" t="str">
            <v>Renalyn</v>
          </cell>
          <cell r="F917" t="str">
            <v>Flores</v>
          </cell>
          <cell r="G917" t="str">
            <v>Rein</v>
          </cell>
          <cell r="H917" t="str">
            <v>0967-783-8466</v>
          </cell>
          <cell r="I917" t="str">
            <v>1996-10-13</v>
          </cell>
          <cell r="J917">
            <v>2</v>
          </cell>
          <cell r="K917">
            <v>1</v>
          </cell>
          <cell r="M917" t="str">
            <v>04-3662107-9</v>
          </cell>
          <cell r="N917" t="str">
            <v>324-079-762</v>
          </cell>
          <cell r="O917">
            <v>41</v>
          </cell>
          <cell r="P917">
            <v>494</v>
          </cell>
          <cell r="Q917">
            <v>57</v>
          </cell>
          <cell r="R917">
            <v>11</v>
          </cell>
          <cell r="S917">
            <v>0</v>
          </cell>
          <cell r="T917" t="str">
            <v>Maria F. De Ocampo
Purok 5 588 Bulihan,
Malitlit, Sta. Rosa, Laguna
0969-026-9210</v>
          </cell>
          <cell r="U917" t="str">
            <v>2024-04-15</v>
          </cell>
        </row>
        <row r="918">
          <cell r="C918" t="str">
            <v>T074</v>
          </cell>
          <cell r="D918" t="str">
            <v>Silvestre</v>
          </cell>
          <cell r="E918" t="str">
            <v>Bryan</v>
          </cell>
          <cell r="F918" t="str">
            <v>Lucido</v>
          </cell>
          <cell r="G918" t="str">
            <v>Bry</v>
          </cell>
          <cell r="H918" t="str">
            <v>0955-792-4321</v>
          </cell>
          <cell r="I918" t="str">
            <v>1995-11-30</v>
          </cell>
          <cell r="J918">
            <v>1</v>
          </cell>
          <cell r="K918">
            <v>2</v>
          </cell>
          <cell r="L918" t="str">
            <v>Arrelee Arjona Mangaspar</v>
          </cell>
          <cell r="M918" t="str">
            <v>04-2899592-0</v>
          </cell>
          <cell r="N918" t="str">
            <v>436-733-487</v>
          </cell>
          <cell r="O918">
            <v>41</v>
          </cell>
          <cell r="P918">
            <v>474</v>
          </cell>
          <cell r="Q918">
            <v>49</v>
          </cell>
          <cell r="R918">
            <v>8</v>
          </cell>
          <cell r="S918">
            <v>0</v>
          </cell>
          <cell r="T918" t="str">
            <v>Arrelee M. Silvestre
Liliw, Laguna
0955-870-5245</v>
          </cell>
          <cell r="U918" t="str">
            <v>2024-04-15</v>
          </cell>
        </row>
        <row r="919">
          <cell r="C919" t="str">
            <v>T075</v>
          </cell>
          <cell r="D919" t="str">
            <v>Gubat</v>
          </cell>
          <cell r="E919" t="str">
            <v>Lexter</v>
          </cell>
          <cell r="F919" t="str">
            <v>Reyes</v>
          </cell>
          <cell r="G919" t="str">
            <v>Lec-Lec</v>
          </cell>
          <cell r="H919" t="str">
            <v>0928-470-4606</v>
          </cell>
          <cell r="I919" t="str">
            <v>1992-11-22</v>
          </cell>
          <cell r="J919">
            <v>1</v>
          </cell>
          <cell r="K919">
            <v>2</v>
          </cell>
          <cell r="L919" t="str">
            <v>Jessa Quilapio Dela Torre</v>
          </cell>
          <cell r="M919" t="str">
            <v>04-3636409-3</v>
          </cell>
          <cell r="N919" t="str">
            <v>473-136-790</v>
          </cell>
          <cell r="O919">
            <v>86</v>
          </cell>
          <cell r="P919">
            <v>437</v>
          </cell>
          <cell r="Q919">
            <v>19</v>
          </cell>
          <cell r="R919">
            <v>4</v>
          </cell>
          <cell r="S919">
            <v>0</v>
          </cell>
          <cell r="T919" t="str">
            <v>Jessa D. Gubat
Blk 2 Lot 16 St. Agata Village 1,
Bgy. Labas, Sta. Rosa City, Laguna
0907-248-7367</v>
          </cell>
          <cell r="U919" t="str">
            <v>2024-05-02</v>
          </cell>
        </row>
        <row r="920">
          <cell r="C920" t="str">
            <v>T077</v>
          </cell>
          <cell r="D920" t="str">
            <v>Patriarca</v>
          </cell>
          <cell r="E920" t="str">
            <v>Jessa</v>
          </cell>
          <cell r="F920" t="str">
            <v>Delos Reyes</v>
          </cell>
          <cell r="G920" t="str">
            <v>Jessa</v>
          </cell>
          <cell r="H920" t="str">
            <v>0908-329-6283</v>
          </cell>
          <cell r="I920" t="str">
            <v>1998-07-05</v>
          </cell>
          <cell r="J920">
            <v>2</v>
          </cell>
          <cell r="K920">
            <v>1</v>
          </cell>
          <cell r="M920" t="str">
            <v>34-8808895-5</v>
          </cell>
          <cell r="N920" t="str">
            <v>759-726-736</v>
          </cell>
          <cell r="O920">
            <v>97</v>
          </cell>
          <cell r="P920">
            <v>500</v>
          </cell>
          <cell r="Q920">
            <v>65</v>
          </cell>
          <cell r="R920">
            <v>12</v>
          </cell>
          <cell r="S920">
            <v>0</v>
          </cell>
          <cell r="T920" t="str">
            <v>Jennifer D. Patriarca
Calauan, Laguna
0935-265-9263</v>
          </cell>
          <cell r="U920" t="str">
            <v>2024-05-08</v>
          </cell>
        </row>
        <row r="921">
          <cell r="C921" t="str">
            <v>T080</v>
          </cell>
          <cell r="D921" t="str">
            <v>Tangalan</v>
          </cell>
          <cell r="E921" t="str">
            <v>Aldrin</v>
          </cell>
          <cell r="F921" t="str">
            <v>Mesa</v>
          </cell>
          <cell r="G921" t="str">
            <v>Mac</v>
          </cell>
          <cell r="H921" t="str">
            <v>0927-317-9899</v>
          </cell>
          <cell r="I921" t="str">
            <v>2000-02-24</v>
          </cell>
          <cell r="J921">
            <v>1</v>
          </cell>
          <cell r="K921">
            <v>1</v>
          </cell>
          <cell r="M921" t="str">
            <v>04-4187405-7</v>
          </cell>
          <cell r="N921" t="str">
            <v>381-689-147</v>
          </cell>
          <cell r="O921">
            <v>44</v>
          </cell>
          <cell r="P921">
            <v>402</v>
          </cell>
          <cell r="Q921">
            <v>51</v>
          </cell>
          <cell r="R921">
            <v>1</v>
          </cell>
          <cell r="S921">
            <v>0</v>
          </cell>
          <cell r="T921" t="str">
            <v>Roelyn Tangalan
Blk4 Lot96 Don Jose Homes Subd,
Banlic, Calamba City, Laguna
0935-408-9587</v>
          </cell>
          <cell r="U921" t="str">
            <v>2024-05-10</v>
          </cell>
        </row>
        <row r="922">
          <cell r="C922" t="str">
            <v>T078</v>
          </cell>
          <cell r="D922" t="str">
            <v>Cambel</v>
          </cell>
          <cell r="E922" t="str">
            <v>Glaiza</v>
          </cell>
          <cell r="F922" t="str">
            <v>Abanto</v>
          </cell>
          <cell r="G922" t="str">
            <v>Gail</v>
          </cell>
          <cell r="H922" t="str">
            <v>0917-602-3983</v>
          </cell>
          <cell r="I922" t="str">
            <v>1985-06-29</v>
          </cell>
          <cell r="J922">
            <v>2</v>
          </cell>
          <cell r="K922">
            <v>1</v>
          </cell>
          <cell r="M922" t="str">
            <v>04-1278988-3</v>
          </cell>
          <cell r="N922" t="str">
            <v>305-374-409</v>
          </cell>
          <cell r="O922">
            <v>8</v>
          </cell>
          <cell r="P922">
            <v>401</v>
          </cell>
          <cell r="Q922">
            <v>51</v>
          </cell>
          <cell r="R922">
            <v>1</v>
          </cell>
          <cell r="S922">
            <v>0</v>
          </cell>
          <cell r="T922" t="str">
            <v>Zenaida A. Cambel
Mt. Fuji Street Makiling Hills Brgy. Makiling, Calamba City, Laguna
0993-716-2445</v>
          </cell>
          <cell r="U922" t="str">
            <v>2024-05-09</v>
          </cell>
        </row>
        <row r="923">
          <cell r="C923" t="str">
            <v>T081</v>
          </cell>
          <cell r="D923" t="str">
            <v>Caday</v>
          </cell>
          <cell r="E923" t="str">
            <v>Joanna</v>
          </cell>
          <cell r="F923" t="str">
            <v>Marzan</v>
          </cell>
          <cell r="G923" t="str">
            <v>Joan</v>
          </cell>
          <cell r="H923" t="str">
            <v>0967-082-2945</v>
          </cell>
          <cell r="I923" t="str">
            <v>2000-08-28</v>
          </cell>
          <cell r="J923">
            <v>2</v>
          </cell>
          <cell r="K923">
            <v>1</v>
          </cell>
          <cell r="M923" t="str">
            <v>04-4786895-7</v>
          </cell>
          <cell r="N923" t="str">
            <v>657-572-608</v>
          </cell>
          <cell r="O923">
            <v>110</v>
          </cell>
          <cell r="P923">
            <v>401</v>
          </cell>
          <cell r="Q923">
            <v>51</v>
          </cell>
          <cell r="R923">
            <v>1</v>
          </cell>
          <cell r="S923">
            <v>0</v>
          </cell>
          <cell r="T923" t="str">
            <v>Jennybee M. Caday
Blk27 Lot1 Ph6 Southville 1,
Niugan, Cabuyao City, Laguna
0923-405-9025</v>
          </cell>
          <cell r="U923" t="str">
            <v>2024-05-18</v>
          </cell>
        </row>
        <row r="924">
          <cell r="C924" t="str">
            <v>T082</v>
          </cell>
          <cell r="D924" t="str">
            <v>Faraon</v>
          </cell>
          <cell r="E924" t="str">
            <v>Johnsen</v>
          </cell>
          <cell r="F924" t="str">
            <v>Macalalad</v>
          </cell>
          <cell r="G924" t="str">
            <v>Johnsen</v>
          </cell>
          <cell r="H924" t="str">
            <v>0919-825-5967</v>
          </cell>
          <cell r="I924" t="str">
            <v>2001-04-14</v>
          </cell>
          <cell r="J924">
            <v>1</v>
          </cell>
          <cell r="K924">
            <v>1</v>
          </cell>
          <cell r="M924" t="str">
            <v>04-4801053-9</v>
          </cell>
          <cell r="N924" t="str">
            <v>--</v>
          </cell>
          <cell r="O924">
            <v>86</v>
          </cell>
          <cell r="P924">
            <v>512</v>
          </cell>
          <cell r="Q924">
            <v>73</v>
          </cell>
          <cell r="R924">
            <v>13</v>
          </cell>
          <cell r="S924">
            <v>0</v>
          </cell>
          <cell r="T924" t="str">
            <v>Raquel M. Faraon
Sta. Rita Karsada, Batangas City
0932-948-3408</v>
          </cell>
          <cell r="U924" t="str">
            <v>2024-05-27</v>
          </cell>
        </row>
        <row r="925">
          <cell r="C925" t="str">
            <v>T083</v>
          </cell>
          <cell r="D925" t="str">
            <v>Diamante</v>
          </cell>
          <cell r="E925" t="str">
            <v>Raven</v>
          </cell>
          <cell r="F925" t="str">
            <v>Monteagudo</v>
          </cell>
          <cell r="G925" t="str">
            <v>Neb</v>
          </cell>
          <cell r="H925" t="str">
            <v>0921-455-5092</v>
          </cell>
          <cell r="I925" t="str">
            <v>2001-02-04</v>
          </cell>
          <cell r="J925">
            <v>1</v>
          </cell>
          <cell r="K925">
            <v>1</v>
          </cell>
          <cell r="M925" t="str">
            <v>04-4552801-1</v>
          </cell>
          <cell r="N925" t="str">
            <v>657-276-558</v>
          </cell>
          <cell r="O925">
            <v>86</v>
          </cell>
          <cell r="P925">
            <v>499</v>
          </cell>
          <cell r="Q925">
            <v>66</v>
          </cell>
          <cell r="R925">
            <v>12</v>
          </cell>
          <cell r="S925">
            <v>0</v>
          </cell>
          <cell r="T925" t="str">
            <v xml:space="preserve">Eleanor M. Diamante
Blk20 Lot23 Mahogany St, Ph5 Exec.
Mabuhay City, Mamatid, Cabuyao, Laguna
0917-499-3812
</v>
          </cell>
          <cell r="U925" t="str">
            <v>2024-06-03</v>
          </cell>
        </row>
        <row r="926">
          <cell r="C926" t="str">
            <v>T084</v>
          </cell>
          <cell r="D926" t="str">
            <v>Ramos</v>
          </cell>
          <cell r="E926" t="str">
            <v>Camela</v>
          </cell>
          <cell r="F926" t="str">
            <v>Dela Cruz</v>
          </cell>
          <cell r="G926" t="str">
            <v>Mela</v>
          </cell>
          <cell r="H926" t="str">
            <v>0928-326-4463</v>
          </cell>
          <cell r="I926" t="str">
            <v>2000-07-08</v>
          </cell>
          <cell r="J926">
            <v>2</v>
          </cell>
          <cell r="K926">
            <v>1</v>
          </cell>
          <cell r="M926" t="str">
            <v>04-4572673-2</v>
          </cell>
          <cell r="N926" t="str">
            <v>--</v>
          </cell>
          <cell r="O926">
            <v>97</v>
          </cell>
          <cell r="P926">
            <v>489</v>
          </cell>
          <cell r="Q926">
            <v>58</v>
          </cell>
          <cell r="R926">
            <v>11</v>
          </cell>
          <cell r="S926">
            <v>0</v>
          </cell>
          <cell r="T926" t="str">
            <v>Gregoria D. Ramos
507 Purok 5, Malitlit,
Sta. Rosa City, Laguna
0921-228-5164</v>
          </cell>
          <cell r="U926" t="str">
            <v>2024-06-03</v>
          </cell>
        </row>
        <row r="927">
          <cell r="C927" t="str">
            <v>T085</v>
          </cell>
          <cell r="D927" t="str">
            <v>Leviste</v>
          </cell>
          <cell r="E927" t="str">
            <v>Paulo Jonathan</v>
          </cell>
          <cell r="F927" t="str">
            <v>Nora</v>
          </cell>
          <cell r="G927" t="str">
            <v>Pau</v>
          </cell>
          <cell r="H927" t="str">
            <v>0916-439-9193</v>
          </cell>
          <cell r="I927" t="str">
            <v>2001-05-01</v>
          </cell>
          <cell r="J927">
            <v>1</v>
          </cell>
          <cell r="K927">
            <v>1</v>
          </cell>
          <cell r="M927" t="str">
            <v>04-4812087-2</v>
          </cell>
          <cell r="N927" t="str">
            <v>773-994-810</v>
          </cell>
          <cell r="O927">
            <v>86</v>
          </cell>
          <cell r="P927">
            <v>499</v>
          </cell>
          <cell r="Q927">
            <v>66</v>
          </cell>
          <cell r="R927">
            <v>12</v>
          </cell>
          <cell r="S927">
            <v>0</v>
          </cell>
          <cell r="T927" t="str">
            <v>Pedrito V. Leviste
126 San Pedro 1,
Malvar, Batangas
0917-522-1255</v>
          </cell>
          <cell r="U927" t="str">
            <v>2024-06-13</v>
          </cell>
        </row>
        <row r="928">
          <cell r="C928" t="str">
            <v>T087</v>
          </cell>
          <cell r="D928" t="str">
            <v>Racoma</v>
          </cell>
          <cell r="E928" t="str">
            <v>John Louie</v>
          </cell>
          <cell r="F928" t="str">
            <v>Ulat</v>
          </cell>
          <cell r="G928" t="str">
            <v>Louie</v>
          </cell>
          <cell r="H928" t="str">
            <v>0930-465-8062</v>
          </cell>
          <cell r="I928" t="str">
            <v>2000-12-03</v>
          </cell>
          <cell r="J928">
            <v>1</v>
          </cell>
          <cell r="K928">
            <v>1</v>
          </cell>
          <cell r="M928" t="str">
            <v>04-4812143-1</v>
          </cell>
          <cell r="N928" t="str">
            <v>651-867-595</v>
          </cell>
          <cell r="O928">
            <v>86</v>
          </cell>
          <cell r="P928">
            <v>148</v>
          </cell>
          <cell r="Q928">
            <v>29</v>
          </cell>
          <cell r="R928">
            <v>6</v>
          </cell>
          <cell r="S928">
            <v>0</v>
          </cell>
          <cell r="T928" t="str">
            <v>Jovelyn R. Capati
Blk 3 Lot 3 Garden Villas 2,
Macabling, Sta. Rosa City, Laguna
0981-258-7894</v>
          </cell>
          <cell r="U928" t="str">
            <v>2024-06-25</v>
          </cell>
        </row>
        <row r="929">
          <cell r="C929" t="str">
            <v>T088</v>
          </cell>
          <cell r="D929" t="str">
            <v>Manalo</v>
          </cell>
          <cell r="E929" t="str">
            <v>Angelou Dawn</v>
          </cell>
          <cell r="F929" t="str">
            <v>Mangubat</v>
          </cell>
          <cell r="G929" t="str">
            <v>Dawn</v>
          </cell>
          <cell r="H929">
            <v>9957800738</v>
          </cell>
          <cell r="I929" t="str">
            <v>1999-03-12</v>
          </cell>
          <cell r="J929">
            <v>2</v>
          </cell>
          <cell r="K929">
            <v>1</v>
          </cell>
          <cell r="M929" t="str">
            <v>34-9461499-9</v>
          </cell>
          <cell r="N929" t="str">
            <v>766-306-930</v>
          </cell>
          <cell r="O929">
            <v>97</v>
          </cell>
          <cell r="P929">
            <v>500</v>
          </cell>
          <cell r="Q929">
            <v>65</v>
          </cell>
          <cell r="R929">
            <v>12</v>
          </cell>
          <cell r="S929">
            <v>0</v>
          </cell>
          <cell r="T929" t="str">
            <v>Princess Erica F. Olquin
073 San Fernando, Malvar, Batangas
0936-977-1783</v>
          </cell>
          <cell r="U929" t="str">
            <v>2024-07-02</v>
          </cell>
        </row>
        <row r="930">
          <cell r="C930" t="str">
            <v>T089</v>
          </cell>
          <cell r="D930" t="str">
            <v>De La PeÃ±a</v>
          </cell>
          <cell r="E930" t="str">
            <v>Hazelle</v>
          </cell>
          <cell r="F930" t="str">
            <v>De Los Reyes</v>
          </cell>
          <cell r="G930" t="str">
            <v>Zelle</v>
          </cell>
          <cell r="H930" t="str">
            <v>0991-531-6859</v>
          </cell>
          <cell r="I930" t="str">
            <v>2000-12-27</v>
          </cell>
          <cell r="J930">
            <v>2</v>
          </cell>
          <cell r="K930">
            <v>1</v>
          </cell>
          <cell r="M930" t="str">
            <v>04-4237517-3</v>
          </cell>
          <cell r="N930" t="str">
            <v>--</v>
          </cell>
          <cell r="O930">
            <v>97</v>
          </cell>
          <cell r="P930">
            <v>468</v>
          </cell>
          <cell r="Q930">
            <v>35</v>
          </cell>
          <cell r="R930">
            <v>8</v>
          </cell>
          <cell r="S930">
            <v>0</v>
          </cell>
          <cell r="T930" t="str">
            <v>Michelle D. De la PeÃ±a
Blk 4 Lot 7 San Cristobal,
Calamba City, Laguna
0956-255-4015</v>
          </cell>
          <cell r="U930" t="str">
            <v>2024-07-11</v>
          </cell>
        </row>
        <row r="931">
          <cell r="C931" t="str">
            <v>T090</v>
          </cell>
          <cell r="D931" t="str">
            <v>Gasit</v>
          </cell>
          <cell r="E931" t="str">
            <v>Jacob Andrew</v>
          </cell>
          <cell r="F931" t="str">
            <v>Nazareth</v>
          </cell>
          <cell r="G931" t="str">
            <v>Jacob</v>
          </cell>
          <cell r="H931" t="str">
            <v>0977-097-1627</v>
          </cell>
          <cell r="I931" t="str">
            <v>1999-08-21</v>
          </cell>
          <cell r="J931">
            <v>1</v>
          </cell>
          <cell r="K931">
            <v>1</v>
          </cell>
          <cell r="M931" t="str">
            <v>04-4764648-3</v>
          </cell>
          <cell r="N931" t="str">
            <v>653-798-195</v>
          </cell>
          <cell r="O931">
            <v>100</v>
          </cell>
          <cell r="P931">
            <v>484</v>
          </cell>
          <cell r="Q931">
            <v>60</v>
          </cell>
          <cell r="R931">
            <v>11</v>
          </cell>
          <cell r="S931">
            <v>0</v>
          </cell>
          <cell r="T931" t="str">
            <v>Mary Jane N. Gasit
Blk 2 Lot 12 Agoho St, Amaia Scapes Lipa,
Dagatan, Lipa City
0916-796-9345</v>
          </cell>
          <cell r="U931" t="str">
            <v>2024-07-22</v>
          </cell>
        </row>
        <row r="932">
          <cell r="C932" t="str">
            <v>T091</v>
          </cell>
          <cell r="D932" t="str">
            <v>Altea</v>
          </cell>
          <cell r="E932" t="str">
            <v>Allison</v>
          </cell>
          <cell r="F932" t="str">
            <v>Ross</v>
          </cell>
          <cell r="G932" t="str">
            <v>Hal</v>
          </cell>
          <cell r="H932" t="str">
            <v>0915-056-0921</v>
          </cell>
          <cell r="I932" t="str">
            <v>1997-06-27</v>
          </cell>
          <cell r="J932">
            <v>1</v>
          </cell>
          <cell r="K932">
            <v>1</v>
          </cell>
          <cell r="M932" t="str">
            <v>34-9986996-9</v>
          </cell>
          <cell r="N932" t="str">
            <v>513-962-745</v>
          </cell>
          <cell r="O932">
            <v>109</v>
          </cell>
          <cell r="P932">
            <v>487</v>
          </cell>
          <cell r="Q932">
            <v>61</v>
          </cell>
          <cell r="R932">
            <v>11</v>
          </cell>
          <cell r="S932">
            <v>0</v>
          </cell>
          <cell r="T932" t="str">
            <v>Sherill R. Altea
Blk5 Lot21 Ph1 San Lorenzo,
Sta. Rosa City, Laguna
0915-966-6938</v>
          </cell>
          <cell r="U932" t="str">
            <v>2024-08-02</v>
          </cell>
        </row>
        <row r="933">
          <cell r="C933" t="str">
            <v>T092</v>
          </cell>
          <cell r="D933" t="str">
            <v>San Juan</v>
          </cell>
          <cell r="E933" t="str">
            <v>Mhay Ann</v>
          </cell>
          <cell r="F933" t="str">
            <v>Aldover</v>
          </cell>
          <cell r="G933" t="str">
            <v>Anne</v>
          </cell>
          <cell r="H933" t="str">
            <v>0932-673-8198</v>
          </cell>
          <cell r="I933" t="str">
            <v>1989-05-14</v>
          </cell>
          <cell r="J933">
            <v>2</v>
          </cell>
          <cell r="K933">
            <v>2</v>
          </cell>
          <cell r="L933" t="str">
            <v>Ferdinand Dimalibot San Juan</v>
          </cell>
          <cell r="M933" t="str">
            <v>04-2240144-9</v>
          </cell>
          <cell r="N933" t="str">
            <v>421-811-474</v>
          </cell>
          <cell r="O933">
            <v>53</v>
          </cell>
          <cell r="P933">
            <v>502</v>
          </cell>
          <cell r="Q933">
            <v>62</v>
          </cell>
          <cell r="R933">
            <v>12</v>
          </cell>
          <cell r="S933">
            <v>0</v>
          </cell>
          <cell r="T933" t="str">
            <v>Ferdinand D. San Juan
Blk15 Lot14 Gran Avila Subd,
Majada Out, Calamba, Laguna
0991-525-6746</v>
          </cell>
          <cell r="U933" t="str">
            <v>2024-08-05</v>
          </cell>
        </row>
        <row r="934">
          <cell r="C934" t="str">
            <v>T093</v>
          </cell>
          <cell r="D934" t="str">
            <v>Azurin</v>
          </cell>
          <cell r="E934" t="str">
            <v>James</v>
          </cell>
          <cell r="F934" t="str">
            <v>Dolot</v>
          </cell>
          <cell r="G934" t="str">
            <v>James</v>
          </cell>
          <cell r="H934" t="str">
            <v>0966-885-9690</v>
          </cell>
          <cell r="I934" t="str">
            <v>2000-03-31</v>
          </cell>
          <cell r="J934">
            <v>1</v>
          </cell>
          <cell r="K934">
            <v>1</v>
          </cell>
          <cell r="M934" t="str">
            <v>04-4388842-3</v>
          </cell>
          <cell r="N934" t="str">
            <v>635-134-238</v>
          </cell>
          <cell r="O934">
            <v>86</v>
          </cell>
          <cell r="P934">
            <v>485</v>
          </cell>
          <cell r="Q934">
            <v>59</v>
          </cell>
          <cell r="R934">
            <v>11</v>
          </cell>
          <cell r="S934">
            <v>0</v>
          </cell>
          <cell r="T934" t="str">
            <v>Edna D. Azurin
Sitio Lagundi, Banaba West, Batangas City
0948-113-4038</v>
          </cell>
          <cell r="U934" t="str">
            <v>2024-08-07</v>
          </cell>
        </row>
        <row r="935">
          <cell r="C935" t="str">
            <v>T094</v>
          </cell>
          <cell r="D935" t="str">
            <v>Luis</v>
          </cell>
          <cell r="E935" t="str">
            <v>Christian</v>
          </cell>
          <cell r="F935" t="str">
            <v>Dela Roca</v>
          </cell>
          <cell r="G935" t="str">
            <v>Tano</v>
          </cell>
          <cell r="H935" t="str">
            <v>0991-3973618</v>
          </cell>
          <cell r="I935" t="str">
            <v>2000-11-26</v>
          </cell>
          <cell r="J935">
            <v>1</v>
          </cell>
          <cell r="K935">
            <v>1</v>
          </cell>
          <cell r="M935" t="str">
            <v>34-9679895-2</v>
          </cell>
          <cell r="N935" t="str">
            <v>658-397-871</v>
          </cell>
          <cell r="O935">
            <v>86</v>
          </cell>
          <cell r="P935">
            <v>486</v>
          </cell>
          <cell r="Q935">
            <v>59</v>
          </cell>
          <cell r="R935">
            <v>11</v>
          </cell>
          <cell r="S935">
            <v>0</v>
          </cell>
          <cell r="T935" t="str">
            <v>Edlyn D. Luis
Blk21 Lot26 Hongkong Village,
Banay-banay, Cabuyao City, Laguna
0921-869-8946</v>
          </cell>
          <cell r="U935" t="str">
            <v>2024-08-12</v>
          </cell>
        </row>
        <row r="936">
          <cell r="C936" t="str">
            <v>T095</v>
          </cell>
          <cell r="D936" t="str">
            <v>Cabatbat</v>
          </cell>
          <cell r="E936" t="str">
            <v>Eunice Reign</v>
          </cell>
          <cell r="F936" t="str">
            <v>Masas</v>
          </cell>
          <cell r="G936" t="str">
            <v>Eunice</v>
          </cell>
          <cell r="H936" t="str">
            <v>0966-810-7332</v>
          </cell>
          <cell r="I936" t="str">
            <v>2002-05-16</v>
          </cell>
          <cell r="J936">
            <v>2</v>
          </cell>
          <cell r="K936">
            <v>1</v>
          </cell>
          <cell r="M936" t="str">
            <v>04-4862028-8</v>
          </cell>
          <cell r="N936" t="str">
            <v>657-064-919</v>
          </cell>
          <cell r="O936">
            <v>101</v>
          </cell>
          <cell r="P936">
            <v>406</v>
          </cell>
          <cell r="Q936">
            <v>51</v>
          </cell>
          <cell r="R936">
            <v>1</v>
          </cell>
          <cell r="S936">
            <v>0</v>
          </cell>
          <cell r="T936" t="str">
            <v>Redmond J. Cabatbat
P1 B5 L23 Lakesidenest,
Banay-banay, Cabuyao, Laguna
0905-412-6241</v>
          </cell>
          <cell r="U936" t="str">
            <v>2024-08-15</v>
          </cell>
        </row>
        <row r="937">
          <cell r="C937" t="str">
            <v>T096</v>
          </cell>
          <cell r="D937" t="str">
            <v>Manzano</v>
          </cell>
          <cell r="E937" t="str">
            <v>Cassandra Faye</v>
          </cell>
          <cell r="F937" t="str">
            <v>Valdez</v>
          </cell>
          <cell r="G937" t="str">
            <v>Cass</v>
          </cell>
          <cell r="H937" t="str">
            <v>0967-290-5213</v>
          </cell>
          <cell r="I937" t="str">
            <v>2002-09-23</v>
          </cell>
          <cell r="J937">
            <v>2</v>
          </cell>
          <cell r="K937">
            <v>1</v>
          </cell>
          <cell r="M937" t="str">
            <v>04-4806775-7</v>
          </cell>
          <cell r="N937" t="str">
            <v>657-910-469</v>
          </cell>
          <cell r="O937">
            <v>86</v>
          </cell>
          <cell r="P937">
            <v>478</v>
          </cell>
          <cell r="Q937">
            <v>54</v>
          </cell>
          <cell r="R937">
            <v>9</v>
          </cell>
          <cell r="S937">
            <v>0</v>
          </cell>
          <cell r="T937" t="str">
            <v>Centheena Marie V. Manzano
901 Mabitac St, Bgy. Niugan,
Cabuyao City, Laguna
0936-521-5291</v>
          </cell>
          <cell r="U937" t="str">
            <v>2024-08-28</v>
          </cell>
        </row>
        <row r="938">
          <cell r="C938" t="str">
            <v>T097</v>
          </cell>
          <cell r="D938" t="str">
            <v>Capole</v>
          </cell>
          <cell r="E938" t="str">
            <v>Emanuel Josh</v>
          </cell>
          <cell r="F938" t="str">
            <v>Alojado</v>
          </cell>
          <cell r="G938" t="str">
            <v>EJ</v>
          </cell>
          <cell r="H938" t="str">
            <v>0999-704-9517</v>
          </cell>
          <cell r="I938" t="str">
            <v>2002-09-28</v>
          </cell>
          <cell r="J938">
            <v>1</v>
          </cell>
          <cell r="K938">
            <v>1</v>
          </cell>
          <cell r="M938" t="str">
            <v>04-4885703-5</v>
          </cell>
          <cell r="N938" t="str">
            <v>658-280-544</v>
          </cell>
          <cell r="O938">
            <v>109</v>
          </cell>
          <cell r="P938">
            <v>487</v>
          </cell>
          <cell r="Q938">
            <v>61</v>
          </cell>
          <cell r="R938">
            <v>11</v>
          </cell>
          <cell r="S938">
            <v>0</v>
          </cell>
          <cell r="T938" t="str">
            <v>Dante F. Capole
Blk7 Lot13 Ph2 Langka St Alfonso Homes 2,
Bgy. Sinalhan, Sta. Rosa, Laguna
0919-256-2894</v>
          </cell>
          <cell r="U938" t="str">
            <v>2024-09-02</v>
          </cell>
        </row>
        <row r="939">
          <cell r="C939" t="str">
            <v>T098</v>
          </cell>
          <cell r="D939" t="str">
            <v>Pahutan</v>
          </cell>
          <cell r="E939" t="str">
            <v>Bea Nicole</v>
          </cell>
          <cell r="F939" t="str">
            <v>Reyes</v>
          </cell>
          <cell r="G939" t="str">
            <v>Bea</v>
          </cell>
          <cell r="H939" t="str">
            <v>0965-702-8438</v>
          </cell>
          <cell r="I939" t="str">
            <v>2002-03-02</v>
          </cell>
          <cell r="J939">
            <v>2</v>
          </cell>
          <cell r="K939">
            <v>1</v>
          </cell>
          <cell r="M939" t="str">
            <v>04-4882766-7</v>
          </cell>
          <cell r="N939" t="str">
            <v>658-101-351</v>
          </cell>
          <cell r="O939">
            <v>96</v>
          </cell>
          <cell r="P939">
            <v>448</v>
          </cell>
          <cell r="Q939">
            <v>22</v>
          </cell>
          <cell r="R939">
            <v>4</v>
          </cell>
          <cell r="S939">
            <v>0</v>
          </cell>
          <cell r="T939" t="str">
            <v>Rosanna R. Pahutan
JC Rebong St, Nanhaya,
Victoria, Laguna
0965-702-8438</v>
          </cell>
          <cell r="U939" t="str">
            <v>2024-09-03</v>
          </cell>
        </row>
        <row r="940">
          <cell r="C940" t="str">
            <v>T099</v>
          </cell>
          <cell r="D940" t="str">
            <v>Camara</v>
          </cell>
          <cell r="E940" t="str">
            <v>John Brix</v>
          </cell>
          <cell r="F940" t="str">
            <v>Tumacmol</v>
          </cell>
          <cell r="G940" t="str">
            <v>Brix</v>
          </cell>
          <cell r="H940" t="str">
            <v>0917-454-7144</v>
          </cell>
          <cell r="I940" t="str">
            <v>2002-06-18</v>
          </cell>
          <cell r="J940">
            <v>1</v>
          </cell>
          <cell r="K940">
            <v>1</v>
          </cell>
          <cell r="M940" t="str">
            <v>04-4862075-4</v>
          </cell>
          <cell r="N940" t="str">
            <v>657-214-521</v>
          </cell>
          <cell r="O940">
            <v>32</v>
          </cell>
          <cell r="P940">
            <v>375</v>
          </cell>
          <cell r="Q940">
            <v>51</v>
          </cell>
          <cell r="R940">
            <v>1</v>
          </cell>
          <cell r="S940">
            <v>0</v>
          </cell>
          <cell r="T940" t="str">
            <v>Sheryl T. Camara
Blk41 Lot99 Southville 1,
Niugan, Cabuyao, Laguna
0967-587-8091</v>
          </cell>
          <cell r="U940" t="str">
            <v>2024-09-09</v>
          </cell>
        </row>
        <row r="941">
          <cell r="C941" t="str">
            <v>T100</v>
          </cell>
          <cell r="D941" t="str">
            <v>Butal</v>
          </cell>
          <cell r="E941" t="str">
            <v>Reggie Mae</v>
          </cell>
          <cell r="F941" t="str">
            <v>Andrino</v>
          </cell>
          <cell r="G941" t="str">
            <v>Regg</v>
          </cell>
          <cell r="H941" t="str">
            <v>0994-410-5342</v>
          </cell>
          <cell r="I941" t="str">
            <v>2002-04-08</v>
          </cell>
          <cell r="J941">
            <v>2</v>
          </cell>
          <cell r="K941">
            <v>1</v>
          </cell>
          <cell r="M941" t="str">
            <v>34-8660508-4</v>
          </cell>
          <cell r="N941" t="str">
            <v>360-826-710</v>
          </cell>
          <cell r="O941">
            <v>52</v>
          </cell>
          <cell r="P941">
            <v>472</v>
          </cell>
          <cell r="Q941">
            <v>34</v>
          </cell>
          <cell r="R941">
            <v>8</v>
          </cell>
          <cell r="S941">
            <v>0</v>
          </cell>
          <cell r="T941" t="str">
            <v>Renato G. Butal
B12 L5 Bougainvilla Homes Subd.
Brgy. BaÃ±adero Calamba City Laguna
0928-518-3750</v>
          </cell>
          <cell r="U941" t="str">
            <v>2024-09-16</v>
          </cell>
        </row>
        <row r="942">
          <cell r="C942" t="str">
            <v>T101</v>
          </cell>
          <cell r="D942" t="str">
            <v>Hermosa</v>
          </cell>
          <cell r="E942" t="str">
            <v>Jamil</v>
          </cell>
          <cell r="F942" t="str">
            <v>Mendoza</v>
          </cell>
          <cell r="G942" t="str">
            <v>Jam</v>
          </cell>
          <cell r="H942" t="str">
            <v>0992-653-9508</v>
          </cell>
          <cell r="I942" t="str">
            <v>2002-01-12</v>
          </cell>
          <cell r="J942">
            <v>1</v>
          </cell>
          <cell r="K942">
            <v>1</v>
          </cell>
          <cell r="M942" t="str">
            <v>04-4904264-5</v>
          </cell>
          <cell r="N942" t="str">
            <v>658-450-882</v>
          </cell>
          <cell r="O942">
            <v>86</v>
          </cell>
          <cell r="P942">
            <v>485</v>
          </cell>
          <cell r="Q942">
            <v>59</v>
          </cell>
          <cell r="R942">
            <v>11</v>
          </cell>
          <cell r="S942">
            <v>0</v>
          </cell>
          <cell r="T942" t="str">
            <v>Marissa Hermosa
L11 B20 Ph2 Lakeside Nest Subd. Brgy. Banay-banay Cabuyao City Laguna
0999-418-1980</v>
          </cell>
          <cell r="U942" t="str">
            <v>2024-09-16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6"/>
  <sheetViews>
    <sheetView tabSelected="1" topLeftCell="A581" workbookViewId="0">
      <selection activeCell="L610" sqref="L610"/>
    </sheetView>
  </sheetViews>
  <sheetFormatPr defaultRowHeight="14.25"/>
  <cols>
    <col min="1" max="1" width="7.75" customWidth="1"/>
    <col min="2" max="2" width="10.625" customWidth="1"/>
    <col min="3" max="3" width="13.25" customWidth="1"/>
    <col min="4" max="4" width="11.375" customWidth="1"/>
    <col min="5" max="5" width="18.125" bestFit="1" customWidth="1"/>
    <col min="6" max="6" width="17.375" bestFit="1" customWidth="1"/>
    <col min="7" max="7" width="10.125" customWidth="1"/>
    <col min="8" max="8" width="10" customWidth="1"/>
    <col min="9" max="10" width="9.625" customWidth="1"/>
  </cols>
  <sheetData>
    <row r="1" spans="1:10" ht="20.25">
      <c r="A1" s="1" t="s">
        <v>0</v>
      </c>
    </row>
    <row r="2" spans="1:10" ht="27.75">
      <c r="A2" s="2" t="s">
        <v>2901</v>
      </c>
    </row>
    <row r="3" spans="1:10" ht="20.25">
      <c r="A3" s="1" t="s">
        <v>2904</v>
      </c>
    </row>
    <row r="4" spans="1:10" ht="20.25">
      <c r="A4" s="1" t="s">
        <v>2902</v>
      </c>
    </row>
    <row r="5" spans="1:10" ht="15" thickBot="1"/>
    <row r="6" spans="1:10" ht="21.75" thickTop="1" thickBot="1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2903</v>
      </c>
      <c r="J6" s="3" t="s">
        <v>9</v>
      </c>
    </row>
    <row r="7" spans="1:10" ht="15.75" thickTop="1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t="s">
        <v>15</v>
      </c>
      <c r="G7" s="5">
        <v>922.9</v>
      </c>
      <c r="H7" s="5">
        <v>0</v>
      </c>
      <c r="I7" s="5">
        <v>0</v>
      </c>
      <c r="J7" s="5">
        <f>G7+H7+I7</f>
        <v>922.9</v>
      </c>
    </row>
    <row r="8" spans="1:10" ht="15">
      <c r="A8" s="4" t="s">
        <v>16</v>
      </c>
      <c r="B8" s="4" t="s">
        <v>17</v>
      </c>
      <c r="C8" s="4" t="s">
        <v>18</v>
      </c>
      <c r="D8" s="4" t="s">
        <v>19</v>
      </c>
      <c r="E8" s="4" t="s">
        <v>14</v>
      </c>
      <c r="F8" t="s">
        <v>20</v>
      </c>
      <c r="G8" s="5">
        <v>922.9</v>
      </c>
      <c r="H8" s="5">
        <v>0</v>
      </c>
      <c r="I8" s="5">
        <v>0</v>
      </c>
      <c r="J8" s="5">
        <f t="shared" ref="J8:J71" si="0">G8+H8+I8</f>
        <v>922.9</v>
      </c>
    </row>
    <row r="9" spans="1:10" ht="15">
      <c r="A9" s="4" t="s">
        <v>21</v>
      </c>
      <c r="B9" s="4" t="s">
        <v>22</v>
      </c>
      <c r="C9" s="4" t="s">
        <v>23</v>
      </c>
      <c r="D9" s="4" t="s">
        <v>24</v>
      </c>
      <c r="E9" s="4" t="s">
        <v>14</v>
      </c>
      <c r="F9" t="s">
        <v>25</v>
      </c>
      <c r="G9" s="5">
        <v>0</v>
      </c>
      <c r="H9" s="5">
        <v>0</v>
      </c>
      <c r="I9" s="5">
        <v>0</v>
      </c>
      <c r="J9" s="5">
        <f t="shared" si="0"/>
        <v>0</v>
      </c>
    </row>
    <row r="10" spans="1:10" ht="15">
      <c r="A10" s="4" t="s">
        <v>26</v>
      </c>
      <c r="B10" s="4" t="s">
        <v>27</v>
      </c>
      <c r="C10" s="4" t="s">
        <v>28</v>
      </c>
      <c r="D10" s="4" t="s">
        <v>29</v>
      </c>
      <c r="E10" s="4" t="s">
        <v>30</v>
      </c>
      <c r="F10" t="s">
        <v>31</v>
      </c>
      <c r="G10" s="5">
        <v>0</v>
      </c>
      <c r="H10" s="5">
        <v>0</v>
      </c>
      <c r="I10" s="5">
        <v>0</v>
      </c>
      <c r="J10" s="5">
        <f t="shared" si="0"/>
        <v>0</v>
      </c>
    </row>
    <row r="11" spans="1:10" ht="15">
      <c r="A11" s="4" t="s">
        <v>32</v>
      </c>
      <c r="B11" s="4" t="s">
        <v>33</v>
      </c>
      <c r="C11" s="4" t="s">
        <v>34</v>
      </c>
      <c r="D11" s="4" t="s">
        <v>35</v>
      </c>
      <c r="E11" s="4" t="s">
        <v>36</v>
      </c>
      <c r="F11" t="s">
        <v>37</v>
      </c>
      <c r="G11" s="5">
        <v>922.9</v>
      </c>
      <c r="H11" s="5">
        <v>0</v>
      </c>
      <c r="I11" s="5">
        <v>0</v>
      </c>
      <c r="J11" s="5">
        <f t="shared" si="0"/>
        <v>922.9</v>
      </c>
    </row>
    <row r="12" spans="1:10" ht="15">
      <c r="A12" s="4" t="s">
        <v>38</v>
      </c>
      <c r="B12" s="4" t="s">
        <v>39</v>
      </c>
      <c r="C12" s="4" t="s">
        <v>40</v>
      </c>
      <c r="D12" s="4" t="s">
        <v>41</v>
      </c>
      <c r="E12" s="4" t="s">
        <v>42</v>
      </c>
      <c r="F12" t="s">
        <v>43</v>
      </c>
      <c r="G12" s="5">
        <v>853.68</v>
      </c>
      <c r="H12" s="5">
        <v>0</v>
      </c>
      <c r="I12" s="5">
        <v>0</v>
      </c>
      <c r="J12" s="5">
        <f t="shared" si="0"/>
        <v>853.68</v>
      </c>
    </row>
    <row r="13" spans="1:10" ht="15">
      <c r="A13" s="4" t="s">
        <v>44</v>
      </c>
      <c r="B13" s="4" t="s">
        <v>45</v>
      </c>
      <c r="C13" s="4" t="s">
        <v>46</v>
      </c>
      <c r="D13" s="4" t="s">
        <v>47</v>
      </c>
      <c r="E13" s="4" t="s">
        <v>48</v>
      </c>
      <c r="F13" t="s">
        <v>49</v>
      </c>
      <c r="G13" s="5">
        <v>0</v>
      </c>
      <c r="H13" s="5">
        <v>0</v>
      </c>
      <c r="I13" s="5">
        <v>0</v>
      </c>
      <c r="J13" s="5">
        <f t="shared" si="0"/>
        <v>0</v>
      </c>
    </row>
    <row r="14" spans="1:10" ht="15">
      <c r="A14" s="4" t="s">
        <v>50</v>
      </c>
      <c r="B14" s="4" t="s">
        <v>51</v>
      </c>
      <c r="C14" s="4" t="s">
        <v>52</v>
      </c>
      <c r="D14" s="4" t="s">
        <v>53</v>
      </c>
      <c r="E14" s="4" t="s">
        <v>54</v>
      </c>
      <c r="F14" t="s">
        <v>55</v>
      </c>
      <c r="G14" s="5">
        <v>0</v>
      </c>
      <c r="H14" s="5">
        <v>0</v>
      </c>
      <c r="I14" s="5">
        <v>0</v>
      </c>
      <c r="J14" s="5">
        <f t="shared" si="0"/>
        <v>0</v>
      </c>
    </row>
    <row r="15" spans="1:10" ht="15">
      <c r="A15" s="4" t="s">
        <v>56</v>
      </c>
      <c r="B15" s="4" t="s">
        <v>57</v>
      </c>
      <c r="C15" s="4" t="s">
        <v>58</v>
      </c>
      <c r="D15" s="4" t="s">
        <v>59</v>
      </c>
      <c r="E15" s="4" t="s">
        <v>60</v>
      </c>
      <c r="F15" t="s">
        <v>61</v>
      </c>
      <c r="G15" s="5">
        <v>922.9</v>
      </c>
      <c r="H15" s="5">
        <v>0</v>
      </c>
      <c r="I15" s="5">
        <v>0</v>
      </c>
      <c r="J15" s="5">
        <f t="shared" si="0"/>
        <v>922.9</v>
      </c>
    </row>
    <row r="16" spans="1:10" ht="15">
      <c r="A16" s="4" t="s">
        <v>62</v>
      </c>
      <c r="B16" s="4" t="s">
        <v>63</v>
      </c>
      <c r="C16" s="4" t="s">
        <v>64</v>
      </c>
      <c r="D16" s="4" t="s">
        <v>65</v>
      </c>
      <c r="E16" s="4" t="s">
        <v>66</v>
      </c>
      <c r="F16" t="s">
        <v>67</v>
      </c>
      <c r="G16" s="5">
        <v>0</v>
      </c>
      <c r="H16" s="5">
        <v>0</v>
      </c>
      <c r="I16" s="5">
        <v>0</v>
      </c>
      <c r="J16" s="5">
        <f t="shared" si="0"/>
        <v>0</v>
      </c>
    </row>
    <row r="17" spans="1:10" ht="15">
      <c r="A17" s="4" t="s">
        <v>68</v>
      </c>
      <c r="B17" s="4" t="s">
        <v>69</v>
      </c>
      <c r="C17" s="4" t="s">
        <v>58</v>
      </c>
      <c r="D17" s="4" t="s">
        <v>70</v>
      </c>
      <c r="E17" s="4" t="s">
        <v>71</v>
      </c>
      <c r="F17" t="s">
        <v>72</v>
      </c>
      <c r="G17" s="5">
        <v>0</v>
      </c>
      <c r="H17" s="5">
        <v>0</v>
      </c>
      <c r="I17" s="5">
        <v>0</v>
      </c>
      <c r="J17" s="5">
        <f t="shared" si="0"/>
        <v>0</v>
      </c>
    </row>
    <row r="18" spans="1:10" ht="15">
      <c r="A18" s="4" t="s">
        <v>73</v>
      </c>
      <c r="B18" s="4" t="s">
        <v>74</v>
      </c>
      <c r="C18" s="4" t="s">
        <v>75</v>
      </c>
      <c r="D18" s="4" t="s">
        <v>76</v>
      </c>
      <c r="E18" s="4" t="s">
        <v>77</v>
      </c>
      <c r="F18" t="s">
        <v>78</v>
      </c>
      <c r="G18" s="5">
        <v>922.9</v>
      </c>
      <c r="H18" s="5">
        <v>0</v>
      </c>
      <c r="I18" s="5">
        <v>0</v>
      </c>
      <c r="J18" s="5">
        <f t="shared" si="0"/>
        <v>922.9</v>
      </c>
    </row>
    <row r="19" spans="1:10" ht="15">
      <c r="A19" s="4" t="s">
        <v>79</v>
      </c>
      <c r="B19" s="4" t="s">
        <v>80</v>
      </c>
      <c r="C19" s="4" t="s">
        <v>81</v>
      </c>
      <c r="D19" s="4" t="s">
        <v>82</v>
      </c>
      <c r="E19" s="4" t="s">
        <v>83</v>
      </c>
      <c r="F19" t="s">
        <v>84</v>
      </c>
      <c r="G19" s="5">
        <v>0</v>
      </c>
      <c r="H19" s="5">
        <v>0</v>
      </c>
      <c r="I19" s="5">
        <v>0</v>
      </c>
      <c r="J19" s="5">
        <f t="shared" si="0"/>
        <v>0</v>
      </c>
    </row>
    <row r="20" spans="1:10" ht="15">
      <c r="A20" s="4" t="s">
        <v>85</v>
      </c>
      <c r="B20" s="4" t="s">
        <v>86</v>
      </c>
      <c r="C20" s="4" t="s">
        <v>87</v>
      </c>
      <c r="D20" s="4" t="s">
        <v>88</v>
      </c>
      <c r="E20" s="4" t="s">
        <v>89</v>
      </c>
      <c r="F20" t="s">
        <v>90</v>
      </c>
      <c r="G20" s="5">
        <v>0</v>
      </c>
      <c r="H20" s="5">
        <v>443.21</v>
      </c>
      <c r="I20" s="5">
        <v>0</v>
      </c>
      <c r="J20" s="5">
        <f t="shared" si="0"/>
        <v>443.21</v>
      </c>
    </row>
    <row r="21" spans="1:10" ht="15">
      <c r="A21" s="4" t="s">
        <v>91</v>
      </c>
      <c r="B21" s="4" t="s">
        <v>92</v>
      </c>
      <c r="C21" s="4" t="s">
        <v>93</v>
      </c>
      <c r="D21" s="4" t="s">
        <v>94</v>
      </c>
      <c r="E21" s="4" t="s">
        <v>95</v>
      </c>
      <c r="F21" t="s">
        <v>96</v>
      </c>
      <c r="G21" s="5">
        <v>899.83</v>
      </c>
      <c r="H21" s="5">
        <v>0</v>
      </c>
      <c r="I21" s="5">
        <v>0</v>
      </c>
      <c r="J21" s="5">
        <f t="shared" si="0"/>
        <v>899.83</v>
      </c>
    </row>
    <row r="22" spans="1:10" ht="15">
      <c r="A22" s="4" t="s">
        <v>97</v>
      </c>
      <c r="B22" s="4" t="s">
        <v>98</v>
      </c>
      <c r="C22" s="4" t="s">
        <v>99</v>
      </c>
      <c r="D22" s="4" t="s">
        <v>100</v>
      </c>
      <c r="E22" s="4" t="s">
        <v>101</v>
      </c>
      <c r="F22" t="s">
        <v>102</v>
      </c>
      <c r="G22" s="5">
        <v>876.76</v>
      </c>
      <c r="H22" s="5">
        <v>0</v>
      </c>
      <c r="I22" s="5">
        <v>0</v>
      </c>
      <c r="J22" s="5">
        <f t="shared" si="0"/>
        <v>876.76</v>
      </c>
    </row>
    <row r="23" spans="1:10" ht="15">
      <c r="A23" s="4" t="s">
        <v>103</v>
      </c>
      <c r="B23" s="4" t="s">
        <v>104</v>
      </c>
      <c r="C23" s="4" t="s">
        <v>105</v>
      </c>
      <c r="D23" s="4" t="s">
        <v>106</v>
      </c>
      <c r="E23" s="4" t="s">
        <v>95</v>
      </c>
      <c r="F23" t="s">
        <v>107</v>
      </c>
      <c r="G23" s="5">
        <v>853.68</v>
      </c>
      <c r="H23" s="5">
        <v>0</v>
      </c>
      <c r="I23" s="5">
        <v>0</v>
      </c>
      <c r="J23" s="5">
        <f t="shared" si="0"/>
        <v>853.68</v>
      </c>
    </row>
    <row r="24" spans="1:10" ht="15">
      <c r="A24" s="4" t="s">
        <v>108</v>
      </c>
      <c r="B24" s="4" t="s">
        <v>109</v>
      </c>
      <c r="C24" s="4" t="s">
        <v>110</v>
      </c>
      <c r="D24" s="4" t="s">
        <v>111</v>
      </c>
      <c r="E24" s="4" t="s">
        <v>112</v>
      </c>
      <c r="F24" t="s">
        <v>113</v>
      </c>
      <c r="G24" s="5">
        <v>899.83</v>
      </c>
      <c r="H24" s="5">
        <v>0</v>
      </c>
      <c r="I24" s="5">
        <v>0</v>
      </c>
      <c r="J24" s="5">
        <f t="shared" si="0"/>
        <v>899.83</v>
      </c>
    </row>
    <row r="25" spans="1:10" ht="15">
      <c r="A25" s="4" t="s">
        <v>114</v>
      </c>
      <c r="B25" s="4" t="s">
        <v>115</v>
      </c>
      <c r="C25" s="4" t="s">
        <v>116</v>
      </c>
      <c r="D25" s="4" t="s">
        <v>117</v>
      </c>
      <c r="E25" s="4" t="s">
        <v>118</v>
      </c>
      <c r="F25" t="s">
        <v>119</v>
      </c>
      <c r="G25" s="5">
        <v>761.39</v>
      </c>
      <c r="H25" s="5">
        <v>0</v>
      </c>
      <c r="I25" s="5">
        <v>0</v>
      </c>
      <c r="J25" s="5">
        <f t="shared" si="0"/>
        <v>761.39</v>
      </c>
    </row>
    <row r="26" spans="1:10" ht="15">
      <c r="A26" s="4" t="s">
        <v>120</v>
      </c>
      <c r="B26" s="4" t="s">
        <v>121</v>
      </c>
      <c r="C26" s="4" t="s">
        <v>122</v>
      </c>
      <c r="D26" s="4" t="s">
        <v>123</v>
      </c>
      <c r="E26" s="4" t="s">
        <v>89</v>
      </c>
      <c r="F26" t="s">
        <v>124</v>
      </c>
      <c r="G26" s="5">
        <v>0</v>
      </c>
      <c r="H26" s="5">
        <v>0</v>
      </c>
      <c r="I26" s="5">
        <v>0</v>
      </c>
      <c r="J26" s="5">
        <f t="shared" si="0"/>
        <v>0</v>
      </c>
    </row>
    <row r="27" spans="1:10" ht="15">
      <c r="A27" s="4" t="s">
        <v>125</v>
      </c>
      <c r="B27" s="4" t="s">
        <v>126</v>
      </c>
      <c r="C27" s="4" t="s">
        <v>127</v>
      </c>
      <c r="D27" s="4" t="s">
        <v>128</v>
      </c>
      <c r="E27" s="4" t="s">
        <v>112</v>
      </c>
      <c r="F27" t="s">
        <v>129</v>
      </c>
      <c r="G27" s="5">
        <v>876.76</v>
      </c>
      <c r="H27" s="5">
        <v>0</v>
      </c>
      <c r="I27" s="5">
        <v>0</v>
      </c>
      <c r="J27" s="5">
        <f t="shared" si="0"/>
        <v>876.76</v>
      </c>
    </row>
    <row r="28" spans="1:10" ht="15">
      <c r="A28" s="4" t="s">
        <v>130</v>
      </c>
      <c r="B28" s="4" t="s">
        <v>131</v>
      </c>
      <c r="C28" s="4" t="s">
        <v>132</v>
      </c>
      <c r="D28" s="4" t="s">
        <v>133</v>
      </c>
      <c r="E28" s="4" t="s">
        <v>112</v>
      </c>
      <c r="F28" t="s">
        <v>134</v>
      </c>
      <c r="G28" s="5">
        <v>876.76</v>
      </c>
      <c r="H28" s="5">
        <v>0</v>
      </c>
      <c r="I28" s="5">
        <v>0</v>
      </c>
      <c r="J28" s="5">
        <f t="shared" si="0"/>
        <v>876.76</v>
      </c>
    </row>
    <row r="29" spans="1:10" ht="15">
      <c r="A29" s="4" t="s">
        <v>135</v>
      </c>
      <c r="B29" s="4" t="s">
        <v>136</v>
      </c>
      <c r="C29" s="4" t="s">
        <v>137</v>
      </c>
      <c r="D29" s="4" t="s">
        <v>138</v>
      </c>
      <c r="E29" s="4" t="s">
        <v>112</v>
      </c>
      <c r="F29" t="s">
        <v>139</v>
      </c>
      <c r="G29" s="5">
        <v>876.76</v>
      </c>
      <c r="H29" s="5">
        <v>0</v>
      </c>
      <c r="I29" s="5">
        <v>0</v>
      </c>
      <c r="J29" s="5">
        <f t="shared" si="0"/>
        <v>876.76</v>
      </c>
    </row>
    <row r="30" spans="1:10" ht="15">
      <c r="A30" s="4" t="s">
        <v>140</v>
      </c>
      <c r="B30" s="4" t="s">
        <v>141</v>
      </c>
      <c r="C30" s="4" t="s">
        <v>142</v>
      </c>
      <c r="D30" s="4" t="s">
        <v>143</v>
      </c>
      <c r="E30" s="4" t="s">
        <v>144</v>
      </c>
      <c r="F30" t="s">
        <v>145</v>
      </c>
      <c r="G30" s="5">
        <v>0</v>
      </c>
      <c r="H30" s="5">
        <v>0</v>
      </c>
      <c r="I30" s="5">
        <v>0</v>
      </c>
      <c r="J30" s="5">
        <f t="shared" si="0"/>
        <v>0</v>
      </c>
    </row>
    <row r="31" spans="1:10" ht="15">
      <c r="A31" s="4" t="s">
        <v>146</v>
      </c>
      <c r="B31" s="4" t="s">
        <v>147</v>
      </c>
      <c r="C31" s="4" t="s">
        <v>148</v>
      </c>
      <c r="D31" s="4" t="s">
        <v>149</v>
      </c>
      <c r="E31" s="4" t="s">
        <v>144</v>
      </c>
      <c r="F31" t="s">
        <v>150</v>
      </c>
      <c r="G31" s="5">
        <v>830.61</v>
      </c>
      <c r="H31" s="5">
        <v>0</v>
      </c>
      <c r="I31" s="5">
        <v>0</v>
      </c>
      <c r="J31" s="5">
        <f t="shared" si="0"/>
        <v>830.61</v>
      </c>
    </row>
    <row r="32" spans="1:10" ht="15">
      <c r="A32" s="4" t="s">
        <v>151</v>
      </c>
      <c r="B32" s="4" t="s">
        <v>152</v>
      </c>
      <c r="C32" s="4" t="s">
        <v>153</v>
      </c>
      <c r="D32" s="4" t="s">
        <v>154</v>
      </c>
      <c r="E32" s="4" t="s">
        <v>144</v>
      </c>
      <c r="F32" t="s">
        <v>155</v>
      </c>
      <c r="G32" s="5">
        <v>922.9</v>
      </c>
      <c r="H32" s="5">
        <v>0</v>
      </c>
      <c r="I32" s="5">
        <v>0</v>
      </c>
      <c r="J32" s="5">
        <f t="shared" si="0"/>
        <v>922.9</v>
      </c>
    </row>
    <row r="33" spans="1:10" ht="15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144</v>
      </c>
      <c r="F33" t="s">
        <v>160</v>
      </c>
      <c r="G33" s="5">
        <v>922.9</v>
      </c>
      <c r="H33" s="5">
        <v>0</v>
      </c>
      <c r="I33" s="5">
        <v>0</v>
      </c>
      <c r="J33" s="5">
        <f t="shared" si="0"/>
        <v>922.9</v>
      </c>
    </row>
    <row r="34" spans="1:10" ht="15">
      <c r="A34" s="4" t="s">
        <v>161</v>
      </c>
      <c r="B34" s="4" t="s">
        <v>162</v>
      </c>
      <c r="C34" s="4" t="s">
        <v>163</v>
      </c>
      <c r="D34" s="4" t="s">
        <v>164</v>
      </c>
      <c r="E34" s="4" t="s">
        <v>165</v>
      </c>
      <c r="F34" t="s">
        <v>166</v>
      </c>
      <c r="G34" s="5">
        <v>922.9</v>
      </c>
      <c r="H34" s="5">
        <v>0</v>
      </c>
      <c r="I34" s="5">
        <v>0</v>
      </c>
      <c r="J34" s="5">
        <f t="shared" si="0"/>
        <v>922.9</v>
      </c>
    </row>
    <row r="35" spans="1:10" ht="15">
      <c r="A35" s="4" t="s">
        <v>167</v>
      </c>
      <c r="B35" s="4" t="s">
        <v>168</v>
      </c>
      <c r="C35" s="4" t="s">
        <v>169</v>
      </c>
      <c r="D35" s="4" t="s">
        <v>170</v>
      </c>
      <c r="E35" s="4" t="s">
        <v>171</v>
      </c>
      <c r="F35" t="s">
        <v>172</v>
      </c>
      <c r="G35" s="5">
        <v>922.9</v>
      </c>
      <c r="H35" s="5">
        <v>461.45</v>
      </c>
      <c r="I35" s="5">
        <v>0</v>
      </c>
      <c r="J35" s="5">
        <f t="shared" si="0"/>
        <v>1384.35</v>
      </c>
    </row>
    <row r="36" spans="1:10" ht="15">
      <c r="A36" s="4" t="s">
        <v>173</v>
      </c>
      <c r="B36" s="4" t="s">
        <v>174</v>
      </c>
      <c r="C36" s="4" t="s">
        <v>175</v>
      </c>
      <c r="D36" s="4" t="s">
        <v>176</v>
      </c>
      <c r="E36" s="4" t="s">
        <v>177</v>
      </c>
      <c r="F36" t="s">
        <v>178</v>
      </c>
      <c r="G36" s="5">
        <v>922.9</v>
      </c>
      <c r="H36" s="5">
        <v>0</v>
      </c>
      <c r="I36" s="5">
        <v>0</v>
      </c>
      <c r="J36" s="5">
        <f t="shared" si="0"/>
        <v>922.9</v>
      </c>
    </row>
    <row r="37" spans="1:10" ht="15">
      <c r="A37" s="4" t="s">
        <v>179</v>
      </c>
      <c r="B37" s="4" t="s">
        <v>180</v>
      </c>
      <c r="C37" s="4" t="s">
        <v>181</v>
      </c>
      <c r="D37" s="4" t="s">
        <v>182</v>
      </c>
      <c r="E37" s="4" t="s">
        <v>183</v>
      </c>
      <c r="F37" t="s">
        <v>184</v>
      </c>
      <c r="G37" s="5">
        <v>0</v>
      </c>
      <c r="H37" s="5">
        <v>0</v>
      </c>
      <c r="I37" s="5">
        <v>0</v>
      </c>
      <c r="J37" s="5">
        <f t="shared" si="0"/>
        <v>0</v>
      </c>
    </row>
    <row r="38" spans="1:10" ht="15">
      <c r="A38" s="4" t="s">
        <v>185</v>
      </c>
      <c r="B38" s="4" t="s">
        <v>186</v>
      </c>
      <c r="C38" s="4" t="s">
        <v>187</v>
      </c>
      <c r="D38" s="4" t="s">
        <v>188</v>
      </c>
      <c r="E38" s="4" t="s">
        <v>189</v>
      </c>
      <c r="F38" t="s">
        <v>190</v>
      </c>
      <c r="G38" s="5">
        <v>0</v>
      </c>
      <c r="H38" s="5">
        <v>0</v>
      </c>
      <c r="I38" s="5">
        <v>0</v>
      </c>
      <c r="J38" s="5">
        <f t="shared" si="0"/>
        <v>0</v>
      </c>
    </row>
    <row r="39" spans="1:10" ht="15">
      <c r="A39" s="4" t="s">
        <v>191</v>
      </c>
      <c r="B39" s="4" t="s">
        <v>111</v>
      </c>
      <c r="C39" s="4" t="s">
        <v>192</v>
      </c>
      <c r="D39" s="4" t="s">
        <v>193</v>
      </c>
      <c r="E39" s="4" t="s">
        <v>171</v>
      </c>
      <c r="F39" t="s">
        <v>194</v>
      </c>
      <c r="G39" s="5">
        <v>0</v>
      </c>
      <c r="H39" s="5">
        <v>0</v>
      </c>
      <c r="I39" s="5">
        <v>0</v>
      </c>
      <c r="J39" s="5">
        <f t="shared" si="0"/>
        <v>0</v>
      </c>
    </row>
    <row r="40" spans="1:10" ht="15">
      <c r="A40" s="4" t="s">
        <v>195</v>
      </c>
      <c r="B40" s="4" t="s">
        <v>196</v>
      </c>
      <c r="C40" s="4" t="s">
        <v>197</v>
      </c>
      <c r="D40" s="4" t="s">
        <v>198</v>
      </c>
      <c r="E40" s="4" t="s">
        <v>171</v>
      </c>
      <c r="F40" t="s">
        <v>199</v>
      </c>
      <c r="G40" s="5">
        <v>876.76</v>
      </c>
      <c r="H40" s="5">
        <v>0</v>
      </c>
      <c r="I40" s="5">
        <v>0</v>
      </c>
      <c r="J40" s="5">
        <f t="shared" si="0"/>
        <v>876.76</v>
      </c>
    </row>
    <row r="41" spans="1:10" ht="15">
      <c r="A41" s="4" t="s">
        <v>200</v>
      </c>
      <c r="B41" s="4" t="s">
        <v>201</v>
      </c>
      <c r="C41" s="4" t="s">
        <v>202</v>
      </c>
      <c r="D41" s="4" t="s">
        <v>203</v>
      </c>
      <c r="E41" s="4" t="s">
        <v>171</v>
      </c>
      <c r="F41" t="s">
        <v>204</v>
      </c>
      <c r="G41" s="5">
        <v>899.83</v>
      </c>
      <c r="H41" s="5">
        <v>0</v>
      </c>
      <c r="I41" s="5">
        <v>0</v>
      </c>
      <c r="J41" s="5">
        <f t="shared" si="0"/>
        <v>899.83</v>
      </c>
    </row>
    <row r="42" spans="1:10" ht="15">
      <c r="A42" s="4" t="s">
        <v>205</v>
      </c>
      <c r="B42" s="4" t="s">
        <v>206</v>
      </c>
      <c r="C42" s="4" t="s">
        <v>207</v>
      </c>
      <c r="D42" s="4" t="s">
        <v>208</v>
      </c>
      <c r="E42" s="4" t="s">
        <v>209</v>
      </c>
      <c r="F42" t="s">
        <v>210</v>
      </c>
      <c r="G42" s="5">
        <v>876.76</v>
      </c>
      <c r="H42" s="5">
        <v>0</v>
      </c>
      <c r="I42" s="5">
        <v>0</v>
      </c>
      <c r="J42" s="5">
        <f t="shared" si="0"/>
        <v>876.76</v>
      </c>
    </row>
    <row r="43" spans="1:10" ht="15">
      <c r="A43" s="4" t="s">
        <v>211</v>
      </c>
      <c r="B43" s="4" t="s">
        <v>212</v>
      </c>
      <c r="C43" s="4" t="s">
        <v>213</v>
      </c>
      <c r="D43" s="4" t="s">
        <v>214</v>
      </c>
      <c r="E43" s="4" t="s">
        <v>171</v>
      </c>
      <c r="F43" t="s">
        <v>215</v>
      </c>
      <c r="G43" s="5">
        <v>0</v>
      </c>
      <c r="H43" s="5">
        <v>0</v>
      </c>
      <c r="I43" s="5">
        <v>0</v>
      </c>
      <c r="J43" s="5">
        <f t="shared" si="0"/>
        <v>0</v>
      </c>
    </row>
    <row r="44" spans="1:10" ht="15">
      <c r="A44" s="4" t="s">
        <v>216</v>
      </c>
      <c r="B44" s="4" t="s">
        <v>217</v>
      </c>
      <c r="C44" s="4" t="s">
        <v>218</v>
      </c>
      <c r="D44" s="4" t="s">
        <v>219</v>
      </c>
      <c r="E44" s="4" t="s">
        <v>220</v>
      </c>
      <c r="F44" t="s">
        <v>221</v>
      </c>
      <c r="G44" s="5">
        <v>0</v>
      </c>
      <c r="H44" s="5">
        <v>0</v>
      </c>
      <c r="I44" s="5">
        <v>0</v>
      </c>
      <c r="J44" s="5">
        <f t="shared" si="0"/>
        <v>0</v>
      </c>
    </row>
    <row r="45" spans="1:10" ht="15">
      <c r="A45" s="4" t="s">
        <v>222</v>
      </c>
      <c r="B45" s="4" t="s">
        <v>223</v>
      </c>
      <c r="C45" s="4" t="s">
        <v>224</v>
      </c>
      <c r="D45" s="4" t="s">
        <v>225</v>
      </c>
      <c r="E45" s="4" t="s">
        <v>226</v>
      </c>
      <c r="F45" t="s">
        <v>227</v>
      </c>
      <c r="G45" s="5">
        <v>922.9</v>
      </c>
      <c r="H45" s="5">
        <v>0</v>
      </c>
      <c r="I45" s="5">
        <v>0</v>
      </c>
      <c r="J45" s="5">
        <f t="shared" si="0"/>
        <v>922.9</v>
      </c>
    </row>
    <row r="46" spans="1:10" ht="15">
      <c r="A46" s="4" t="s">
        <v>228</v>
      </c>
      <c r="B46" s="4" t="s">
        <v>45</v>
      </c>
      <c r="C46" s="4" t="s">
        <v>229</v>
      </c>
      <c r="D46" s="4" t="s">
        <v>230</v>
      </c>
      <c r="E46" s="4" t="s">
        <v>226</v>
      </c>
      <c r="F46" t="s">
        <v>231</v>
      </c>
      <c r="G46" s="5">
        <v>784.47</v>
      </c>
      <c r="H46" s="5">
        <v>438.38</v>
      </c>
      <c r="I46" s="5">
        <v>0</v>
      </c>
      <c r="J46" s="5">
        <f t="shared" si="0"/>
        <v>1222.8499999999999</v>
      </c>
    </row>
    <row r="47" spans="1:10" ht="15">
      <c r="A47" s="4" t="s">
        <v>232</v>
      </c>
      <c r="B47" s="4" t="s">
        <v>233</v>
      </c>
      <c r="C47" s="4" t="s">
        <v>234</v>
      </c>
      <c r="D47" s="4" t="s">
        <v>235</v>
      </c>
      <c r="E47" s="4" t="s">
        <v>226</v>
      </c>
      <c r="F47" t="s">
        <v>236</v>
      </c>
      <c r="G47" s="5">
        <v>853.68</v>
      </c>
      <c r="H47" s="5">
        <v>0</v>
      </c>
      <c r="I47" s="5">
        <v>0</v>
      </c>
      <c r="J47" s="5">
        <f t="shared" si="0"/>
        <v>853.68</v>
      </c>
    </row>
    <row r="48" spans="1:10" ht="15">
      <c r="A48" s="4" t="s">
        <v>237</v>
      </c>
      <c r="B48" s="4" t="s">
        <v>238</v>
      </c>
      <c r="C48" s="4" t="s">
        <v>239</v>
      </c>
      <c r="D48" s="4" t="s">
        <v>240</v>
      </c>
      <c r="E48" s="4" t="s">
        <v>226</v>
      </c>
      <c r="F48" t="s">
        <v>241</v>
      </c>
      <c r="G48" s="5">
        <v>0</v>
      </c>
      <c r="H48" s="5">
        <v>0</v>
      </c>
      <c r="I48" s="5">
        <v>0</v>
      </c>
      <c r="J48" s="5">
        <f t="shared" si="0"/>
        <v>0</v>
      </c>
    </row>
    <row r="49" spans="1:10" ht="15">
      <c r="A49" s="4" t="s">
        <v>242</v>
      </c>
      <c r="B49" s="4" t="s">
        <v>243</v>
      </c>
      <c r="C49" s="4" t="s">
        <v>244</v>
      </c>
      <c r="D49" s="4" t="s">
        <v>245</v>
      </c>
      <c r="E49" s="4" t="s">
        <v>226</v>
      </c>
      <c r="F49" t="s">
        <v>246</v>
      </c>
      <c r="G49" s="5">
        <v>922.9</v>
      </c>
      <c r="H49" s="5">
        <v>0</v>
      </c>
      <c r="I49" s="5">
        <v>0</v>
      </c>
      <c r="J49" s="5">
        <f t="shared" si="0"/>
        <v>922.9</v>
      </c>
    </row>
    <row r="50" spans="1:10" ht="15">
      <c r="A50" s="4" t="s">
        <v>247</v>
      </c>
      <c r="B50" s="4" t="s">
        <v>248</v>
      </c>
      <c r="C50" s="4" t="s">
        <v>249</v>
      </c>
      <c r="D50" s="4" t="s">
        <v>250</v>
      </c>
      <c r="E50" s="4" t="s">
        <v>251</v>
      </c>
      <c r="F50" t="s">
        <v>252</v>
      </c>
      <c r="G50" s="5">
        <v>876.76</v>
      </c>
      <c r="H50" s="5">
        <v>0</v>
      </c>
      <c r="I50" s="5">
        <v>0</v>
      </c>
      <c r="J50" s="5">
        <f t="shared" si="0"/>
        <v>876.76</v>
      </c>
    </row>
    <row r="51" spans="1:10" ht="15">
      <c r="A51" s="4" t="s">
        <v>253</v>
      </c>
      <c r="B51" s="4" t="s">
        <v>254</v>
      </c>
      <c r="C51" s="4" t="s">
        <v>255</v>
      </c>
      <c r="D51" s="4" t="s">
        <v>256</v>
      </c>
      <c r="E51" s="4" t="s">
        <v>257</v>
      </c>
      <c r="F51" t="s">
        <v>258</v>
      </c>
      <c r="G51" s="5">
        <v>899.83</v>
      </c>
      <c r="H51" s="5">
        <v>0</v>
      </c>
      <c r="I51" s="5">
        <v>0</v>
      </c>
      <c r="J51" s="5">
        <f t="shared" si="0"/>
        <v>899.83</v>
      </c>
    </row>
    <row r="52" spans="1:10" ht="15">
      <c r="A52" s="4" t="s">
        <v>259</v>
      </c>
      <c r="B52" s="4" t="s">
        <v>260</v>
      </c>
      <c r="C52" s="4" t="s">
        <v>261</v>
      </c>
      <c r="D52" s="4" t="s">
        <v>262</v>
      </c>
      <c r="E52" s="4" t="s">
        <v>257</v>
      </c>
      <c r="F52" t="s">
        <v>263</v>
      </c>
      <c r="G52" s="5">
        <v>853.68</v>
      </c>
      <c r="H52" s="5">
        <v>0</v>
      </c>
      <c r="I52" s="5">
        <v>0</v>
      </c>
      <c r="J52" s="5">
        <f t="shared" si="0"/>
        <v>853.68</v>
      </c>
    </row>
    <row r="53" spans="1:10" ht="15">
      <c r="A53" s="4" t="s">
        <v>264</v>
      </c>
      <c r="B53" s="4" t="s">
        <v>265</v>
      </c>
      <c r="C53" s="4" t="s">
        <v>266</v>
      </c>
      <c r="D53" s="4" t="s">
        <v>267</v>
      </c>
      <c r="E53" s="4" t="s">
        <v>268</v>
      </c>
      <c r="F53" t="s">
        <v>269</v>
      </c>
      <c r="G53" s="5">
        <v>0</v>
      </c>
      <c r="H53" s="5">
        <v>0</v>
      </c>
      <c r="I53" s="5">
        <v>0</v>
      </c>
      <c r="J53" s="5">
        <f t="shared" si="0"/>
        <v>0</v>
      </c>
    </row>
    <row r="54" spans="1:10" ht="15">
      <c r="A54" s="4" t="s">
        <v>270</v>
      </c>
      <c r="B54" s="4" t="s">
        <v>271</v>
      </c>
      <c r="C54" s="4" t="s">
        <v>272</v>
      </c>
      <c r="D54" s="4" t="s">
        <v>273</v>
      </c>
      <c r="E54" s="4" t="s">
        <v>274</v>
      </c>
      <c r="F54" t="s">
        <v>275</v>
      </c>
      <c r="G54" s="5">
        <v>922.9</v>
      </c>
      <c r="H54" s="5">
        <v>0</v>
      </c>
      <c r="I54" s="5">
        <v>0</v>
      </c>
      <c r="J54" s="5">
        <f t="shared" si="0"/>
        <v>922.9</v>
      </c>
    </row>
    <row r="55" spans="1:10" ht="15">
      <c r="A55" s="4" t="s">
        <v>276</v>
      </c>
      <c r="B55" s="4" t="s">
        <v>277</v>
      </c>
      <c r="C55" s="4" t="s">
        <v>278</v>
      </c>
      <c r="D55" s="4" t="s">
        <v>279</v>
      </c>
      <c r="E55" s="4" t="s">
        <v>274</v>
      </c>
      <c r="F55" t="s">
        <v>280</v>
      </c>
      <c r="G55" s="5">
        <v>922.9</v>
      </c>
      <c r="H55" s="5">
        <v>0</v>
      </c>
      <c r="I55" s="5">
        <v>0</v>
      </c>
      <c r="J55" s="5">
        <f t="shared" si="0"/>
        <v>922.9</v>
      </c>
    </row>
    <row r="56" spans="1:10" ht="15">
      <c r="A56" s="4" t="s">
        <v>281</v>
      </c>
      <c r="B56" s="4" t="s">
        <v>282</v>
      </c>
      <c r="C56" s="4" t="s">
        <v>283</v>
      </c>
      <c r="D56" s="4" t="s">
        <v>284</v>
      </c>
      <c r="E56" s="4" t="s">
        <v>285</v>
      </c>
      <c r="F56" t="s">
        <v>286</v>
      </c>
      <c r="G56" s="5">
        <v>876.76</v>
      </c>
      <c r="H56" s="5">
        <v>0</v>
      </c>
      <c r="I56" s="5">
        <v>0</v>
      </c>
      <c r="J56" s="5">
        <f t="shared" si="0"/>
        <v>876.76</v>
      </c>
    </row>
    <row r="57" spans="1:10" ht="15">
      <c r="A57" s="4" t="s">
        <v>287</v>
      </c>
      <c r="B57" s="4" t="s">
        <v>288</v>
      </c>
      <c r="C57" s="4" t="s">
        <v>137</v>
      </c>
      <c r="D57" s="4" t="s">
        <v>289</v>
      </c>
      <c r="E57" s="4" t="s">
        <v>290</v>
      </c>
      <c r="F57" t="s">
        <v>291</v>
      </c>
      <c r="G57" s="5">
        <v>922.9</v>
      </c>
      <c r="H57" s="5">
        <v>0</v>
      </c>
      <c r="I57" s="5">
        <v>0</v>
      </c>
      <c r="J57" s="5">
        <f t="shared" si="0"/>
        <v>922.9</v>
      </c>
    </row>
    <row r="58" spans="1:10" ht="15">
      <c r="A58" s="4" t="s">
        <v>292</v>
      </c>
      <c r="B58" s="4" t="s">
        <v>293</v>
      </c>
      <c r="C58" s="4" t="s">
        <v>294</v>
      </c>
      <c r="D58" s="4" t="s">
        <v>295</v>
      </c>
      <c r="E58" s="4" t="s">
        <v>290</v>
      </c>
      <c r="F58" t="s">
        <v>296</v>
      </c>
      <c r="G58" s="5">
        <v>0</v>
      </c>
      <c r="H58" s="5">
        <v>0</v>
      </c>
      <c r="I58" s="5">
        <v>0</v>
      </c>
      <c r="J58" s="5">
        <f t="shared" si="0"/>
        <v>0</v>
      </c>
    </row>
    <row r="59" spans="1:10" ht="15">
      <c r="A59" s="4" t="s">
        <v>297</v>
      </c>
      <c r="B59" s="4" t="s">
        <v>298</v>
      </c>
      <c r="C59" s="4" t="s">
        <v>299</v>
      </c>
      <c r="D59" s="4" t="s">
        <v>300</v>
      </c>
      <c r="E59" s="4" t="s">
        <v>301</v>
      </c>
      <c r="F59" t="s">
        <v>302</v>
      </c>
      <c r="G59" s="5">
        <v>0</v>
      </c>
      <c r="H59" s="5">
        <v>0</v>
      </c>
      <c r="I59" s="5">
        <v>0</v>
      </c>
      <c r="J59" s="5">
        <f t="shared" si="0"/>
        <v>0</v>
      </c>
    </row>
    <row r="60" spans="1:10" ht="15">
      <c r="A60" s="4" t="s">
        <v>303</v>
      </c>
      <c r="B60" s="4" t="s">
        <v>304</v>
      </c>
      <c r="C60" s="4" t="s">
        <v>305</v>
      </c>
      <c r="D60" s="4" t="s">
        <v>306</v>
      </c>
      <c r="E60" s="4" t="s">
        <v>307</v>
      </c>
      <c r="F60" t="s">
        <v>308</v>
      </c>
      <c r="G60" s="5">
        <v>0</v>
      </c>
      <c r="H60" s="5">
        <v>0</v>
      </c>
      <c r="I60" s="5">
        <v>0</v>
      </c>
      <c r="J60" s="5">
        <f t="shared" si="0"/>
        <v>0</v>
      </c>
    </row>
    <row r="61" spans="1:10" ht="15">
      <c r="A61" s="4" t="s">
        <v>309</v>
      </c>
      <c r="B61" s="4" t="s">
        <v>310</v>
      </c>
      <c r="C61" s="4" t="s">
        <v>311</v>
      </c>
      <c r="D61" s="4" t="s">
        <v>312</v>
      </c>
      <c r="E61" s="4" t="s">
        <v>313</v>
      </c>
      <c r="F61" t="s">
        <v>314</v>
      </c>
      <c r="G61" s="5">
        <v>853.68</v>
      </c>
      <c r="H61" s="5">
        <v>0</v>
      </c>
      <c r="I61" s="5">
        <v>0</v>
      </c>
      <c r="J61" s="5">
        <f t="shared" si="0"/>
        <v>853.68</v>
      </c>
    </row>
    <row r="62" spans="1:10" ht="15">
      <c r="A62" s="4" t="s">
        <v>315</v>
      </c>
      <c r="B62" s="4" t="s">
        <v>316</v>
      </c>
      <c r="C62" s="4" t="s">
        <v>317</v>
      </c>
      <c r="D62" s="4" t="s">
        <v>318</v>
      </c>
      <c r="E62" s="4" t="s">
        <v>319</v>
      </c>
      <c r="F62" t="s">
        <v>320</v>
      </c>
      <c r="G62" s="5">
        <v>922.9</v>
      </c>
      <c r="H62" s="5">
        <v>0</v>
      </c>
      <c r="I62" s="5">
        <v>0</v>
      </c>
      <c r="J62" s="5">
        <f t="shared" si="0"/>
        <v>922.9</v>
      </c>
    </row>
    <row r="63" spans="1:10" ht="15">
      <c r="A63" s="4" t="s">
        <v>321</v>
      </c>
      <c r="B63" s="4" t="s">
        <v>322</v>
      </c>
      <c r="C63" s="4" t="s">
        <v>323</v>
      </c>
      <c r="D63" s="4" t="s">
        <v>324</v>
      </c>
      <c r="E63" s="4" t="s">
        <v>325</v>
      </c>
      <c r="F63" t="s">
        <v>326</v>
      </c>
      <c r="G63" s="5">
        <v>899.83</v>
      </c>
      <c r="H63" s="5">
        <v>0</v>
      </c>
      <c r="I63" s="5">
        <v>0</v>
      </c>
      <c r="J63" s="5">
        <f t="shared" si="0"/>
        <v>899.83</v>
      </c>
    </row>
    <row r="64" spans="1:10" ht="15">
      <c r="A64" s="4" t="s">
        <v>327</v>
      </c>
      <c r="B64" s="4" t="s">
        <v>328</v>
      </c>
      <c r="C64" s="4" t="s">
        <v>329</v>
      </c>
      <c r="D64" s="4" t="s">
        <v>330</v>
      </c>
      <c r="E64" s="4" t="s">
        <v>331</v>
      </c>
      <c r="F64" t="s">
        <v>332</v>
      </c>
      <c r="G64" s="5">
        <v>922.9</v>
      </c>
      <c r="H64" s="5">
        <v>0</v>
      </c>
      <c r="I64" s="5">
        <v>0</v>
      </c>
      <c r="J64" s="5">
        <f t="shared" si="0"/>
        <v>922.9</v>
      </c>
    </row>
    <row r="65" spans="1:10" ht="15">
      <c r="A65" s="4" t="s">
        <v>333</v>
      </c>
      <c r="B65" s="4" t="s">
        <v>334</v>
      </c>
      <c r="C65" s="4" t="s">
        <v>335</v>
      </c>
      <c r="D65" s="4" t="s">
        <v>336</v>
      </c>
      <c r="E65" s="4" t="s">
        <v>337</v>
      </c>
      <c r="F65" t="s">
        <v>338</v>
      </c>
      <c r="G65" s="5">
        <v>0</v>
      </c>
      <c r="H65" s="5">
        <v>0</v>
      </c>
      <c r="I65" s="5">
        <v>0</v>
      </c>
      <c r="J65" s="5">
        <f t="shared" si="0"/>
        <v>0</v>
      </c>
    </row>
    <row r="66" spans="1:10" ht="15">
      <c r="A66" s="4" t="s">
        <v>339</v>
      </c>
      <c r="B66" s="4" t="s">
        <v>340</v>
      </c>
      <c r="C66" s="4" t="s">
        <v>341</v>
      </c>
      <c r="D66" s="4" t="s">
        <v>342</v>
      </c>
      <c r="E66" s="4" t="s">
        <v>337</v>
      </c>
      <c r="F66" t="s">
        <v>343</v>
      </c>
      <c r="G66" s="5">
        <v>899.83</v>
      </c>
      <c r="H66" s="5">
        <v>0</v>
      </c>
      <c r="I66" s="5">
        <v>0</v>
      </c>
      <c r="J66" s="5">
        <f t="shared" si="0"/>
        <v>899.83</v>
      </c>
    </row>
    <row r="67" spans="1:10" ht="15">
      <c r="A67" s="4" t="s">
        <v>344</v>
      </c>
      <c r="B67" s="4" t="s">
        <v>345</v>
      </c>
      <c r="C67" s="4" t="s">
        <v>346</v>
      </c>
      <c r="D67" s="4" t="s">
        <v>347</v>
      </c>
      <c r="E67" s="4" t="s">
        <v>348</v>
      </c>
      <c r="F67" t="s">
        <v>349</v>
      </c>
      <c r="G67" s="5">
        <v>0</v>
      </c>
      <c r="H67" s="5">
        <v>0</v>
      </c>
      <c r="I67" s="5">
        <v>0</v>
      </c>
      <c r="J67" s="5">
        <f t="shared" si="0"/>
        <v>0</v>
      </c>
    </row>
    <row r="68" spans="1:10" ht="15">
      <c r="A68" s="4" t="s">
        <v>350</v>
      </c>
      <c r="B68" s="4" t="s">
        <v>351</v>
      </c>
      <c r="C68" s="4" t="s">
        <v>352</v>
      </c>
      <c r="D68" s="4" t="s">
        <v>353</v>
      </c>
      <c r="E68" s="4" t="s">
        <v>354</v>
      </c>
      <c r="F68" t="s">
        <v>355</v>
      </c>
      <c r="G68" s="5">
        <v>922.9</v>
      </c>
      <c r="H68" s="5">
        <v>0</v>
      </c>
      <c r="I68" s="5">
        <v>0</v>
      </c>
      <c r="J68" s="5">
        <f t="shared" si="0"/>
        <v>922.9</v>
      </c>
    </row>
    <row r="69" spans="1:10" ht="15">
      <c r="A69" s="4" t="s">
        <v>356</v>
      </c>
      <c r="B69" s="4" t="s">
        <v>357</v>
      </c>
      <c r="C69" s="4" t="s">
        <v>358</v>
      </c>
      <c r="D69" s="4" t="s">
        <v>359</v>
      </c>
      <c r="E69" s="4" t="s">
        <v>360</v>
      </c>
      <c r="F69" t="s">
        <v>361</v>
      </c>
      <c r="G69" s="5">
        <v>876.76</v>
      </c>
      <c r="H69" s="5">
        <v>0</v>
      </c>
      <c r="I69" s="5">
        <v>0</v>
      </c>
      <c r="J69" s="5">
        <f t="shared" si="0"/>
        <v>876.76</v>
      </c>
    </row>
    <row r="70" spans="1:10" ht="15">
      <c r="A70" s="4" t="s">
        <v>362</v>
      </c>
      <c r="B70" s="4" t="s">
        <v>363</v>
      </c>
      <c r="C70" s="4" t="s">
        <v>364</v>
      </c>
      <c r="D70" s="4" t="s">
        <v>365</v>
      </c>
      <c r="E70" s="4" t="s">
        <v>366</v>
      </c>
      <c r="F70" t="s">
        <v>367</v>
      </c>
      <c r="G70" s="5">
        <v>922.9</v>
      </c>
      <c r="H70" s="5">
        <v>0</v>
      </c>
      <c r="I70" s="5">
        <v>0</v>
      </c>
      <c r="J70" s="5">
        <f t="shared" si="0"/>
        <v>922.9</v>
      </c>
    </row>
    <row r="71" spans="1:10" ht="15">
      <c r="A71" s="4" t="s">
        <v>368</v>
      </c>
      <c r="B71" s="4" t="s">
        <v>369</v>
      </c>
      <c r="C71" s="4" t="s">
        <v>370</v>
      </c>
      <c r="D71" s="4" t="s">
        <v>371</v>
      </c>
      <c r="E71" s="4" t="s">
        <v>372</v>
      </c>
      <c r="F71" t="s">
        <v>373</v>
      </c>
      <c r="G71" s="5">
        <v>899.83</v>
      </c>
      <c r="H71" s="5">
        <v>461.45</v>
      </c>
      <c r="I71" s="5">
        <v>0</v>
      </c>
      <c r="J71" s="5">
        <f t="shared" si="0"/>
        <v>1361.28</v>
      </c>
    </row>
    <row r="72" spans="1:10" ht="15">
      <c r="A72" s="4" t="s">
        <v>374</v>
      </c>
      <c r="B72" s="4" t="s">
        <v>375</v>
      </c>
      <c r="C72" s="4" t="s">
        <v>376</v>
      </c>
      <c r="D72" s="4" t="s">
        <v>377</v>
      </c>
      <c r="E72" s="4" t="s">
        <v>378</v>
      </c>
      <c r="F72" t="s">
        <v>379</v>
      </c>
      <c r="G72" s="5">
        <v>899.83</v>
      </c>
      <c r="H72" s="5">
        <v>461.45</v>
      </c>
      <c r="I72" s="5">
        <v>0</v>
      </c>
      <c r="J72" s="5">
        <f t="shared" ref="J72:J135" si="1">G72+H72+I72</f>
        <v>1361.28</v>
      </c>
    </row>
    <row r="73" spans="1:10" ht="15">
      <c r="A73" s="4" t="s">
        <v>380</v>
      </c>
      <c r="B73" s="4" t="s">
        <v>381</v>
      </c>
      <c r="C73" s="4" t="s">
        <v>382</v>
      </c>
      <c r="D73" s="4" t="s">
        <v>383</v>
      </c>
      <c r="E73" s="4" t="s">
        <v>384</v>
      </c>
      <c r="F73" t="s">
        <v>385</v>
      </c>
      <c r="G73" s="5">
        <v>0</v>
      </c>
      <c r="H73" s="5">
        <v>0</v>
      </c>
      <c r="I73" s="5">
        <v>0</v>
      </c>
      <c r="J73" s="5">
        <f t="shared" si="1"/>
        <v>0</v>
      </c>
    </row>
    <row r="74" spans="1:10" ht="15">
      <c r="A74" s="4" t="s">
        <v>386</v>
      </c>
      <c r="B74" s="4" t="s">
        <v>387</v>
      </c>
      <c r="C74" s="4" t="s">
        <v>388</v>
      </c>
      <c r="D74" s="4" t="s">
        <v>389</v>
      </c>
      <c r="E74" s="4" t="s">
        <v>390</v>
      </c>
      <c r="F74" t="s">
        <v>391</v>
      </c>
      <c r="G74" s="5">
        <v>922.9</v>
      </c>
      <c r="H74" s="5">
        <v>0</v>
      </c>
      <c r="I74" s="5">
        <v>0</v>
      </c>
      <c r="J74" s="5">
        <f t="shared" si="1"/>
        <v>922.9</v>
      </c>
    </row>
    <row r="75" spans="1:10" ht="15">
      <c r="A75" s="4" t="s">
        <v>392</v>
      </c>
      <c r="B75" s="4" t="s">
        <v>393</v>
      </c>
      <c r="C75" s="4" t="s">
        <v>394</v>
      </c>
      <c r="D75" s="4" t="s">
        <v>395</v>
      </c>
      <c r="E75" s="4" t="s">
        <v>396</v>
      </c>
      <c r="F75" t="s">
        <v>397</v>
      </c>
      <c r="G75" s="5">
        <v>0</v>
      </c>
      <c r="H75" s="5">
        <v>0</v>
      </c>
      <c r="I75" s="5">
        <v>0</v>
      </c>
      <c r="J75" s="5">
        <f t="shared" si="1"/>
        <v>0</v>
      </c>
    </row>
    <row r="76" spans="1:10" ht="15">
      <c r="A76" s="4" t="s">
        <v>398</v>
      </c>
      <c r="B76" s="4" t="s">
        <v>399</v>
      </c>
      <c r="C76" s="4" t="s">
        <v>400</v>
      </c>
      <c r="D76" s="4" t="s">
        <v>401</v>
      </c>
      <c r="E76" s="4" t="s">
        <v>402</v>
      </c>
      <c r="F76" t="s">
        <v>403</v>
      </c>
      <c r="G76" s="5">
        <v>0</v>
      </c>
      <c r="H76" s="5">
        <v>0</v>
      </c>
      <c r="I76" s="5">
        <v>0</v>
      </c>
      <c r="J76" s="5">
        <f t="shared" si="1"/>
        <v>0</v>
      </c>
    </row>
    <row r="77" spans="1:10" ht="15">
      <c r="A77" s="4" t="s">
        <v>404</v>
      </c>
      <c r="B77" s="4" t="s">
        <v>405</v>
      </c>
      <c r="C77" s="4" t="s">
        <v>406</v>
      </c>
      <c r="D77" s="4" t="s">
        <v>407</v>
      </c>
      <c r="E77" s="4" t="s">
        <v>408</v>
      </c>
      <c r="F77" t="s">
        <v>409</v>
      </c>
      <c r="G77" s="5">
        <v>853.68</v>
      </c>
      <c r="H77" s="5">
        <v>0</v>
      </c>
      <c r="I77" s="5">
        <v>0</v>
      </c>
      <c r="J77" s="5">
        <f t="shared" si="1"/>
        <v>853.68</v>
      </c>
    </row>
    <row r="78" spans="1:10" ht="15">
      <c r="A78" s="4" t="s">
        <v>410</v>
      </c>
      <c r="B78" s="4" t="s">
        <v>411</v>
      </c>
      <c r="C78" s="4" t="s">
        <v>412</v>
      </c>
      <c r="D78" s="4" t="s">
        <v>413</v>
      </c>
      <c r="E78" s="4" t="s">
        <v>408</v>
      </c>
      <c r="F78" t="s">
        <v>414</v>
      </c>
      <c r="G78" s="5">
        <v>807.54</v>
      </c>
      <c r="H78" s="5">
        <v>0</v>
      </c>
      <c r="I78" s="5">
        <v>0</v>
      </c>
      <c r="J78" s="5">
        <f t="shared" si="1"/>
        <v>807.54</v>
      </c>
    </row>
    <row r="79" spans="1:10" ht="15">
      <c r="A79" s="4" t="s">
        <v>415</v>
      </c>
      <c r="B79" s="4" t="s">
        <v>416</v>
      </c>
      <c r="C79" s="4" t="s">
        <v>202</v>
      </c>
      <c r="D79" s="4" t="s">
        <v>417</v>
      </c>
      <c r="E79" s="4" t="s">
        <v>408</v>
      </c>
      <c r="F79" t="s">
        <v>418</v>
      </c>
      <c r="G79" s="5">
        <v>899.83</v>
      </c>
      <c r="H79" s="5">
        <v>0</v>
      </c>
      <c r="I79" s="5">
        <v>0</v>
      </c>
      <c r="J79" s="5">
        <f t="shared" si="1"/>
        <v>899.83</v>
      </c>
    </row>
    <row r="80" spans="1:10" ht="15">
      <c r="A80" s="4" t="s">
        <v>419</v>
      </c>
      <c r="B80" s="4" t="s">
        <v>420</v>
      </c>
      <c r="C80" s="4" t="s">
        <v>335</v>
      </c>
      <c r="D80" s="4" t="s">
        <v>421</v>
      </c>
      <c r="E80" s="4" t="s">
        <v>422</v>
      </c>
      <c r="F80" t="s">
        <v>423</v>
      </c>
      <c r="G80" s="5">
        <v>899.83</v>
      </c>
      <c r="H80" s="5">
        <v>0</v>
      </c>
      <c r="I80" s="5">
        <v>0</v>
      </c>
      <c r="J80" s="5">
        <f t="shared" si="1"/>
        <v>899.83</v>
      </c>
    </row>
    <row r="81" spans="1:10" ht="15">
      <c r="A81" s="4" t="s">
        <v>424</v>
      </c>
      <c r="B81" s="4" t="s">
        <v>425</v>
      </c>
      <c r="C81" s="4" t="s">
        <v>426</v>
      </c>
      <c r="D81" s="4" t="s">
        <v>427</v>
      </c>
      <c r="E81" s="4" t="s">
        <v>428</v>
      </c>
      <c r="F81" t="s">
        <v>429</v>
      </c>
      <c r="G81" s="5">
        <v>922.9</v>
      </c>
      <c r="H81" s="5">
        <v>0</v>
      </c>
      <c r="I81" s="5">
        <v>0</v>
      </c>
      <c r="J81" s="5">
        <f t="shared" si="1"/>
        <v>922.9</v>
      </c>
    </row>
    <row r="82" spans="1:10" ht="15">
      <c r="A82" s="4" t="s">
        <v>430</v>
      </c>
      <c r="B82" s="4" t="s">
        <v>431</v>
      </c>
      <c r="C82" s="4" t="s">
        <v>432</v>
      </c>
      <c r="D82" s="4" t="s">
        <v>433</v>
      </c>
      <c r="E82" s="4" t="s">
        <v>434</v>
      </c>
      <c r="F82" t="s">
        <v>435</v>
      </c>
      <c r="G82" s="5">
        <v>0</v>
      </c>
      <c r="H82" s="5">
        <v>0</v>
      </c>
      <c r="I82" s="5">
        <v>0</v>
      </c>
      <c r="J82" s="5">
        <f t="shared" si="1"/>
        <v>0</v>
      </c>
    </row>
    <row r="83" spans="1:10" ht="15">
      <c r="A83" s="4" t="s">
        <v>436</v>
      </c>
      <c r="B83" s="4" t="s">
        <v>437</v>
      </c>
      <c r="C83" s="4" t="s">
        <v>438</v>
      </c>
      <c r="D83" s="4" t="s">
        <v>439</v>
      </c>
      <c r="E83" s="4" t="s">
        <v>440</v>
      </c>
      <c r="F83" t="s">
        <v>441</v>
      </c>
      <c r="G83" s="5">
        <v>807.54</v>
      </c>
      <c r="H83" s="5">
        <v>0</v>
      </c>
      <c r="I83" s="5">
        <v>0</v>
      </c>
      <c r="J83" s="5">
        <f t="shared" si="1"/>
        <v>807.54</v>
      </c>
    </row>
    <row r="84" spans="1:10" ht="15">
      <c r="A84" s="4" t="s">
        <v>442</v>
      </c>
      <c r="B84" s="4" t="s">
        <v>443</v>
      </c>
      <c r="C84" s="4" t="s">
        <v>444</v>
      </c>
      <c r="D84" s="4" t="s">
        <v>445</v>
      </c>
      <c r="E84" s="4" t="s">
        <v>446</v>
      </c>
      <c r="F84" t="s">
        <v>447</v>
      </c>
      <c r="G84" s="5">
        <v>853.68</v>
      </c>
      <c r="H84" s="5">
        <v>0</v>
      </c>
      <c r="I84" s="5">
        <v>0</v>
      </c>
      <c r="J84" s="5">
        <f t="shared" si="1"/>
        <v>853.68</v>
      </c>
    </row>
    <row r="85" spans="1:10" ht="15">
      <c r="A85" s="4" t="s">
        <v>448</v>
      </c>
      <c r="B85" s="4" t="s">
        <v>449</v>
      </c>
      <c r="C85" s="4" t="s">
        <v>450</v>
      </c>
      <c r="D85" s="4" t="s">
        <v>451</v>
      </c>
      <c r="E85" s="4" t="s">
        <v>452</v>
      </c>
      <c r="F85" t="s">
        <v>453</v>
      </c>
      <c r="G85" s="5">
        <v>0</v>
      </c>
      <c r="H85" s="5">
        <v>0</v>
      </c>
      <c r="I85" s="5">
        <v>0</v>
      </c>
      <c r="J85" s="5">
        <f t="shared" si="1"/>
        <v>0</v>
      </c>
    </row>
    <row r="86" spans="1:10" ht="15">
      <c r="A86" s="4" t="s">
        <v>454</v>
      </c>
      <c r="B86" s="4" t="s">
        <v>455</v>
      </c>
      <c r="C86" s="4" t="s">
        <v>456</v>
      </c>
      <c r="D86" s="4" t="s">
        <v>457</v>
      </c>
      <c r="E86" s="4" t="s">
        <v>458</v>
      </c>
      <c r="F86" t="s">
        <v>459</v>
      </c>
      <c r="G86" s="5">
        <v>922.9</v>
      </c>
      <c r="H86" s="5">
        <v>0</v>
      </c>
      <c r="I86" s="5">
        <v>0</v>
      </c>
      <c r="J86" s="5">
        <f t="shared" si="1"/>
        <v>922.9</v>
      </c>
    </row>
    <row r="87" spans="1:10" ht="15">
      <c r="A87" s="4" t="s">
        <v>460</v>
      </c>
      <c r="B87" s="4" t="s">
        <v>461</v>
      </c>
      <c r="C87" s="4" t="s">
        <v>462</v>
      </c>
      <c r="D87" s="4" t="s">
        <v>463</v>
      </c>
      <c r="E87" s="4" t="s">
        <v>464</v>
      </c>
      <c r="F87" t="s">
        <v>465</v>
      </c>
      <c r="G87" s="5">
        <v>853.68</v>
      </c>
      <c r="H87" s="5">
        <v>0</v>
      </c>
      <c r="I87" s="5">
        <v>0</v>
      </c>
      <c r="J87" s="5">
        <f t="shared" si="1"/>
        <v>853.68</v>
      </c>
    </row>
    <row r="88" spans="1:10" ht="15">
      <c r="A88" s="4" t="s">
        <v>466</v>
      </c>
      <c r="B88" s="4" t="s">
        <v>467</v>
      </c>
      <c r="C88" s="4" t="s">
        <v>468</v>
      </c>
      <c r="D88" s="4" t="s">
        <v>45</v>
      </c>
      <c r="E88" s="4" t="s">
        <v>469</v>
      </c>
      <c r="F88" t="s">
        <v>470</v>
      </c>
      <c r="G88" s="5">
        <v>899.83</v>
      </c>
      <c r="H88" s="5">
        <v>461.45</v>
      </c>
      <c r="I88" s="5">
        <v>0</v>
      </c>
      <c r="J88" s="5">
        <f t="shared" si="1"/>
        <v>1361.28</v>
      </c>
    </row>
    <row r="89" spans="1:10" ht="15">
      <c r="A89" s="4" t="s">
        <v>471</v>
      </c>
      <c r="B89" s="4" t="s">
        <v>45</v>
      </c>
      <c r="C89" s="4" t="s">
        <v>472</v>
      </c>
      <c r="D89" s="4" t="s">
        <v>473</v>
      </c>
      <c r="E89" s="4" t="s">
        <v>469</v>
      </c>
      <c r="F89" t="s">
        <v>474</v>
      </c>
      <c r="G89" s="5">
        <v>922.9</v>
      </c>
      <c r="H89" s="5">
        <v>461.45</v>
      </c>
      <c r="I89" s="5">
        <v>0</v>
      </c>
      <c r="J89" s="5">
        <f t="shared" si="1"/>
        <v>1384.35</v>
      </c>
    </row>
    <row r="90" spans="1:10" ht="15">
      <c r="A90" s="4" t="s">
        <v>475</v>
      </c>
      <c r="B90" s="4" t="s">
        <v>476</v>
      </c>
      <c r="C90" s="4" t="s">
        <v>477</v>
      </c>
      <c r="D90" s="4" t="s">
        <v>478</v>
      </c>
      <c r="E90" s="4" t="s">
        <v>479</v>
      </c>
      <c r="F90" t="s">
        <v>480</v>
      </c>
      <c r="G90" s="5">
        <v>0</v>
      </c>
      <c r="H90" s="5">
        <v>0</v>
      </c>
      <c r="I90" s="5">
        <v>0</v>
      </c>
      <c r="J90" s="5">
        <f t="shared" si="1"/>
        <v>0</v>
      </c>
    </row>
    <row r="91" spans="1:10" ht="15">
      <c r="A91" s="4" t="s">
        <v>481</v>
      </c>
      <c r="B91" s="4" t="s">
        <v>482</v>
      </c>
      <c r="C91" s="4" t="s">
        <v>483</v>
      </c>
      <c r="D91" s="4" t="s">
        <v>484</v>
      </c>
      <c r="E91" s="4" t="s">
        <v>485</v>
      </c>
      <c r="F91" t="s">
        <v>486</v>
      </c>
      <c r="G91" s="5">
        <v>922.9</v>
      </c>
      <c r="H91" s="5">
        <v>0</v>
      </c>
      <c r="I91" s="5">
        <v>0</v>
      </c>
      <c r="J91" s="5">
        <f t="shared" si="1"/>
        <v>922.9</v>
      </c>
    </row>
    <row r="92" spans="1:10" ht="15">
      <c r="A92" s="4" t="s">
        <v>487</v>
      </c>
      <c r="B92" s="4" t="s">
        <v>488</v>
      </c>
      <c r="C92" s="4" t="s">
        <v>69</v>
      </c>
      <c r="D92" s="4" t="s">
        <v>29</v>
      </c>
      <c r="E92" s="4" t="s">
        <v>489</v>
      </c>
      <c r="F92" t="s">
        <v>490</v>
      </c>
      <c r="G92" s="5">
        <v>0</v>
      </c>
      <c r="H92" s="5">
        <v>0</v>
      </c>
      <c r="I92" s="5">
        <v>0</v>
      </c>
      <c r="J92" s="5">
        <f t="shared" si="1"/>
        <v>0</v>
      </c>
    </row>
    <row r="93" spans="1:10" ht="15">
      <c r="A93" s="4" t="s">
        <v>491</v>
      </c>
      <c r="B93" s="4" t="s">
        <v>381</v>
      </c>
      <c r="C93" s="4" t="s">
        <v>492</v>
      </c>
      <c r="D93" s="4" t="s">
        <v>493</v>
      </c>
      <c r="E93" s="4" t="s">
        <v>494</v>
      </c>
      <c r="F93" t="s">
        <v>495</v>
      </c>
      <c r="G93" s="5">
        <v>899.83</v>
      </c>
      <c r="H93" s="5">
        <v>0</v>
      </c>
      <c r="I93" s="5">
        <v>0</v>
      </c>
      <c r="J93" s="5">
        <f t="shared" si="1"/>
        <v>899.83</v>
      </c>
    </row>
    <row r="94" spans="1:10" ht="15">
      <c r="A94" s="4" t="s">
        <v>496</v>
      </c>
      <c r="B94" s="4" t="s">
        <v>497</v>
      </c>
      <c r="C94" s="4" t="s">
        <v>202</v>
      </c>
      <c r="D94" s="4" t="s">
        <v>498</v>
      </c>
      <c r="E94" s="4" t="s">
        <v>494</v>
      </c>
      <c r="F94" t="s">
        <v>499</v>
      </c>
      <c r="G94" s="5">
        <v>830.61</v>
      </c>
      <c r="H94" s="5">
        <v>0</v>
      </c>
      <c r="I94" s="5">
        <v>0</v>
      </c>
      <c r="J94" s="5">
        <f t="shared" si="1"/>
        <v>830.61</v>
      </c>
    </row>
    <row r="95" spans="1:10" ht="15">
      <c r="A95" s="4" t="s">
        <v>500</v>
      </c>
      <c r="B95" s="4" t="s">
        <v>420</v>
      </c>
      <c r="C95" s="4" t="s">
        <v>501</v>
      </c>
      <c r="D95" s="4" t="s">
        <v>502</v>
      </c>
      <c r="E95" s="4" t="s">
        <v>503</v>
      </c>
      <c r="F95" t="s">
        <v>504</v>
      </c>
      <c r="G95" s="5">
        <v>899.83</v>
      </c>
      <c r="H95" s="5">
        <v>0</v>
      </c>
      <c r="I95" s="5">
        <v>0</v>
      </c>
      <c r="J95" s="5">
        <f t="shared" si="1"/>
        <v>899.83</v>
      </c>
    </row>
    <row r="96" spans="1:10" ht="15">
      <c r="A96" s="4" t="s">
        <v>505</v>
      </c>
      <c r="B96" s="4" t="s">
        <v>506</v>
      </c>
      <c r="C96" s="4" t="s">
        <v>507</v>
      </c>
      <c r="D96" s="4" t="s">
        <v>508</v>
      </c>
      <c r="E96" s="4" t="s">
        <v>509</v>
      </c>
      <c r="F96" t="s">
        <v>510</v>
      </c>
      <c r="G96" s="5">
        <v>853.68</v>
      </c>
      <c r="H96" s="5">
        <v>0</v>
      </c>
      <c r="I96" s="5">
        <v>0</v>
      </c>
      <c r="J96" s="5">
        <f t="shared" si="1"/>
        <v>853.68</v>
      </c>
    </row>
    <row r="97" spans="1:10" ht="15">
      <c r="A97" s="4" t="s">
        <v>511</v>
      </c>
      <c r="B97" s="4" t="s">
        <v>512</v>
      </c>
      <c r="C97" s="4" t="s">
        <v>513</v>
      </c>
      <c r="D97" s="4" t="s">
        <v>514</v>
      </c>
      <c r="E97" s="4" t="s">
        <v>515</v>
      </c>
      <c r="F97" t="s">
        <v>516</v>
      </c>
      <c r="G97" s="5">
        <v>0</v>
      </c>
      <c r="H97" s="5">
        <v>0</v>
      </c>
      <c r="I97" s="5">
        <v>0</v>
      </c>
      <c r="J97" s="5">
        <f t="shared" si="1"/>
        <v>0</v>
      </c>
    </row>
    <row r="98" spans="1:10" ht="15">
      <c r="A98" s="4" t="s">
        <v>517</v>
      </c>
      <c r="B98" s="4" t="s">
        <v>518</v>
      </c>
      <c r="C98" s="4" t="s">
        <v>519</v>
      </c>
      <c r="D98" s="4" t="s">
        <v>520</v>
      </c>
      <c r="E98" s="4" t="s">
        <v>521</v>
      </c>
      <c r="F98" t="s">
        <v>522</v>
      </c>
      <c r="G98" s="5">
        <v>0</v>
      </c>
      <c r="H98" s="5">
        <v>0</v>
      </c>
      <c r="I98" s="5">
        <v>0</v>
      </c>
      <c r="J98" s="5">
        <f t="shared" si="1"/>
        <v>0</v>
      </c>
    </row>
    <row r="99" spans="1:10" ht="15">
      <c r="A99" s="4" t="s">
        <v>523</v>
      </c>
      <c r="B99" s="4" t="s">
        <v>524</v>
      </c>
      <c r="C99" s="4" t="s">
        <v>525</v>
      </c>
      <c r="D99" s="4" t="s">
        <v>526</v>
      </c>
      <c r="E99" s="4" t="s">
        <v>527</v>
      </c>
      <c r="F99" t="s">
        <v>528</v>
      </c>
      <c r="G99" s="5">
        <v>899.83</v>
      </c>
      <c r="H99" s="5">
        <v>0</v>
      </c>
      <c r="I99" s="5">
        <v>0</v>
      </c>
      <c r="J99" s="5">
        <f t="shared" si="1"/>
        <v>899.83</v>
      </c>
    </row>
    <row r="100" spans="1:10" ht="15">
      <c r="A100" s="4" t="s">
        <v>529</v>
      </c>
      <c r="B100" s="4" t="s">
        <v>530</v>
      </c>
      <c r="C100" s="4" t="s">
        <v>531</v>
      </c>
      <c r="D100" s="4" t="s">
        <v>188</v>
      </c>
      <c r="E100" s="4" t="s">
        <v>532</v>
      </c>
      <c r="F100" t="s">
        <v>533</v>
      </c>
      <c r="G100" s="5">
        <v>0</v>
      </c>
      <c r="H100" s="5">
        <v>0</v>
      </c>
      <c r="I100" s="5">
        <v>0</v>
      </c>
      <c r="J100" s="5">
        <f t="shared" si="1"/>
        <v>0</v>
      </c>
    </row>
    <row r="101" spans="1:10" ht="15">
      <c r="A101" s="4" t="s">
        <v>534</v>
      </c>
      <c r="B101" s="4" t="s">
        <v>535</v>
      </c>
      <c r="C101" s="4" t="s">
        <v>536</v>
      </c>
      <c r="D101" s="4" t="s">
        <v>537</v>
      </c>
      <c r="E101" s="4" t="s">
        <v>538</v>
      </c>
      <c r="F101" t="s">
        <v>539</v>
      </c>
      <c r="G101" s="5">
        <v>0</v>
      </c>
      <c r="H101" s="5">
        <v>0</v>
      </c>
      <c r="I101" s="5">
        <v>0</v>
      </c>
      <c r="J101" s="5">
        <f t="shared" si="1"/>
        <v>0</v>
      </c>
    </row>
    <row r="102" spans="1:10" ht="15">
      <c r="A102" s="4" t="s">
        <v>540</v>
      </c>
      <c r="B102" s="4" t="s">
        <v>541</v>
      </c>
      <c r="C102" s="4" t="s">
        <v>542</v>
      </c>
      <c r="D102" s="4" t="s">
        <v>543</v>
      </c>
      <c r="E102" s="4" t="s">
        <v>544</v>
      </c>
      <c r="F102" t="s">
        <v>545</v>
      </c>
      <c r="G102" s="5">
        <v>853.68</v>
      </c>
      <c r="H102" s="5">
        <v>0</v>
      </c>
      <c r="I102" s="5">
        <v>0</v>
      </c>
      <c r="J102" s="5">
        <f t="shared" si="1"/>
        <v>853.68</v>
      </c>
    </row>
    <row r="103" spans="1:10" ht="15">
      <c r="A103" s="4" t="s">
        <v>546</v>
      </c>
      <c r="B103" s="4" t="s">
        <v>547</v>
      </c>
      <c r="C103" s="4" t="s">
        <v>548</v>
      </c>
      <c r="D103" s="4" t="s">
        <v>549</v>
      </c>
      <c r="E103" s="4" t="s">
        <v>550</v>
      </c>
      <c r="F103" t="s">
        <v>551</v>
      </c>
      <c r="G103" s="5">
        <v>853.68</v>
      </c>
      <c r="H103" s="5">
        <v>0</v>
      </c>
      <c r="I103" s="5">
        <v>0</v>
      </c>
      <c r="J103" s="5">
        <f t="shared" si="1"/>
        <v>853.68</v>
      </c>
    </row>
    <row r="104" spans="1:10" ht="15">
      <c r="A104" s="4" t="s">
        <v>552</v>
      </c>
      <c r="B104" s="4" t="s">
        <v>553</v>
      </c>
      <c r="C104" s="4" t="s">
        <v>554</v>
      </c>
      <c r="D104" s="4" t="s">
        <v>555</v>
      </c>
      <c r="E104" s="4" t="s">
        <v>556</v>
      </c>
      <c r="F104" t="s">
        <v>557</v>
      </c>
      <c r="G104" s="5">
        <v>0</v>
      </c>
      <c r="H104" s="5">
        <v>0</v>
      </c>
      <c r="I104" s="5">
        <v>0</v>
      </c>
      <c r="J104" s="5">
        <f t="shared" si="1"/>
        <v>0</v>
      </c>
    </row>
    <row r="105" spans="1:10" ht="15">
      <c r="A105" s="4" t="s">
        <v>558</v>
      </c>
      <c r="B105" s="4" t="s">
        <v>559</v>
      </c>
      <c r="C105" s="4" t="s">
        <v>560</v>
      </c>
      <c r="D105" s="4" t="s">
        <v>561</v>
      </c>
      <c r="E105" s="4" t="s">
        <v>556</v>
      </c>
      <c r="F105" t="s">
        <v>562</v>
      </c>
      <c r="G105" s="5">
        <v>899.83</v>
      </c>
      <c r="H105" s="5">
        <v>0</v>
      </c>
      <c r="I105" s="5">
        <v>0</v>
      </c>
      <c r="J105" s="5">
        <f t="shared" si="1"/>
        <v>899.83</v>
      </c>
    </row>
    <row r="106" spans="1:10" ht="15">
      <c r="A106" s="4" t="s">
        <v>563</v>
      </c>
      <c r="B106" s="4" t="s">
        <v>564</v>
      </c>
      <c r="C106" s="4" t="s">
        <v>565</v>
      </c>
      <c r="D106" s="4" t="s">
        <v>566</v>
      </c>
      <c r="E106" s="4" t="s">
        <v>567</v>
      </c>
      <c r="F106" t="s">
        <v>568</v>
      </c>
      <c r="G106" s="5">
        <v>830.61</v>
      </c>
      <c r="H106" s="5">
        <v>0</v>
      </c>
      <c r="I106" s="5">
        <v>0</v>
      </c>
      <c r="J106" s="5">
        <f t="shared" si="1"/>
        <v>830.61</v>
      </c>
    </row>
    <row r="107" spans="1:10" ht="15">
      <c r="A107" s="4" t="s">
        <v>569</v>
      </c>
      <c r="B107" s="4" t="s">
        <v>570</v>
      </c>
      <c r="C107" s="4" t="s">
        <v>571</v>
      </c>
      <c r="D107" s="4" t="s">
        <v>572</v>
      </c>
      <c r="E107" s="4" t="s">
        <v>573</v>
      </c>
      <c r="F107" t="s">
        <v>574</v>
      </c>
      <c r="G107" s="5">
        <v>0</v>
      </c>
      <c r="H107" s="5">
        <v>0</v>
      </c>
      <c r="I107" s="5">
        <v>0</v>
      </c>
      <c r="J107" s="5">
        <f t="shared" si="1"/>
        <v>0</v>
      </c>
    </row>
    <row r="108" spans="1:10" ht="15">
      <c r="A108" s="4" t="s">
        <v>575</v>
      </c>
      <c r="B108" s="4" t="s">
        <v>576</v>
      </c>
      <c r="C108" s="4" t="s">
        <v>577</v>
      </c>
      <c r="D108" s="4" t="s">
        <v>578</v>
      </c>
      <c r="E108" s="4" t="s">
        <v>579</v>
      </c>
      <c r="F108" t="s">
        <v>580</v>
      </c>
      <c r="G108" s="5">
        <v>830.61</v>
      </c>
      <c r="H108" s="5">
        <v>0</v>
      </c>
      <c r="I108" s="5">
        <v>0</v>
      </c>
      <c r="J108" s="5">
        <f t="shared" si="1"/>
        <v>830.61</v>
      </c>
    </row>
    <row r="109" spans="1:10" ht="15">
      <c r="A109" s="4" t="s">
        <v>581</v>
      </c>
      <c r="B109" s="4" t="s">
        <v>582</v>
      </c>
      <c r="C109" s="4" t="s">
        <v>583</v>
      </c>
      <c r="D109" s="4" t="s">
        <v>584</v>
      </c>
      <c r="E109" s="4" t="s">
        <v>579</v>
      </c>
      <c r="F109" t="s">
        <v>585</v>
      </c>
      <c r="G109" s="5">
        <v>922.9</v>
      </c>
      <c r="H109" s="5">
        <v>0</v>
      </c>
      <c r="I109" s="5">
        <v>0</v>
      </c>
      <c r="J109" s="5">
        <f t="shared" si="1"/>
        <v>922.9</v>
      </c>
    </row>
    <row r="110" spans="1:10" ht="15">
      <c r="A110" s="4" t="s">
        <v>586</v>
      </c>
      <c r="B110" s="4" t="s">
        <v>328</v>
      </c>
      <c r="C110" s="4" t="s">
        <v>93</v>
      </c>
      <c r="D110" s="4" t="s">
        <v>587</v>
      </c>
      <c r="E110" s="4" t="s">
        <v>588</v>
      </c>
      <c r="F110" t="s">
        <v>589</v>
      </c>
      <c r="G110" s="5">
        <v>922.9</v>
      </c>
      <c r="H110" s="5">
        <v>0</v>
      </c>
      <c r="I110" s="5">
        <v>0</v>
      </c>
      <c r="J110" s="5">
        <f t="shared" si="1"/>
        <v>922.9</v>
      </c>
    </row>
    <row r="111" spans="1:10" ht="15">
      <c r="A111" s="4" t="s">
        <v>590</v>
      </c>
      <c r="B111" s="4" t="s">
        <v>591</v>
      </c>
      <c r="C111" s="4" t="s">
        <v>592</v>
      </c>
      <c r="D111" s="4" t="s">
        <v>593</v>
      </c>
      <c r="E111" s="4" t="s">
        <v>594</v>
      </c>
      <c r="F111" t="s">
        <v>595</v>
      </c>
      <c r="G111" s="5">
        <v>853.68</v>
      </c>
      <c r="H111" s="5">
        <v>0</v>
      </c>
      <c r="I111" s="5">
        <v>0</v>
      </c>
      <c r="J111" s="5">
        <f t="shared" si="1"/>
        <v>853.68</v>
      </c>
    </row>
    <row r="112" spans="1:10" ht="15">
      <c r="A112" s="4" t="s">
        <v>596</v>
      </c>
      <c r="B112" s="4" t="s">
        <v>597</v>
      </c>
      <c r="C112" s="4" t="s">
        <v>12</v>
      </c>
      <c r="D112" s="4" t="s">
        <v>598</v>
      </c>
      <c r="E112" s="4" t="s">
        <v>599</v>
      </c>
      <c r="F112" t="s">
        <v>600</v>
      </c>
      <c r="G112" s="5">
        <v>0</v>
      </c>
      <c r="H112" s="5">
        <v>0</v>
      </c>
      <c r="I112" s="5">
        <v>0</v>
      </c>
      <c r="J112" s="5">
        <f t="shared" si="1"/>
        <v>0</v>
      </c>
    </row>
    <row r="113" spans="1:10" ht="15">
      <c r="A113" s="4" t="s">
        <v>601</v>
      </c>
      <c r="B113" s="4" t="s">
        <v>602</v>
      </c>
      <c r="C113" s="4" t="s">
        <v>603</v>
      </c>
      <c r="D113" s="4" t="s">
        <v>604</v>
      </c>
      <c r="E113" s="4" t="s">
        <v>605</v>
      </c>
      <c r="F113" t="s">
        <v>606</v>
      </c>
      <c r="G113" s="5">
        <v>830.61</v>
      </c>
      <c r="H113" s="5">
        <v>0</v>
      </c>
      <c r="I113" s="5">
        <v>0</v>
      </c>
      <c r="J113" s="5">
        <f t="shared" si="1"/>
        <v>830.61</v>
      </c>
    </row>
    <row r="114" spans="1:10" ht="15">
      <c r="A114" s="4" t="s">
        <v>607</v>
      </c>
      <c r="B114" s="4" t="s">
        <v>608</v>
      </c>
      <c r="C114" s="4" t="s">
        <v>609</v>
      </c>
      <c r="D114" s="4" t="s">
        <v>610</v>
      </c>
      <c r="E114" s="4" t="s">
        <v>611</v>
      </c>
      <c r="F114" t="s">
        <v>612</v>
      </c>
      <c r="G114" s="5">
        <v>807.54</v>
      </c>
      <c r="H114" s="5">
        <v>0</v>
      </c>
      <c r="I114" s="5">
        <v>0</v>
      </c>
      <c r="J114" s="5">
        <f t="shared" si="1"/>
        <v>807.54</v>
      </c>
    </row>
    <row r="115" spans="1:10" ht="15">
      <c r="A115" s="4" t="s">
        <v>613</v>
      </c>
      <c r="B115" s="4" t="s">
        <v>614</v>
      </c>
      <c r="C115" s="4" t="s">
        <v>615</v>
      </c>
      <c r="D115" s="4" t="s">
        <v>616</v>
      </c>
      <c r="E115" s="4" t="s">
        <v>617</v>
      </c>
      <c r="F115" t="s">
        <v>618</v>
      </c>
      <c r="G115" s="5">
        <v>738.32</v>
      </c>
      <c r="H115" s="5">
        <v>0</v>
      </c>
      <c r="I115" s="5">
        <v>0</v>
      </c>
      <c r="J115" s="5">
        <f t="shared" si="1"/>
        <v>738.32</v>
      </c>
    </row>
    <row r="116" spans="1:10" ht="15">
      <c r="A116" s="4" t="s">
        <v>619</v>
      </c>
      <c r="B116" s="4" t="s">
        <v>620</v>
      </c>
      <c r="C116" s="4" t="s">
        <v>621</v>
      </c>
      <c r="D116" s="4" t="s">
        <v>622</v>
      </c>
      <c r="E116" s="4" t="s">
        <v>623</v>
      </c>
      <c r="F116" t="s">
        <v>624</v>
      </c>
      <c r="G116" s="5">
        <v>0</v>
      </c>
      <c r="H116" s="5">
        <v>0</v>
      </c>
      <c r="I116" s="5">
        <v>0</v>
      </c>
      <c r="J116" s="5">
        <f t="shared" si="1"/>
        <v>0</v>
      </c>
    </row>
    <row r="117" spans="1:10" ht="15">
      <c r="A117" s="4" t="s">
        <v>625</v>
      </c>
      <c r="B117" s="4" t="s">
        <v>626</v>
      </c>
      <c r="C117" s="4" t="s">
        <v>627</v>
      </c>
      <c r="D117" s="4" t="s">
        <v>628</v>
      </c>
      <c r="E117" s="4" t="s">
        <v>629</v>
      </c>
      <c r="F117" t="s">
        <v>630</v>
      </c>
      <c r="G117" s="5">
        <v>784.47</v>
      </c>
      <c r="H117" s="5">
        <v>0</v>
      </c>
      <c r="I117" s="5">
        <v>0</v>
      </c>
      <c r="J117" s="5">
        <f t="shared" si="1"/>
        <v>784.47</v>
      </c>
    </row>
    <row r="118" spans="1:10" ht="15">
      <c r="A118" s="4" t="s">
        <v>631</v>
      </c>
      <c r="B118" s="4" t="s">
        <v>632</v>
      </c>
      <c r="C118" s="4" t="s">
        <v>633</v>
      </c>
      <c r="D118" s="4" t="s">
        <v>634</v>
      </c>
      <c r="E118" s="4" t="s">
        <v>635</v>
      </c>
      <c r="F118" t="s">
        <v>636</v>
      </c>
      <c r="G118" s="5">
        <v>922.9</v>
      </c>
      <c r="H118" s="5">
        <v>0</v>
      </c>
      <c r="I118" s="5">
        <v>0</v>
      </c>
      <c r="J118" s="5">
        <f t="shared" si="1"/>
        <v>922.9</v>
      </c>
    </row>
    <row r="119" spans="1:10" ht="15">
      <c r="A119" s="4" t="s">
        <v>637</v>
      </c>
      <c r="B119" s="4" t="s">
        <v>638</v>
      </c>
      <c r="C119" s="4" t="s">
        <v>639</v>
      </c>
      <c r="D119" s="4" t="s">
        <v>640</v>
      </c>
      <c r="E119" s="4" t="s">
        <v>641</v>
      </c>
      <c r="F119" t="s">
        <v>642</v>
      </c>
      <c r="G119" s="5">
        <v>922.9</v>
      </c>
      <c r="H119" s="5">
        <v>0</v>
      </c>
      <c r="I119" s="5">
        <v>0</v>
      </c>
      <c r="J119" s="5">
        <f t="shared" si="1"/>
        <v>922.9</v>
      </c>
    </row>
    <row r="120" spans="1:10" ht="15">
      <c r="A120" s="4" t="s">
        <v>643</v>
      </c>
      <c r="B120" s="4" t="s">
        <v>644</v>
      </c>
      <c r="C120" s="4" t="s">
        <v>645</v>
      </c>
      <c r="D120" s="4" t="s">
        <v>646</v>
      </c>
      <c r="E120" s="4" t="s">
        <v>647</v>
      </c>
      <c r="F120" t="s">
        <v>648</v>
      </c>
      <c r="G120" s="5">
        <v>692.18</v>
      </c>
      <c r="H120" s="5">
        <v>0</v>
      </c>
      <c r="I120" s="5">
        <v>0</v>
      </c>
      <c r="J120" s="5">
        <f t="shared" si="1"/>
        <v>692.18</v>
      </c>
    </row>
    <row r="121" spans="1:10" ht="15">
      <c r="A121" s="4" t="s">
        <v>649</v>
      </c>
      <c r="B121" s="4" t="s">
        <v>650</v>
      </c>
      <c r="C121" s="4" t="s">
        <v>651</v>
      </c>
      <c r="D121" s="4" t="s">
        <v>381</v>
      </c>
      <c r="E121" s="4" t="s">
        <v>647</v>
      </c>
      <c r="F121" t="s">
        <v>652</v>
      </c>
      <c r="G121" s="5">
        <v>830.61</v>
      </c>
      <c r="H121" s="5">
        <v>0</v>
      </c>
      <c r="I121" s="5">
        <v>0</v>
      </c>
      <c r="J121" s="5">
        <f t="shared" si="1"/>
        <v>830.61</v>
      </c>
    </row>
    <row r="122" spans="1:10" ht="15">
      <c r="A122" s="4" t="s">
        <v>653</v>
      </c>
      <c r="B122" s="4" t="s">
        <v>152</v>
      </c>
      <c r="C122" s="4" t="s">
        <v>654</v>
      </c>
      <c r="D122" s="4" t="s">
        <v>655</v>
      </c>
      <c r="E122" s="4" t="s">
        <v>656</v>
      </c>
      <c r="F122" t="s">
        <v>657</v>
      </c>
      <c r="G122" s="5">
        <v>807.54</v>
      </c>
      <c r="H122" s="5">
        <v>0</v>
      </c>
      <c r="I122" s="5">
        <v>0</v>
      </c>
      <c r="J122" s="5">
        <f t="shared" si="1"/>
        <v>807.54</v>
      </c>
    </row>
    <row r="123" spans="1:10" ht="15">
      <c r="A123" s="4" t="s">
        <v>658</v>
      </c>
      <c r="B123" s="4" t="s">
        <v>659</v>
      </c>
      <c r="C123" s="4" t="s">
        <v>660</v>
      </c>
      <c r="D123" s="4" t="s">
        <v>661</v>
      </c>
      <c r="E123" s="4" t="s">
        <v>656</v>
      </c>
      <c r="F123" t="s">
        <v>662</v>
      </c>
      <c r="G123" s="5">
        <v>738.32</v>
      </c>
      <c r="H123" s="5">
        <v>0</v>
      </c>
      <c r="I123" s="5">
        <v>0</v>
      </c>
      <c r="J123" s="5">
        <f t="shared" si="1"/>
        <v>738.32</v>
      </c>
    </row>
    <row r="124" spans="1:10" ht="15">
      <c r="A124" s="4" t="s">
        <v>663</v>
      </c>
      <c r="B124" s="4" t="s">
        <v>664</v>
      </c>
      <c r="C124" s="4" t="s">
        <v>472</v>
      </c>
      <c r="D124" s="4" t="s">
        <v>665</v>
      </c>
      <c r="E124" s="4" t="s">
        <v>656</v>
      </c>
      <c r="F124" t="s">
        <v>666</v>
      </c>
      <c r="G124" s="5">
        <v>0</v>
      </c>
      <c r="H124" s="5">
        <v>0</v>
      </c>
      <c r="I124" s="5">
        <v>0</v>
      </c>
      <c r="J124" s="5">
        <f t="shared" si="1"/>
        <v>0</v>
      </c>
    </row>
    <row r="125" spans="1:10" ht="15">
      <c r="A125" s="4" t="s">
        <v>667</v>
      </c>
      <c r="B125" s="4" t="s">
        <v>668</v>
      </c>
      <c r="C125" s="4" t="s">
        <v>669</v>
      </c>
      <c r="D125" s="4" t="s">
        <v>670</v>
      </c>
      <c r="E125" s="4" t="s">
        <v>656</v>
      </c>
      <c r="F125" t="s">
        <v>671</v>
      </c>
      <c r="G125" s="5">
        <v>680.16</v>
      </c>
      <c r="H125" s="5">
        <v>0</v>
      </c>
      <c r="I125" s="5">
        <v>0</v>
      </c>
      <c r="J125" s="5">
        <f t="shared" si="1"/>
        <v>680.16</v>
      </c>
    </row>
    <row r="126" spans="1:10" ht="15">
      <c r="A126" s="4" t="s">
        <v>672</v>
      </c>
      <c r="B126" s="4" t="s">
        <v>673</v>
      </c>
      <c r="C126" s="4" t="s">
        <v>674</v>
      </c>
      <c r="D126" s="4" t="s">
        <v>675</v>
      </c>
      <c r="E126" s="4" t="s">
        <v>656</v>
      </c>
      <c r="F126" t="s">
        <v>676</v>
      </c>
      <c r="G126" s="5">
        <v>0</v>
      </c>
      <c r="H126" s="5">
        <v>0</v>
      </c>
      <c r="I126" s="5">
        <v>0</v>
      </c>
      <c r="J126" s="5">
        <f t="shared" si="1"/>
        <v>0</v>
      </c>
    </row>
    <row r="127" spans="1:10" ht="15">
      <c r="A127" s="4" t="s">
        <v>677</v>
      </c>
      <c r="B127" s="4" t="s">
        <v>678</v>
      </c>
      <c r="C127" s="4" t="s">
        <v>679</v>
      </c>
      <c r="D127" s="4" t="s">
        <v>680</v>
      </c>
      <c r="E127" s="4" t="s">
        <v>656</v>
      </c>
      <c r="F127" t="s">
        <v>681</v>
      </c>
      <c r="G127" s="5">
        <v>784.47</v>
      </c>
      <c r="H127" s="5">
        <v>438.38</v>
      </c>
      <c r="I127" s="5">
        <v>0</v>
      </c>
      <c r="J127" s="5">
        <f t="shared" si="1"/>
        <v>1222.8499999999999</v>
      </c>
    </row>
    <row r="128" spans="1:10" ht="15">
      <c r="A128" s="4" t="s">
        <v>682</v>
      </c>
      <c r="B128" s="4" t="s">
        <v>170</v>
      </c>
      <c r="C128" s="4" t="s">
        <v>683</v>
      </c>
      <c r="D128" s="4" t="s">
        <v>684</v>
      </c>
      <c r="E128" s="4" t="s">
        <v>656</v>
      </c>
      <c r="F128" t="s">
        <v>685</v>
      </c>
      <c r="G128" s="5">
        <v>747.74</v>
      </c>
      <c r="H128" s="5">
        <v>438.38</v>
      </c>
      <c r="I128" s="5">
        <v>0</v>
      </c>
      <c r="J128" s="5">
        <f t="shared" si="1"/>
        <v>1186.1199999999999</v>
      </c>
    </row>
    <row r="129" spans="1:10" ht="15">
      <c r="A129" s="4" t="s">
        <v>686</v>
      </c>
      <c r="B129" s="4" t="s">
        <v>157</v>
      </c>
      <c r="C129" s="4" t="s">
        <v>687</v>
      </c>
      <c r="D129" s="4" t="s">
        <v>688</v>
      </c>
      <c r="E129" s="4" t="s">
        <v>689</v>
      </c>
      <c r="F129" t="s">
        <v>690</v>
      </c>
      <c r="G129" s="5">
        <v>784.47</v>
      </c>
      <c r="H129" s="5">
        <v>0</v>
      </c>
      <c r="I129" s="5">
        <v>0</v>
      </c>
      <c r="J129" s="5">
        <f t="shared" si="1"/>
        <v>784.47</v>
      </c>
    </row>
    <row r="130" spans="1:10" ht="15">
      <c r="A130" s="4" t="s">
        <v>691</v>
      </c>
      <c r="B130" s="4" t="s">
        <v>692</v>
      </c>
      <c r="C130" s="4" t="s">
        <v>693</v>
      </c>
      <c r="D130" s="4" t="s">
        <v>694</v>
      </c>
      <c r="E130" s="4" t="s">
        <v>689</v>
      </c>
      <c r="F130" t="s">
        <v>695</v>
      </c>
      <c r="G130" s="5">
        <v>784.47</v>
      </c>
      <c r="H130" s="5">
        <v>0</v>
      </c>
      <c r="I130" s="5">
        <v>0</v>
      </c>
      <c r="J130" s="5">
        <f t="shared" si="1"/>
        <v>784.47</v>
      </c>
    </row>
    <row r="131" spans="1:10" ht="15">
      <c r="A131" s="4" t="s">
        <v>696</v>
      </c>
      <c r="B131" s="4" t="s">
        <v>697</v>
      </c>
      <c r="C131" s="4" t="s">
        <v>698</v>
      </c>
      <c r="D131" s="4" t="s">
        <v>699</v>
      </c>
      <c r="E131" s="4" t="s">
        <v>689</v>
      </c>
      <c r="F131" t="s">
        <v>700</v>
      </c>
      <c r="G131" s="5">
        <v>0</v>
      </c>
      <c r="H131" s="5">
        <v>0</v>
      </c>
      <c r="I131" s="5">
        <v>0</v>
      </c>
      <c r="J131" s="5">
        <f t="shared" si="1"/>
        <v>0</v>
      </c>
    </row>
    <row r="132" spans="1:10" ht="15">
      <c r="A132" s="4" t="s">
        <v>701</v>
      </c>
      <c r="B132" s="4" t="s">
        <v>702</v>
      </c>
      <c r="C132" s="4" t="s">
        <v>703</v>
      </c>
      <c r="D132" s="4" t="s">
        <v>704</v>
      </c>
      <c r="E132" s="4" t="s">
        <v>689</v>
      </c>
      <c r="F132" t="s">
        <v>705</v>
      </c>
      <c r="G132" s="5">
        <v>784.47</v>
      </c>
      <c r="H132" s="5">
        <v>392.33</v>
      </c>
      <c r="I132" s="5">
        <v>0</v>
      </c>
      <c r="J132" s="5">
        <f t="shared" si="1"/>
        <v>1176.8</v>
      </c>
    </row>
    <row r="133" spans="1:10" ht="15">
      <c r="A133" s="4" t="s">
        <v>706</v>
      </c>
      <c r="B133" s="4" t="s">
        <v>707</v>
      </c>
      <c r="C133" s="4" t="s">
        <v>708</v>
      </c>
      <c r="D133" s="4" t="s">
        <v>709</v>
      </c>
      <c r="E133" s="4" t="s">
        <v>689</v>
      </c>
      <c r="F133" t="s">
        <v>710</v>
      </c>
      <c r="G133" s="5">
        <v>692.18</v>
      </c>
      <c r="H133" s="5">
        <v>0</v>
      </c>
      <c r="I133" s="5">
        <v>0</v>
      </c>
      <c r="J133" s="5">
        <f t="shared" si="1"/>
        <v>692.18</v>
      </c>
    </row>
    <row r="134" spans="1:10" ht="15">
      <c r="A134" s="4" t="s">
        <v>711</v>
      </c>
      <c r="B134" s="4" t="s">
        <v>712</v>
      </c>
      <c r="C134" s="4" t="s">
        <v>713</v>
      </c>
      <c r="D134" s="4" t="s">
        <v>714</v>
      </c>
      <c r="E134" s="4" t="s">
        <v>689</v>
      </c>
      <c r="F134" t="s">
        <v>715</v>
      </c>
      <c r="G134" s="5">
        <v>0</v>
      </c>
      <c r="H134" s="5">
        <v>916.11</v>
      </c>
      <c r="I134" s="5">
        <v>0</v>
      </c>
      <c r="J134" s="5">
        <f t="shared" si="1"/>
        <v>916.11</v>
      </c>
    </row>
    <row r="135" spans="1:10" ht="15">
      <c r="A135" s="4" t="s">
        <v>716</v>
      </c>
      <c r="B135" s="4" t="s">
        <v>717</v>
      </c>
      <c r="C135" s="4" t="s">
        <v>718</v>
      </c>
      <c r="D135" s="4" t="s">
        <v>719</v>
      </c>
      <c r="E135" s="4" t="s">
        <v>689</v>
      </c>
      <c r="F135" t="s">
        <v>720</v>
      </c>
      <c r="G135" s="5">
        <v>830.61</v>
      </c>
      <c r="H135" s="5">
        <v>0</v>
      </c>
      <c r="I135" s="5">
        <v>0</v>
      </c>
      <c r="J135" s="5">
        <f t="shared" si="1"/>
        <v>830.61</v>
      </c>
    </row>
    <row r="136" spans="1:10" ht="15">
      <c r="A136" s="4" t="s">
        <v>721</v>
      </c>
      <c r="B136" s="4" t="s">
        <v>722</v>
      </c>
      <c r="C136" s="4" t="s">
        <v>723</v>
      </c>
      <c r="D136" s="4" t="s">
        <v>724</v>
      </c>
      <c r="E136" s="4" t="s">
        <v>689</v>
      </c>
      <c r="F136" t="s">
        <v>725</v>
      </c>
      <c r="G136" s="5">
        <v>646.03</v>
      </c>
      <c r="H136" s="5">
        <v>0</v>
      </c>
      <c r="I136" s="5">
        <v>0</v>
      </c>
      <c r="J136" s="5">
        <f t="shared" ref="J136:J199" si="2">G136+H136+I136</f>
        <v>646.03</v>
      </c>
    </row>
    <row r="137" spans="1:10" ht="15">
      <c r="A137" s="4" t="s">
        <v>726</v>
      </c>
      <c r="B137" s="4" t="s">
        <v>727</v>
      </c>
      <c r="C137" s="4" t="s">
        <v>728</v>
      </c>
      <c r="D137" s="4" t="s">
        <v>729</v>
      </c>
      <c r="E137" s="4" t="s">
        <v>689</v>
      </c>
      <c r="F137" t="s">
        <v>730</v>
      </c>
      <c r="G137" s="5">
        <v>876.76</v>
      </c>
      <c r="H137" s="5">
        <v>0</v>
      </c>
      <c r="I137" s="5">
        <v>0</v>
      </c>
      <c r="J137" s="5">
        <f t="shared" si="2"/>
        <v>876.76</v>
      </c>
    </row>
    <row r="138" spans="1:10" ht="15">
      <c r="A138" s="4" t="s">
        <v>731</v>
      </c>
      <c r="B138" s="4" t="s">
        <v>732</v>
      </c>
      <c r="C138" s="4" t="s">
        <v>733</v>
      </c>
      <c r="D138" s="4" t="s">
        <v>734</v>
      </c>
      <c r="E138" s="4" t="s">
        <v>689</v>
      </c>
      <c r="F138" t="s">
        <v>735</v>
      </c>
      <c r="G138" s="5">
        <v>761.39</v>
      </c>
      <c r="H138" s="5">
        <v>0</v>
      </c>
      <c r="I138" s="5">
        <v>0</v>
      </c>
      <c r="J138" s="5">
        <f t="shared" si="2"/>
        <v>761.39</v>
      </c>
    </row>
    <row r="139" spans="1:10" ht="15">
      <c r="A139" s="4" t="s">
        <v>736</v>
      </c>
      <c r="B139" s="4" t="s">
        <v>737</v>
      </c>
      <c r="C139" s="4" t="s">
        <v>738</v>
      </c>
      <c r="D139" s="4" t="s">
        <v>739</v>
      </c>
      <c r="E139" s="4" t="s">
        <v>689</v>
      </c>
      <c r="F139" t="s">
        <v>740</v>
      </c>
      <c r="G139" s="5">
        <v>0</v>
      </c>
      <c r="H139" s="5">
        <v>0</v>
      </c>
      <c r="I139" s="5">
        <v>0</v>
      </c>
      <c r="J139" s="5">
        <f t="shared" si="2"/>
        <v>0</v>
      </c>
    </row>
    <row r="140" spans="1:10" ht="15">
      <c r="A140" s="4" t="s">
        <v>741</v>
      </c>
      <c r="B140" s="4" t="s">
        <v>742</v>
      </c>
      <c r="C140" s="4" t="s">
        <v>743</v>
      </c>
      <c r="D140" s="4" t="s">
        <v>744</v>
      </c>
      <c r="E140" s="4" t="s">
        <v>689</v>
      </c>
      <c r="F140" t="s">
        <v>745</v>
      </c>
      <c r="G140" s="5">
        <v>784.47</v>
      </c>
      <c r="H140" s="5">
        <v>0</v>
      </c>
      <c r="I140" s="5">
        <v>0</v>
      </c>
      <c r="J140" s="5">
        <f t="shared" si="2"/>
        <v>784.47</v>
      </c>
    </row>
    <row r="141" spans="1:10" ht="15">
      <c r="A141" s="4" t="s">
        <v>746</v>
      </c>
      <c r="B141" s="4" t="s">
        <v>747</v>
      </c>
      <c r="C141" s="4" t="s">
        <v>748</v>
      </c>
      <c r="D141" s="4" t="s">
        <v>749</v>
      </c>
      <c r="E141" s="4" t="s">
        <v>689</v>
      </c>
      <c r="F141" t="s">
        <v>750</v>
      </c>
      <c r="G141" s="5">
        <v>899.83</v>
      </c>
      <c r="H141" s="5">
        <v>0</v>
      </c>
      <c r="I141" s="5">
        <v>0</v>
      </c>
      <c r="J141" s="5">
        <f t="shared" si="2"/>
        <v>899.83</v>
      </c>
    </row>
    <row r="142" spans="1:10" ht="15">
      <c r="A142" s="4" t="s">
        <v>751</v>
      </c>
      <c r="B142" s="4" t="s">
        <v>416</v>
      </c>
      <c r="C142" s="4" t="s">
        <v>317</v>
      </c>
      <c r="D142" s="4" t="s">
        <v>752</v>
      </c>
      <c r="E142" s="4" t="s">
        <v>689</v>
      </c>
      <c r="F142" t="s">
        <v>753</v>
      </c>
      <c r="G142" s="5">
        <v>761.39</v>
      </c>
      <c r="H142" s="5">
        <v>0</v>
      </c>
      <c r="I142" s="5">
        <v>0</v>
      </c>
      <c r="J142" s="5">
        <f t="shared" si="2"/>
        <v>761.39</v>
      </c>
    </row>
    <row r="143" spans="1:10" ht="15">
      <c r="A143" s="4" t="s">
        <v>754</v>
      </c>
      <c r="B143" s="4" t="s">
        <v>755</v>
      </c>
      <c r="C143" s="4" t="s">
        <v>756</v>
      </c>
      <c r="D143" s="4" t="s">
        <v>757</v>
      </c>
      <c r="E143" s="4" t="s">
        <v>689</v>
      </c>
      <c r="F143" t="s">
        <v>758</v>
      </c>
      <c r="G143" s="5">
        <v>715.25</v>
      </c>
      <c r="H143" s="5">
        <v>0</v>
      </c>
      <c r="I143" s="5">
        <v>0</v>
      </c>
      <c r="J143" s="5">
        <f t="shared" si="2"/>
        <v>715.25</v>
      </c>
    </row>
    <row r="144" spans="1:10" ht="15">
      <c r="A144" s="4" t="s">
        <v>759</v>
      </c>
      <c r="B144" s="4" t="s">
        <v>760</v>
      </c>
      <c r="C144" s="4" t="s">
        <v>761</v>
      </c>
      <c r="D144" s="4" t="s">
        <v>762</v>
      </c>
      <c r="E144" s="4" t="s">
        <v>689</v>
      </c>
      <c r="F144" t="s">
        <v>763</v>
      </c>
      <c r="G144" s="5">
        <v>553.74</v>
      </c>
      <c r="H144" s="5">
        <v>0</v>
      </c>
      <c r="I144" s="5">
        <v>0</v>
      </c>
      <c r="J144" s="5">
        <f t="shared" si="2"/>
        <v>553.74</v>
      </c>
    </row>
    <row r="145" spans="1:10" ht="15">
      <c r="A145" s="4" t="s">
        <v>764</v>
      </c>
      <c r="B145" s="4" t="s">
        <v>765</v>
      </c>
      <c r="C145" s="4" t="s">
        <v>766</v>
      </c>
      <c r="D145" s="4" t="s">
        <v>767</v>
      </c>
      <c r="E145" s="4" t="s">
        <v>689</v>
      </c>
      <c r="F145" t="s">
        <v>768</v>
      </c>
      <c r="G145" s="5">
        <v>738.32</v>
      </c>
      <c r="H145" s="5">
        <v>0</v>
      </c>
      <c r="I145" s="5">
        <v>0</v>
      </c>
      <c r="J145" s="5">
        <f t="shared" si="2"/>
        <v>738.32</v>
      </c>
    </row>
    <row r="146" spans="1:10" ht="15">
      <c r="A146" s="4" t="s">
        <v>769</v>
      </c>
      <c r="B146" s="4" t="s">
        <v>770</v>
      </c>
      <c r="C146" s="4" t="s">
        <v>771</v>
      </c>
      <c r="D146" s="4" t="s">
        <v>772</v>
      </c>
      <c r="E146" s="4" t="s">
        <v>689</v>
      </c>
      <c r="F146" t="s">
        <v>773</v>
      </c>
      <c r="G146" s="5">
        <v>692.18</v>
      </c>
      <c r="H146" s="5">
        <v>0</v>
      </c>
      <c r="I146" s="5">
        <v>0</v>
      </c>
      <c r="J146" s="5">
        <f t="shared" si="2"/>
        <v>692.18</v>
      </c>
    </row>
    <row r="147" spans="1:10" ht="15">
      <c r="A147" s="4" t="s">
        <v>774</v>
      </c>
      <c r="B147" s="4" t="s">
        <v>775</v>
      </c>
      <c r="C147" s="4" t="s">
        <v>776</v>
      </c>
      <c r="D147" s="4" t="s">
        <v>777</v>
      </c>
      <c r="E147" s="4" t="s">
        <v>689</v>
      </c>
      <c r="F147" t="s">
        <v>778</v>
      </c>
      <c r="G147" s="5">
        <v>669.1</v>
      </c>
      <c r="H147" s="5">
        <v>0</v>
      </c>
      <c r="I147" s="5">
        <v>0</v>
      </c>
      <c r="J147" s="5">
        <f t="shared" si="2"/>
        <v>669.1</v>
      </c>
    </row>
    <row r="148" spans="1:10" ht="15">
      <c r="A148" s="4" t="s">
        <v>779</v>
      </c>
      <c r="B148" s="4" t="s">
        <v>780</v>
      </c>
      <c r="C148" s="4" t="s">
        <v>781</v>
      </c>
      <c r="D148" s="4" t="s">
        <v>782</v>
      </c>
      <c r="E148" s="4" t="s">
        <v>689</v>
      </c>
      <c r="F148" t="s">
        <v>783</v>
      </c>
      <c r="G148" s="5">
        <v>738.32</v>
      </c>
      <c r="H148" s="5">
        <v>0</v>
      </c>
      <c r="I148" s="5">
        <v>0</v>
      </c>
      <c r="J148" s="5">
        <f t="shared" si="2"/>
        <v>738.32</v>
      </c>
    </row>
    <row r="149" spans="1:10" ht="15">
      <c r="A149" s="4" t="s">
        <v>784</v>
      </c>
      <c r="B149" s="4" t="s">
        <v>785</v>
      </c>
      <c r="C149" s="4" t="s">
        <v>786</v>
      </c>
      <c r="D149" s="4" t="s">
        <v>787</v>
      </c>
      <c r="E149" s="4" t="s">
        <v>788</v>
      </c>
      <c r="F149" t="s">
        <v>789</v>
      </c>
      <c r="G149" s="5">
        <v>0</v>
      </c>
      <c r="H149" s="5">
        <v>0</v>
      </c>
      <c r="I149" s="5">
        <v>0</v>
      </c>
      <c r="J149" s="5">
        <f t="shared" si="2"/>
        <v>0</v>
      </c>
    </row>
    <row r="150" spans="1:10" ht="15">
      <c r="A150" s="4" t="s">
        <v>790</v>
      </c>
      <c r="B150" s="4" t="s">
        <v>791</v>
      </c>
      <c r="C150" s="4" t="s">
        <v>792</v>
      </c>
      <c r="D150" s="4" t="s">
        <v>793</v>
      </c>
      <c r="E150" s="4" t="s">
        <v>689</v>
      </c>
      <c r="F150" t="s">
        <v>794</v>
      </c>
      <c r="G150" s="5">
        <v>0</v>
      </c>
      <c r="H150" s="5">
        <v>0</v>
      </c>
      <c r="I150" s="5">
        <v>0</v>
      </c>
      <c r="J150" s="5">
        <f t="shared" si="2"/>
        <v>0</v>
      </c>
    </row>
    <row r="151" spans="1:10" ht="15">
      <c r="A151" s="4" t="s">
        <v>795</v>
      </c>
      <c r="B151" s="4" t="s">
        <v>141</v>
      </c>
      <c r="C151" s="4" t="s">
        <v>796</v>
      </c>
      <c r="D151" s="4" t="s">
        <v>797</v>
      </c>
      <c r="E151" s="4" t="s">
        <v>689</v>
      </c>
      <c r="F151" t="s">
        <v>798</v>
      </c>
      <c r="G151" s="5">
        <v>0</v>
      </c>
      <c r="H151" s="5">
        <v>0</v>
      </c>
      <c r="I151" s="5">
        <v>0</v>
      </c>
      <c r="J151" s="5">
        <f t="shared" si="2"/>
        <v>0</v>
      </c>
    </row>
    <row r="152" spans="1:10" ht="15">
      <c r="A152" s="4" t="s">
        <v>799</v>
      </c>
      <c r="B152" s="4" t="s">
        <v>800</v>
      </c>
      <c r="C152" s="4" t="s">
        <v>801</v>
      </c>
      <c r="D152" s="4" t="s">
        <v>802</v>
      </c>
      <c r="E152" s="4" t="s">
        <v>689</v>
      </c>
      <c r="F152" t="s">
        <v>803</v>
      </c>
      <c r="G152" s="5">
        <v>0</v>
      </c>
      <c r="H152" s="5">
        <v>0</v>
      </c>
      <c r="I152" s="5">
        <v>0</v>
      </c>
      <c r="J152" s="5">
        <f t="shared" si="2"/>
        <v>0</v>
      </c>
    </row>
    <row r="153" spans="1:10" ht="15">
      <c r="A153" s="4" t="s">
        <v>804</v>
      </c>
      <c r="B153" s="4" t="s">
        <v>805</v>
      </c>
      <c r="C153" s="4" t="s">
        <v>806</v>
      </c>
      <c r="D153" s="4" t="s">
        <v>807</v>
      </c>
      <c r="E153" s="4" t="s">
        <v>689</v>
      </c>
      <c r="F153" t="s">
        <v>808</v>
      </c>
      <c r="G153" s="5">
        <v>0</v>
      </c>
      <c r="H153" s="5">
        <v>0</v>
      </c>
      <c r="I153" s="5">
        <v>0</v>
      </c>
      <c r="J153" s="5">
        <f t="shared" si="2"/>
        <v>0</v>
      </c>
    </row>
    <row r="154" spans="1:10" ht="15">
      <c r="A154" s="4" t="s">
        <v>809</v>
      </c>
      <c r="B154" s="4" t="s">
        <v>810</v>
      </c>
      <c r="C154" s="4" t="s">
        <v>811</v>
      </c>
      <c r="D154" s="4" t="s">
        <v>812</v>
      </c>
      <c r="E154" s="4" t="s">
        <v>813</v>
      </c>
      <c r="F154" t="s">
        <v>814</v>
      </c>
      <c r="G154" s="5">
        <v>853.68</v>
      </c>
      <c r="H154" s="5">
        <v>0</v>
      </c>
      <c r="I154" s="5">
        <v>0</v>
      </c>
      <c r="J154" s="5">
        <f t="shared" si="2"/>
        <v>853.68</v>
      </c>
    </row>
    <row r="155" spans="1:10" ht="15">
      <c r="A155" s="4" t="s">
        <v>815</v>
      </c>
      <c r="B155" s="4" t="s">
        <v>816</v>
      </c>
      <c r="C155" s="4" t="s">
        <v>817</v>
      </c>
      <c r="D155" s="4" t="s">
        <v>818</v>
      </c>
      <c r="E155" s="4" t="s">
        <v>689</v>
      </c>
      <c r="F155" t="s">
        <v>819</v>
      </c>
      <c r="G155" s="5">
        <v>853.68</v>
      </c>
      <c r="H155" s="5">
        <v>0</v>
      </c>
      <c r="I155" s="5">
        <v>0</v>
      </c>
      <c r="J155" s="5">
        <f t="shared" si="2"/>
        <v>853.68</v>
      </c>
    </row>
    <row r="156" spans="1:10" ht="15">
      <c r="A156" s="4" t="s">
        <v>820</v>
      </c>
      <c r="B156" s="4" t="s">
        <v>821</v>
      </c>
      <c r="C156" s="4" t="s">
        <v>822</v>
      </c>
      <c r="D156" s="4" t="s">
        <v>823</v>
      </c>
      <c r="E156" s="4" t="s">
        <v>689</v>
      </c>
      <c r="F156" t="s">
        <v>824</v>
      </c>
      <c r="G156" s="5">
        <v>738.32</v>
      </c>
      <c r="H156" s="5">
        <v>0</v>
      </c>
      <c r="I156" s="5">
        <v>0</v>
      </c>
      <c r="J156" s="5">
        <f t="shared" si="2"/>
        <v>738.32</v>
      </c>
    </row>
    <row r="157" spans="1:10" ht="15">
      <c r="A157" s="4" t="s">
        <v>825</v>
      </c>
      <c r="B157" s="4" t="s">
        <v>737</v>
      </c>
      <c r="C157" s="4" t="s">
        <v>826</v>
      </c>
      <c r="D157" s="4" t="s">
        <v>223</v>
      </c>
      <c r="E157" s="4" t="s">
        <v>689</v>
      </c>
      <c r="F157" t="s">
        <v>827</v>
      </c>
      <c r="G157" s="5">
        <v>0</v>
      </c>
      <c r="H157" s="5">
        <v>0</v>
      </c>
      <c r="I157" s="5">
        <v>0</v>
      </c>
      <c r="J157" s="5">
        <f t="shared" si="2"/>
        <v>0</v>
      </c>
    </row>
    <row r="158" spans="1:10" ht="15">
      <c r="A158" s="4" t="s">
        <v>828</v>
      </c>
      <c r="B158" s="4" t="s">
        <v>829</v>
      </c>
      <c r="C158" s="4" t="s">
        <v>830</v>
      </c>
      <c r="D158" s="4" t="s">
        <v>831</v>
      </c>
      <c r="E158" s="4" t="s">
        <v>689</v>
      </c>
      <c r="F158" t="s">
        <v>832</v>
      </c>
      <c r="G158" s="5">
        <v>830.61</v>
      </c>
      <c r="H158" s="5">
        <v>0</v>
      </c>
      <c r="I158" s="5">
        <v>0</v>
      </c>
      <c r="J158" s="5">
        <f t="shared" si="2"/>
        <v>830.61</v>
      </c>
    </row>
    <row r="159" spans="1:10" ht="15">
      <c r="A159" s="4" t="s">
        <v>833</v>
      </c>
      <c r="B159" s="4" t="s">
        <v>834</v>
      </c>
      <c r="C159" s="4" t="s">
        <v>835</v>
      </c>
      <c r="D159" s="4" t="s">
        <v>836</v>
      </c>
      <c r="E159" s="4" t="s">
        <v>813</v>
      </c>
      <c r="F159" t="s">
        <v>837</v>
      </c>
      <c r="G159" s="5">
        <v>784.47</v>
      </c>
      <c r="H159" s="5">
        <v>0</v>
      </c>
      <c r="I159" s="5">
        <v>0</v>
      </c>
      <c r="J159" s="5">
        <f t="shared" si="2"/>
        <v>784.47</v>
      </c>
    </row>
    <row r="160" spans="1:10" ht="15">
      <c r="A160" s="4" t="s">
        <v>838</v>
      </c>
      <c r="B160" s="4" t="s">
        <v>839</v>
      </c>
      <c r="C160" s="4" t="s">
        <v>840</v>
      </c>
      <c r="D160" s="4" t="s">
        <v>841</v>
      </c>
      <c r="E160" s="4" t="s">
        <v>842</v>
      </c>
      <c r="F160" t="s">
        <v>843</v>
      </c>
      <c r="G160" s="5">
        <v>876.76</v>
      </c>
      <c r="H160" s="5">
        <v>0</v>
      </c>
      <c r="I160" s="5">
        <v>0</v>
      </c>
      <c r="J160" s="5">
        <f t="shared" si="2"/>
        <v>876.76</v>
      </c>
    </row>
    <row r="161" spans="1:10" ht="15">
      <c r="A161" s="4" t="s">
        <v>844</v>
      </c>
      <c r="B161" s="4" t="s">
        <v>39</v>
      </c>
      <c r="C161" s="4" t="s">
        <v>845</v>
      </c>
      <c r="D161" s="4" t="s">
        <v>846</v>
      </c>
      <c r="E161" s="4" t="s">
        <v>842</v>
      </c>
      <c r="F161" t="s">
        <v>847</v>
      </c>
      <c r="G161" s="5">
        <v>899.83</v>
      </c>
      <c r="H161" s="5">
        <v>0</v>
      </c>
      <c r="I161" s="5">
        <v>0</v>
      </c>
      <c r="J161" s="5">
        <f t="shared" si="2"/>
        <v>899.83</v>
      </c>
    </row>
    <row r="162" spans="1:10" ht="15">
      <c r="A162" s="4" t="s">
        <v>848</v>
      </c>
      <c r="B162" s="4" t="s">
        <v>849</v>
      </c>
      <c r="C162" s="4" t="s">
        <v>850</v>
      </c>
      <c r="D162" s="4" t="s">
        <v>265</v>
      </c>
      <c r="E162" s="4" t="s">
        <v>842</v>
      </c>
      <c r="F162" t="s">
        <v>851</v>
      </c>
      <c r="G162" s="5">
        <v>853.68</v>
      </c>
      <c r="H162" s="5">
        <v>0</v>
      </c>
      <c r="I162" s="5">
        <v>0</v>
      </c>
      <c r="J162" s="5">
        <f t="shared" si="2"/>
        <v>853.68</v>
      </c>
    </row>
    <row r="163" spans="1:10" ht="15">
      <c r="A163" s="4" t="s">
        <v>852</v>
      </c>
      <c r="B163" s="4" t="s">
        <v>853</v>
      </c>
      <c r="C163" s="4" t="s">
        <v>854</v>
      </c>
      <c r="D163" s="4" t="s">
        <v>855</v>
      </c>
      <c r="E163" s="4" t="s">
        <v>856</v>
      </c>
      <c r="F163" t="s">
        <v>857</v>
      </c>
      <c r="G163" s="5">
        <v>0</v>
      </c>
      <c r="H163" s="5">
        <v>0</v>
      </c>
      <c r="I163" s="5">
        <v>0</v>
      </c>
      <c r="J163" s="5">
        <f t="shared" si="2"/>
        <v>0</v>
      </c>
    </row>
    <row r="164" spans="1:10" ht="15">
      <c r="A164" s="4" t="s">
        <v>858</v>
      </c>
      <c r="B164" s="4" t="s">
        <v>859</v>
      </c>
      <c r="C164" s="4" t="s">
        <v>860</v>
      </c>
      <c r="D164" s="4" t="s">
        <v>861</v>
      </c>
      <c r="E164" s="4" t="s">
        <v>862</v>
      </c>
      <c r="F164" t="s">
        <v>863</v>
      </c>
      <c r="G164" s="5">
        <v>899.83</v>
      </c>
      <c r="H164" s="5">
        <v>0</v>
      </c>
      <c r="I164" s="5">
        <v>0</v>
      </c>
      <c r="J164" s="5">
        <f t="shared" si="2"/>
        <v>899.83</v>
      </c>
    </row>
    <row r="165" spans="1:10" ht="15">
      <c r="A165" s="4" t="s">
        <v>864</v>
      </c>
      <c r="B165" s="4" t="s">
        <v>865</v>
      </c>
      <c r="C165" s="4" t="s">
        <v>866</v>
      </c>
      <c r="D165" s="4" t="s">
        <v>867</v>
      </c>
      <c r="E165" s="4" t="s">
        <v>868</v>
      </c>
      <c r="F165" t="s">
        <v>869</v>
      </c>
      <c r="G165" s="5">
        <v>853.68</v>
      </c>
      <c r="H165" s="5">
        <v>0</v>
      </c>
      <c r="I165" s="5">
        <v>0</v>
      </c>
      <c r="J165" s="5">
        <f t="shared" si="2"/>
        <v>853.68</v>
      </c>
    </row>
    <row r="166" spans="1:10" ht="15">
      <c r="A166" s="4" t="s">
        <v>870</v>
      </c>
      <c r="B166" s="4" t="s">
        <v>871</v>
      </c>
      <c r="C166" s="4" t="s">
        <v>872</v>
      </c>
      <c r="D166" s="4" t="s">
        <v>873</v>
      </c>
      <c r="E166" s="4" t="s">
        <v>868</v>
      </c>
      <c r="F166" t="s">
        <v>874</v>
      </c>
      <c r="G166" s="5">
        <v>784.47</v>
      </c>
      <c r="H166" s="5">
        <v>0</v>
      </c>
      <c r="I166" s="5">
        <v>0</v>
      </c>
      <c r="J166" s="5">
        <f t="shared" si="2"/>
        <v>784.47</v>
      </c>
    </row>
    <row r="167" spans="1:10" ht="15">
      <c r="A167" s="4" t="s">
        <v>875</v>
      </c>
      <c r="B167" s="4" t="s">
        <v>876</v>
      </c>
      <c r="C167" s="4" t="s">
        <v>877</v>
      </c>
      <c r="D167" s="4" t="s">
        <v>878</v>
      </c>
      <c r="E167" s="4" t="s">
        <v>868</v>
      </c>
      <c r="F167" t="s">
        <v>879</v>
      </c>
      <c r="G167" s="5">
        <v>761.39</v>
      </c>
      <c r="H167" s="5">
        <v>0</v>
      </c>
      <c r="I167" s="5">
        <v>0</v>
      </c>
      <c r="J167" s="5">
        <f t="shared" si="2"/>
        <v>761.39</v>
      </c>
    </row>
    <row r="168" spans="1:10" ht="15">
      <c r="A168" s="4" t="s">
        <v>880</v>
      </c>
      <c r="B168" s="4" t="s">
        <v>881</v>
      </c>
      <c r="C168" s="4" t="s">
        <v>882</v>
      </c>
      <c r="D168" s="4" t="s">
        <v>117</v>
      </c>
      <c r="E168" s="4" t="s">
        <v>868</v>
      </c>
      <c r="F168" t="s">
        <v>883</v>
      </c>
      <c r="G168" s="5">
        <v>0</v>
      </c>
      <c r="H168" s="5">
        <v>392.23</v>
      </c>
      <c r="I168" s="5">
        <v>0</v>
      </c>
      <c r="J168" s="5">
        <f t="shared" si="2"/>
        <v>392.23</v>
      </c>
    </row>
    <row r="169" spans="1:10" ht="15">
      <c r="A169" s="4" t="s">
        <v>884</v>
      </c>
      <c r="B169" s="4" t="s">
        <v>885</v>
      </c>
      <c r="C169" s="4" t="s">
        <v>886</v>
      </c>
      <c r="D169" s="4" t="s">
        <v>887</v>
      </c>
      <c r="E169" s="4" t="s">
        <v>868</v>
      </c>
      <c r="F169" t="s">
        <v>888</v>
      </c>
      <c r="G169" s="5">
        <v>0</v>
      </c>
      <c r="H169" s="5">
        <v>0</v>
      </c>
      <c r="I169" s="5">
        <v>0</v>
      </c>
      <c r="J169" s="5">
        <f t="shared" si="2"/>
        <v>0</v>
      </c>
    </row>
    <row r="170" spans="1:10" ht="15">
      <c r="A170" s="4" t="s">
        <v>889</v>
      </c>
      <c r="B170" s="4" t="s">
        <v>890</v>
      </c>
      <c r="C170" s="4" t="s">
        <v>891</v>
      </c>
      <c r="D170" s="4" t="s">
        <v>892</v>
      </c>
      <c r="E170" s="4" t="s">
        <v>868</v>
      </c>
      <c r="F170" t="s">
        <v>893</v>
      </c>
      <c r="G170" s="5">
        <v>715.25</v>
      </c>
      <c r="H170" s="5">
        <v>369.16</v>
      </c>
      <c r="I170" s="5">
        <v>0</v>
      </c>
      <c r="J170" s="5">
        <f t="shared" si="2"/>
        <v>1084.4100000000001</v>
      </c>
    </row>
    <row r="171" spans="1:10" ht="15">
      <c r="A171" s="4" t="s">
        <v>894</v>
      </c>
      <c r="B171" s="4" t="s">
        <v>895</v>
      </c>
      <c r="C171" s="4" t="s">
        <v>896</v>
      </c>
      <c r="D171" s="4" t="s">
        <v>897</v>
      </c>
      <c r="E171" s="4" t="s">
        <v>868</v>
      </c>
      <c r="F171" t="s">
        <v>898</v>
      </c>
      <c r="G171" s="5">
        <v>0</v>
      </c>
      <c r="H171" s="5">
        <v>0</v>
      </c>
      <c r="I171" s="5">
        <v>0</v>
      </c>
      <c r="J171" s="5">
        <f t="shared" si="2"/>
        <v>0</v>
      </c>
    </row>
    <row r="172" spans="1:10" ht="15">
      <c r="A172" s="4" t="s">
        <v>899</v>
      </c>
      <c r="B172" s="4" t="s">
        <v>900</v>
      </c>
      <c r="C172" s="4" t="s">
        <v>202</v>
      </c>
      <c r="D172" s="4" t="s">
        <v>901</v>
      </c>
      <c r="E172" s="4" t="s">
        <v>868</v>
      </c>
      <c r="F172" t="s">
        <v>902</v>
      </c>
      <c r="G172" s="5">
        <v>0</v>
      </c>
      <c r="H172" s="5">
        <v>0</v>
      </c>
      <c r="I172" s="5">
        <v>0</v>
      </c>
      <c r="J172" s="5">
        <f t="shared" si="2"/>
        <v>0</v>
      </c>
    </row>
    <row r="173" spans="1:10" ht="15">
      <c r="A173" s="4" t="s">
        <v>903</v>
      </c>
      <c r="B173" s="4" t="s">
        <v>904</v>
      </c>
      <c r="C173" s="4" t="s">
        <v>905</v>
      </c>
      <c r="D173" s="4" t="s">
        <v>94</v>
      </c>
      <c r="E173" s="4" t="s">
        <v>868</v>
      </c>
      <c r="F173" t="s">
        <v>906</v>
      </c>
      <c r="G173" s="5">
        <v>0</v>
      </c>
      <c r="H173" s="5">
        <v>0</v>
      </c>
      <c r="I173" s="5">
        <v>0</v>
      </c>
      <c r="J173" s="5">
        <f t="shared" si="2"/>
        <v>0</v>
      </c>
    </row>
    <row r="174" spans="1:10" ht="15">
      <c r="A174" s="4" t="s">
        <v>907</v>
      </c>
      <c r="B174" s="4" t="s">
        <v>908</v>
      </c>
      <c r="C174" s="4" t="s">
        <v>909</v>
      </c>
      <c r="D174" s="4" t="s">
        <v>910</v>
      </c>
      <c r="E174" s="4" t="s">
        <v>868</v>
      </c>
      <c r="F174" t="s">
        <v>911</v>
      </c>
      <c r="G174" s="5">
        <v>853.68</v>
      </c>
      <c r="H174" s="5">
        <v>0</v>
      </c>
      <c r="I174" s="5">
        <v>0</v>
      </c>
      <c r="J174" s="5">
        <f t="shared" si="2"/>
        <v>853.68</v>
      </c>
    </row>
    <row r="175" spans="1:10" ht="15">
      <c r="A175" s="4" t="s">
        <v>912</v>
      </c>
      <c r="B175" s="4" t="s">
        <v>913</v>
      </c>
      <c r="C175" s="4" t="s">
        <v>914</v>
      </c>
      <c r="D175" s="4" t="s">
        <v>915</v>
      </c>
      <c r="E175" s="4" t="s">
        <v>868</v>
      </c>
      <c r="F175" t="s">
        <v>916</v>
      </c>
      <c r="G175" s="5">
        <v>0</v>
      </c>
      <c r="H175" s="5">
        <v>0</v>
      </c>
      <c r="I175" s="5">
        <v>0</v>
      </c>
      <c r="J175" s="5">
        <f t="shared" si="2"/>
        <v>0</v>
      </c>
    </row>
    <row r="176" spans="1:10" ht="15">
      <c r="A176" s="4" t="s">
        <v>917</v>
      </c>
      <c r="B176" s="4" t="s">
        <v>918</v>
      </c>
      <c r="C176" s="4" t="s">
        <v>919</v>
      </c>
      <c r="D176" s="4" t="s">
        <v>920</v>
      </c>
      <c r="E176" s="4" t="s">
        <v>868</v>
      </c>
      <c r="F176" t="s">
        <v>921</v>
      </c>
      <c r="G176" s="5">
        <v>0</v>
      </c>
      <c r="H176" s="5">
        <v>0</v>
      </c>
      <c r="I176" s="5">
        <v>0</v>
      </c>
      <c r="J176" s="5">
        <f t="shared" si="2"/>
        <v>0</v>
      </c>
    </row>
    <row r="177" spans="1:10" ht="15">
      <c r="A177" s="4" t="s">
        <v>922</v>
      </c>
      <c r="B177" s="4" t="s">
        <v>923</v>
      </c>
      <c r="C177" s="4" t="s">
        <v>924</v>
      </c>
      <c r="D177" s="4" t="s">
        <v>925</v>
      </c>
      <c r="E177" s="4" t="s">
        <v>868</v>
      </c>
      <c r="F177" t="s">
        <v>926</v>
      </c>
      <c r="G177" s="5">
        <v>853.66</v>
      </c>
      <c r="H177" s="5">
        <v>0</v>
      </c>
      <c r="I177" s="5">
        <v>0</v>
      </c>
      <c r="J177" s="5">
        <f t="shared" si="2"/>
        <v>853.66</v>
      </c>
    </row>
    <row r="178" spans="1:10" ht="15">
      <c r="A178" s="4" t="s">
        <v>927</v>
      </c>
      <c r="B178" s="4" t="s">
        <v>928</v>
      </c>
      <c r="C178" s="4" t="s">
        <v>929</v>
      </c>
      <c r="D178" s="4" t="s">
        <v>930</v>
      </c>
      <c r="E178" s="4" t="s">
        <v>868</v>
      </c>
      <c r="F178" t="s">
        <v>931</v>
      </c>
      <c r="G178" s="5">
        <v>410.77</v>
      </c>
      <c r="H178" s="5">
        <v>0</v>
      </c>
      <c r="I178" s="5">
        <v>0</v>
      </c>
      <c r="J178" s="5">
        <f t="shared" si="2"/>
        <v>410.77</v>
      </c>
    </row>
    <row r="179" spans="1:10" ht="15">
      <c r="A179" s="4" t="s">
        <v>932</v>
      </c>
      <c r="B179" s="4" t="s">
        <v>45</v>
      </c>
      <c r="C179" s="4" t="s">
        <v>933</v>
      </c>
      <c r="D179" s="4" t="s">
        <v>934</v>
      </c>
      <c r="E179" s="4" t="s">
        <v>868</v>
      </c>
      <c r="F179" t="s">
        <v>935</v>
      </c>
      <c r="G179" s="5">
        <v>0</v>
      </c>
      <c r="H179" s="5">
        <v>0</v>
      </c>
      <c r="I179" s="5">
        <v>0</v>
      </c>
      <c r="J179" s="5">
        <f t="shared" si="2"/>
        <v>0</v>
      </c>
    </row>
    <row r="180" spans="1:10" ht="15">
      <c r="A180" s="4" t="s">
        <v>936</v>
      </c>
      <c r="B180" s="4" t="s">
        <v>937</v>
      </c>
      <c r="C180" s="4" t="s">
        <v>660</v>
      </c>
      <c r="D180" s="4" t="s">
        <v>938</v>
      </c>
      <c r="E180" s="4" t="s">
        <v>868</v>
      </c>
      <c r="F180" t="s">
        <v>939</v>
      </c>
      <c r="G180" s="5">
        <v>876.76</v>
      </c>
      <c r="H180" s="5">
        <v>0</v>
      </c>
      <c r="I180" s="5">
        <v>0</v>
      </c>
      <c r="J180" s="5">
        <f t="shared" si="2"/>
        <v>876.76</v>
      </c>
    </row>
    <row r="181" spans="1:10" ht="15">
      <c r="A181" s="4" t="s">
        <v>940</v>
      </c>
      <c r="B181" s="4" t="s">
        <v>941</v>
      </c>
      <c r="C181" s="4" t="s">
        <v>942</v>
      </c>
      <c r="D181" s="4" t="s">
        <v>943</v>
      </c>
      <c r="E181" s="4" t="s">
        <v>868</v>
      </c>
      <c r="F181" t="s">
        <v>944</v>
      </c>
      <c r="G181" s="5">
        <v>761.39</v>
      </c>
      <c r="H181" s="5">
        <v>0</v>
      </c>
      <c r="I181" s="5">
        <v>0</v>
      </c>
      <c r="J181" s="5">
        <f t="shared" si="2"/>
        <v>761.39</v>
      </c>
    </row>
    <row r="182" spans="1:10" ht="15">
      <c r="A182" s="4" t="s">
        <v>945</v>
      </c>
      <c r="B182" s="4" t="s">
        <v>946</v>
      </c>
      <c r="C182" s="4" t="s">
        <v>947</v>
      </c>
      <c r="D182" s="4" t="s">
        <v>948</v>
      </c>
      <c r="E182" s="4" t="s">
        <v>868</v>
      </c>
      <c r="F182" t="s">
        <v>949</v>
      </c>
      <c r="G182" s="5">
        <v>830.61</v>
      </c>
      <c r="H182" s="5">
        <v>0</v>
      </c>
      <c r="I182" s="5">
        <v>0</v>
      </c>
      <c r="J182" s="5">
        <f t="shared" si="2"/>
        <v>830.61</v>
      </c>
    </row>
    <row r="183" spans="1:10" ht="15">
      <c r="A183" s="4" t="s">
        <v>950</v>
      </c>
      <c r="B183" s="4" t="s">
        <v>946</v>
      </c>
      <c r="C183" s="4" t="s">
        <v>12</v>
      </c>
      <c r="D183" s="4" t="s">
        <v>951</v>
      </c>
      <c r="E183" s="4" t="s">
        <v>868</v>
      </c>
      <c r="F183" t="s">
        <v>952</v>
      </c>
      <c r="G183" s="5">
        <v>646.03</v>
      </c>
      <c r="H183" s="5">
        <v>0</v>
      </c>
      <c r="I183" s="5">
        <v>0</v>
      </c>
      <c r="J183" s="5">
        <f t="shared" si="2"/>
        <v>646.03</v>
      </c>
    </row>
    <row r="184" spans="1:10" ht="15">
      <c r="A184" s="4" t="s">
        <v>953</v>
      </c>
      <c r="B184" s="4" t="s">
        <v>954</v>
      </c>
      <c r="C184" s="4" t="s">
        <v>955</v>
      </c>
      <c r="D184" s="4" t="s">
        <v>956</v>
      </c>
      <c r="E184" s="4" t="s">
        <v>868</v>
      </c>
      <c r="F184" t="s">
        <v>957</v>
      </c>
      <c r="G184" s="5">
        <v>761.39</v>
      </c>
      <c r="H184" s="5">
        <v>0</v>
      </c>
      <c r="I184" s="5">
        <v>0</v>
      </c>
      <c r="J184" s="5">
        <f t="shared" si="2"/>
        <v>761.39</v>
      </c>
    </row>
    <row r="185" spans="1:10" ht="15">
      <c r="A185" s="4" t="s">
        <v>958</v>
      </c>
      <c r="B185" s="4" t="s">
        <v>959</v>
      </c>
      <c r="C185" s="4" t="s">
        <v>960</v>
      </c>
      <c r="D185" s="4" t="s">
        <v>961</v>
      </c>
      <c r="E185" s="4" t="s">
        <v>868</v>
      </c>
      <c r="F185" t="s">
        <v>962</v>
      </c>
      <c r="G185" s="5">
        <v>761.39</v>
      </c>
      <c r="H185" s="5">
        <v>0</v>
      </c>
      <c r="I185" s="5">
        <v>0</v>
      </c>
      <c r="J185" s="5">
        <f t="shared" si="2"/>
        <v>761.39</v>
      </c>
    </row>
    <row r="186" spans="1:10" ht="15">
      <c r="A186" s="4" t="s">
        <v>963</v>
      </c>
      <c r="B186" s="4" t="s">
        <v>39</v>
      </c>
      <c r="C186" s="4" t="s">
        <v>964</v>
      </c>
      <c r="D186" s="4" t="s">
        <v>965</v>
      </c>
      <c r="E186" s="4" t="s">
        <v>868</v>
      </c>
      <c r="F186" t="s">
        <v>966</v>
      </c>
      <c r="G186" s="5">
        <v>0</v>
      </c>
      <c r="H186" s="5">
        <v>0</v>
      </c>
      <c r="I186" s="5">
        <v>0</v>
      </c>
      <c r="J186" s="5">
        <f t="shared" si="2"/>
        <v>0</v>
      </c>
    </row>
    <row r="187" spans="1:10" ht="15">
      <c r="A187" s="4" t="s">
        <v>967</v>
      </c>
      <c r="B187" s="4" t="s">
        <v>968</v>
      </c>
      <c r="C187" s="4" t="s">
        <v>969</v>
      </c>
      <c r="D187" s="4" t="s">
        <v>970</v>
      </c>
      <c r="E187" s="4" t="s">
        <v>868</v>
      </c>
      <c r="F187" t="s">
        <v>971</v>
      </c>
      <c r="G187" s="5">
        <v>0</v>
      </c>
      <c r="H187" s="5">
        <v>0</v>
      </c>
      <c r="I187" s="5">
        <v>0</v>
      </c>
      <c r="J187" s="5">
        <f t="shared" si="2"/>
        <v>0</v>
      </c>
    </row>
    <row r="188" spans="1:10" ht="15">
      <c r="A188" s="4" t="s">
        <v>972</v>
      </c>
      <c r="B188" s="4" t="s">
        <v>973</v>
      </c>
      <c r="C188" s="4" t="s">
        <v>974</v>
      </c>
      <c r="D188" s="4" t="s">
        <v>946</v>
      </c>
      <c r="E188" s="4" t="s">
        <v>868</v>
      </c>
      <c r="F188" t="s">
        <v>975</v>
      </c>
      <c r="G188" s="5">
        <v>807.54</v>
      </c>
      <c r="H188" s="5">
        <v>0</v>
      </c>
      <c r="I188" s="5">
        <v>0</v>
      </c>
      <c r="J188" s="5">
        <f t="shared" si="2"/>
        <v>807.54</v>
      </c>
    </row>
    <row r="189" spans="1:10" ht="15">
      <c r="A189" s="4" t="s">
        <v>976</v>
      </c>
      <c r="B189" s="4" t="s">
        <v>977</v>
      </c>
      <c r="C189" s="4" t="s">
        <v>978</v>
      </c>
      <c r="D189" s="4" t="s">
        <v>45</v>
      </c>
      <c r="E189" s="4" t="s">
        <v>868</v>
      </c>
      <c r="F189" t="s">
        <v>979</v>
      </c>
      <c r="G189" s="5">
        <v>807.54</v>
      </c>
      <c r="H189" s="5">
        <v>0</v>
      </c>
      <c r="I189" s="5">
        <v>0</v>
      </c>
      <c r="J189" s="5">
        <f t="shared" si="2"/>
        <v>807.54</v>
      </c>
    </row>
    <row r="190" spans="1:10" ht="15">
      <c r="A190" s="4" t="s">
        <v>980</v>
      </c>
      <c r="B190" s="4" t="s">
        <v>981</v>
      </c>
      <c r="C190" s="4" t="s">
        <v>982</v>
      </c>
      <c r="D190" s="4" t="s">
        <v>983</v>
      </c>
      <c r="E190" s="4" t="s">
        <v>868</v>
      </c>
      <c r="F190" t="s">
        <v>984</v>
      </c>
      <c r="G190" s="5">
        <v>715.25</v>
      </c>
      <c r="H190" s="5">
        <v>415.31</v>
      </c>
      <c r="I190" s="5">
        <v>0</v>
      </c>
      <c r="J190" s="5">
        <f t="shared" si="2"/>
        <v>1130.56</v>
      </c>
    </row>
    <row r="191" spans="1:10" ht="15">
      <c r="A191" s="4" t="s">
        <v>985</v>
      </c>
      <c r="B191" s="4" t="s">
        <v>986</v>
      </c>
      <c r="C191" s="4" t="s">
        <v>987</v>
      </c>
      <c r="D191" s="4" t="s">
        <v>988</v>
      </c>
      <c r="E191" s="4" t="s">
        <v>868</v>
      </c>
      <c r="F191" t="s">
        <v>989</v>
      </c>
      <c r="G191" s="5">
        <v>853.68</v>
      </c>
      <c r="H191" s="5">
        <v>0</v>
      </c>
      <c r="I191" s="5">
        <v>0</v>
      </c>
      <c r="J191" s="5">
        <f t="shared" si="2"/>
        <v>853.68</v>
      </c>
    </row>
    <row r="192" spans="1:10" ht="15">
      <c r="A192" s="4" t="s">
        <v>990</v>
      </c>
      <c r="B192" s="4" t="s">
        <v>991</v>
      </c>
      <c r="C192" s="4" t="s">
        <v>992</v>
      </c>
      <c r="D192" s="4" t="s">
        <v>993</v>
      </c>
      <c r="E192" s="4" t="s">
        <v>868</v>
      </c>
      <c r="F192" t="s">
        <v>994</v>
      </c>
      <c r="G192" s="5">
        <v>807.54</v>
      </c>
      <c r="H192" s="5">
        <v>0</v>
      </c>
      <c r="I192" s="5">
        <v>0</v>
      </c>
      <c r="J192" s="5">
        <f t="shared" si="2"/>
        <v>807.54</v>
      </c>
    </row>
    <row r="193" spans="1:10" ht="15">
      <c r="A193" s="4" t="s">
        <v>995</v>
      </c>
      <c r="B193" s="4" t="s">
        <v>996</v>
      </c>
      <c r="C193" s="4" t="s">
        <v>997</v>
      </c>
      <c r="D193" s="4" t="s">
        <v>998</v>
      </c>
      <c r="E193" s="4" t="s">
        <v>868</v>
      </c>
      <c r="F193" t="s">
        <v>999</v>
      </c>
      <c r="G193" s="5">
        <v>0</v>
      </c>
      <c r="H193" s="5">
        <v>0</v>
      </c>
      <c r="I193" s="5">
        <v>0</v>
      </c>
      <c r="J193" s="5">
        <f t="shared" si="2"/>
        <v>0</v>
      </c>
    </row>
    <row r="194" spans="1:10" ht="15">
      <c r="A194" s="4" t="s">
        <v>1000</v>
      </c>
      <c r="B194" s="4" t="s">
        <v>1001</v>
      </c>
      <c r="C194" s="4" t="s">
        <v>1002</v>
      </c>
      <c r="D194" s="4" t="s">
        <v>1003</v>
      </c>
      <c r="E194" s="4" t="s">
        <v>868</v>
      </c>
      <c r="F194" t="s">
        <v>1004</v>
      </c>
      <c r="G194" s="5">
        <v>0</v>
      </c>
      <c r="H194" s="5">
        <v>0</v>
      </c>
      <c r="I194" s="5">
        <v>0</v>
      </c>
      <c r="J194" s="5">
        <f t="shared" si="2"/>
        <v>0</v>
      </c>
    </row>
    <row r="195" spans="1:10" ht="15">
      <c r="A195" s="4" t="s">
        <v>1005</v>
      </c>
      <c r="B195" s="4" t="s">
        <v>1006</v>
      </c>
      <c r="C195" s="4" t="s">
        <v>1007</v>
      </c>
      <c r="D195" s="4" t="s">
        <v>1008</v>
      </c>
      <c r="E195" s="4" t="s">
        <v>868</v>
      </c>
      <c r="F195" t="s">
        <v>1009</v>
      </c>
      <c r="G195" s="5">
        <v>0</v>
      </c>
      <c r="H195" s="5">
        <v>0</v>
      </c>
      <c r="I195" s="5">
        <v>0</v>
      </c>
      <c r="J195" s="5">
        <f t="shared" si="2"/>
        <v>0</v>
      </c>
    </row>
    <row r="196" spans="1:10" ht="15">
      <c r="A196" s="4" t="s">
        <v>1010</v>
      </c>
      <c r="B196" s="4" t="s">
        <v>416</v>
      </c>
      <c r="C196" s="4" t="s">
        <v>1011</v>
      </c>
      <c r="D196" s="4" t="s">
        <v>1012</v>
      </c>
      <c r="E196" s="4" t="s">
        <v>868</v>
      </c>
      <c r="F196" t="s">
        <v>1013</v>
      </c>
      <c r="G196" s="5">
        <v>0</v>
      </c>
      <c r="H196" s="5">
        <v>322.13</v>
      </c>
      <c r="I196" s="5">
        <v>0</v>
      </c>
      <c r="J196" s="5">
        <f t="shared" si="2"/>
        <v>322.13</v>
      </c>
    </row>
    <row r="197" spans="1:10" ht="15">
      <c r="A197" s="4" t="s">
        <v>1014</v>
      </c>
      <c r="B197" s="4" t="s">
        <v>1015</v>
      </c>
      <c r="C197" s="4" t="s">
        <v>1016</v>
      </c>
      <c r="D197" s="4" t="s">
        <v>1017</v>
      </c>
      <c r="E197" s="4" t="s">
        <v>868</v>
      </c>
      <c r="F197" t="s">
        <v>1018</v>
      </c>
      <c r="G197" s="5">
        <v>853.68</v>
      </c>
      <c r="H197" s="5">
        <v>0</v>
      </c>
      <c r="I197" s="5">
        <v>0</v>
      </c>
      <c r="J197" s="5">
        <f t="shared" si="2"/>
        <v>853.68</v>
      </c>
    </row>
    <row r="198" spans="1:10" ht="15">
      <c r="A198" s="4" t="s">
        <v>1019</v>
      </c>
      <c r="B198" s="4" t="s">
        <v>1020</v>
      </c>
      <c r="C198" s="4" t="s">
        <v>1021</v>
      </c>
      <c r="D198" s="4" t="s">
        <v>1022</v>
      </c>
      <c r="E198" s="4" t="s">
        <v>868</v>
      </c>
      <c r="F198" t="s">
        <v>1023</v>
      </c>
      <c r="G198" s="5">
        <v>0</v>
      </c>
      <c r="H198" s="5">
        <v>0</v>
      </c>
      <c r="I198" s="5">
        <v>0</v>
      </c>
      <c r="J198" s="5">
        <f t="shared" si="2"/>
        <v>0</v>
      </c>
    </row>
    <row r="199" spans="1:10" ht="15">
      <c r="A199" s="4" t="s">
        <v>1024</v>
      </c>
      <c r="B199" s="4" t="s">
        <v>1025</v>
      </c>
      <c r="C199" s="4" t="s">
        <v>1026</v>
      </c>
      <c r="D199" s="4" t="s">
        <v>1027</v>
      </c>
      <c r="E199" s="4" t="s">
        <v>868</v>
      </c>
      <c r="F199" t="s">
        <v>1028</v>
      </c>
      <c r="G199" s="5">
        <v>692.18</v>
      </c>
      <c r="H199" s="5">
        <v>0</v>
      </c>
      <c r="I199" s="5">
        <v>0</v>
      </c>
      <c r="J199" s="5">
        <f t="shared" si="2"/>
        <v>692.18</v>
      </c>
    </row>
    <row r="200" spans="1:10" ht="15">
      <c r="A200" s="4" t="s">
        <v>1029</v>
      </c>
      <c r="B200" s="4" t="s">
        <v>1030</v>
      </c>
      <c r="C200" s="4" t="s">
        <v>1031</v>
      </c>
      <c r="D200" s="4" t="s">
        <v>1032</v>
      </c>
      <c r="E200" s="4" t="s">
        <v>868</v>
      </c>
      <c r="F200" t="s">
        <v>1033</v>
      </c>
      <c r="G200" s="5">
        <v>853.68</v>
      </c>
      <c r="H200" s="5">
        <v>0</v>
      </c>
      <c r="I200" s="5">
        <v>0</v>
      </c>
      <c r="J200" s="5">
        <f t="shared" ref="J200:J263" si="3">G200+H200+I200</f>
        <v>853.68</v>
      </c>
    </row>
    <row r="201" spans="1:10" ht="15">
      <c r="A201" s="4" t="s">
        <v>1034</v>
      </c>
      <c r="B201" s="4" t="s">
        <v>282</v>
      </c>
      <c r="C201" s="4" t="s">
        <v>1035</v>
      </c>
      <c r="D201" s="4" t="s">
        <v>638</v>
      </c>
      <c r="E201" s="4" t="s">
        <v>868</v>
      </c>
      <c r="F201" t="s">
        <v>1036</v>
      </c>
      <c r="G201" s="5">
        <v>853.68</v>
      </c>
      <c r="H201" s="5">
        <v>0</v>
      </c>
      <c r="I201" s="5">
        <v>0</v>
      </c>
      <c r="J201" s="5">
        <f t="shared" si="3"/>
        <v>853.68</v>
      </c>
    </row>
    <row r="202" spans="1:10" ht="15">
      <c r="A202" s="4" t="s">
        <v>1037</v>
      </c>
      <c r="B202" s="4" t="s">
        <v>1038</v>
      </c>
      <c r="C202" s="4" t="s">
        <v>1039</v>
      </c>
      <c r="D202" s="4" t="s">
        <v>1040</v>
      </c>
      <c r="E202" s="4" t="s">
        <v>868</v>
      </c>
      <c r="F202" t="s">
        <v>1041</v>
      </c>
      <c r="G202" s="5">
        <v>738.32</v>
      </c>
      <c r="H202" s="5">
        <v>0</v>
      </c>
      <c r="I202" s="5">
        <v>0</v>
      </c>
      <c r="J202" s="5">
        <f t="shared" si="3"/>
        <v>738.32</v>
      </c>
    </row>
    <row r="203" spans="1:10" ht="15">
      <c r="A203" s="4" t="s">
        <v>1042</v>
      </c>
      <c r="B203" s="4" t="s">
        <v>1043</v>
      </c>
      <c r="C203" s="4" t="s">
        <v>1044</v>
      </c>
      <c r="D203" s="4" t="s">
        <v>1045</v>
      </c>
      <c r="E203" s="4" t="s">
        <v>868</v>
      </c>
      <c r="F203" t="s">
        <v>1046</v>
      </c>
      <c r="G203" s="5">
        <v>0</v>
      </c>
      <c r="H203" s="5">
        <v>0</v>
      </c>
      <c r="I203" s="5">
        <v>1569.26</v>
      </c>
      <c r="J203" s="5">
        <f t="shared" si="3"/>
        <v>1569.26</v>
      </c>
    </row>
    <row r="204" spans="1:10" ht="15">
      <c r="A204" s="4" t="s">
        <v>1047</v>
      </c>
      <c r="B204" s="4" t="s">
        <v>1048</v>
      </c>
      <c r="C204" s="4" t="s">
        <v>933</v>
      </c>
      <c r="D204" s="4" t="s">
        <v>1049</v>
      </c>
      <c r="E204" s="4" t="s">
        <v>868</v>
      </c>
      <c r="F204" t="s">
        <v>1050</v>
      </c>
      <c r="G204" s="5">
        <v>738.32</v>
      </c>
      <c r="H204" s="5">
        <v>0</v>
      </c>
      <c r="I204" s="5">
        <v>0</v>
      </c>
      <c r="J204" s="5">
        <f t="shared" si="3"/>
        <v>738.32</v>
      </c>
    </row>
    <row r="205" spans="1:10" ht="15">
      <c r="A205" s="4" t="s">
        <v>1051</v>
      </c>
      <c r="B205" s="4" t="s">
        <v>1052</v>
      </c>
      <c r="C205" s="4" t="s">
        <v>1053</v>
      </c>
      <c r="D205" s="4" t="s">
        <v>1054</v>
      </c>
      <c r="E205" s="4" t="s">
        <v>868</v>
      </c>
      <c r="F205" t="s">
        <v>1055</v>
      </c>
      <c r="G205" s="5">
        <v>0</v>
      </c>
      <c r="H205" s="5">
        <v>0</v>
      </c>
      <c r="I205" s="5">
        <v>0</v>
      </c>
      <c r="J205" s="5">
        <f t="shared" si="3"/>
        <v>0</v>
      </c>
    </row>
    <row r="206" spans="1:10" ht="15">
      <c r="A206" s="4" t="s">
        <v>1056</v>
      </c>
      <c r="B206" s="4" t="s">
        <v>1057</v>
      </c>
      <c r="C206" s="4" t="s">
        <v>1058</v>
      </c>
      <c r="D206" s="4" t="s">
        <v>188</v>
      </c>
      <c r="E206" s="4" t="s">
        <v>868</v>
      </c>
      <c r="F206" t="s">
        <v>1059</v>
      </c>
      <c r="G206" s="5">
        <v>738.32</v>
      </c>
      <c r="H206" s="5">
        <v>0</v>
      </c>
      <c r="I206" s="5">
        <v>0</v>
      </c>
      <c r="J206" s="5">
        <f t="shared" si="3"/>
        <v>738.32</v>
      </c>
    </row>
    <row r="207" spans="1:10" ht="15">
      <c r="A207" s="4" t="s">
        <v>1060</v>
      </c>
      <c r="B207" s="4" t="s">
        <v>1061</v>
      </c>
      <c r="C207" s="4" t="s">
        <v>1062</v>
      </c>
      <c r="D207" s="4" t="s">
        <v>506</v>
      </c>
      <c r="E207" s="4" t="s">
        <v>868</v>
      </c>
      <c r="F207" t="s">
        <v>1063</v>
      </c>
      <c r="G207" s="5">
        <v>0</v>
      </c>
      <c r="H207" s="5">
        <v>0</v>
      </c>
      <c r="I207" s="5">
        <v>0</v>
      </c>
      <c r="J207" s="5">
        <f t="shared" si="3"/>
        <v>0</v>
      </c>
    </row>
    <row r="208" spans="1:10" ht="15">
      <c r="A208" s="4" t="s">
        <v>1064</v>
      </c>
      <c r="B208" s="4" t="s">
        <v>1065</v>
      </c>
      <c r="C208" s="4" t="s">
        <v>69</v>
      </c>
      <c r="D208" s="4" t="s">
        <v>1066</v>
      </c>
      <c r="E208" s="4" t="s">
        <v>868</v>
      </c>
      <c r="F208" t="s">
        <v>1067</v>
      </c>
      <c r="G208" s="5">
        <v>0</v>
      </c>
      <c r="H208" s="5">
        <v>438.38</v>
      </c>
      <c r="I208" s="5">
        <v>0</v>
      </c>
      <c r="J208" s="5">
        <f t="shared" si="3"/>
        <v>438.38</v>
      </c>
    </row>
    <row r="209" spans="1:10" ht="15">
      <c r="A209" s="4" t="s">
        <v>1068</v>
      </c>
      <c r="B209" s="4" t="s">
        <v>1069</v>
      </c>
      <c r="C209" s="4" t="s">
        <v>1070</v>
      </c>
      <c r="D209" s="4" t="s">
        <v>1071</v>
      </c>
      <c r="E209" s="4" t="s">
        <v>868</v>
      </c>
      <c r="F209" t="s">
        <v>1072</v>
      </c>
      <c r="G209" s="5">
        <v>784.47</v>
      </c>
      <c r="H209" s="5">
        <v>0</v>
      </c>
      <c r="I209" s="5">
        <v>0</v>
      </c>
      <c r="J209" s="5">
        <f t="shared" si="3"/>
        <v>784.47</v>
      </c>
    </row>
    <row r="210" spans="1:10" ht="15">
      <c r="A210" s="4" t="s">
        <v>1073</v>
      </c>
      <c r="B210" s="4" t="s">
        <v>1074</v>
      </c>
      <c r="C210" s="4" t="s">
        <v>1075</v>
      </c>
      <c r="D210" s="4" t="s">
        <v>1076</v>
      </c>
      <c r="E210" s="4" t="s">
        <v>1077</v>
      </c>
      <c r="F210" t="s">
        <v>1078</v>
      </c>
      <c r="G210" s="5">
        <v>761.39</v>
      </c>
      <c r="H210" s="5">
        <v>0</v>
      </c>
      <c r="I210" s="5">
        <v>0</v>
      </c>
      <c r="J210" s="5">
        <f t="shared" si="3"/>
        <v>761.39</v>
      </c>
    </row>
    <row r="211" spans="1:10" ht="15">
      <c r="A211" s="4" t="s">
        <v>1079</v>
      </c>
      <c r="B211" s="4" t="s">
        <v>1080</v>
      </c>
      <c r="C211" s="4" t="s">
        <v>116</v>
      </c>
      <c r="D211" s="4" t="s">
        <v>1081</v>
      </c>
      <c r="E211" s="4" t="s">
        <v>1082</v>
      </c>
      <c r="F211" t="s">
        <v>1083</v>
      </c>
      <c r="G211" s="5">
        <v>0</v>
      </c>
      <c r="H211" s="5">
        <v>0</v>
      </c>
      <c r="I211" s="5">
        <v>0</v>
      </c>
      <c r="J211" s="5">
        <f t="shared" si="3"/>
        <v>0</v>
      </c>
    </row>
    <row r="212" spans="1:10" ht="15">
      <c r="A212" s="4" t="s">
        <v>1084</v>
      </c>
      <c r="B212" s="4" t="s">
        <v>1085</v>
      </c>
      <c r="C212" s="4" t="s">
        <v>1086</v>
      </c>
      <c r="D212" s="4" t="s">
        <v>1087</v>
      </c>
      <c r="E212" s="4" t="s">
        <v>1077</v>
      </c>
      <c r="F212" t="s">
        <v>1088</v>
      </c>
      <c r="G212" s="5">
        <v>761.39</v>
      </c>
      <c r="H212" s="5">
        <v>0</v>
      </c>
      <c r="I212" s="5">
        <v>0</v>
      </c>
      <c r="J212" s="5">
        <f t="shared" si="3"/>
        <v>761.39</v>
      </c>
    </row>
    <row r="213" spans="1:10" ht="15">
      <c r="A213" s="4" t="s">
        <v>1089</v>
      </c>
      <c r="B213" s="4" t="s">
        <v>1090</v>
      </c>
      <c r="C213" s="4" t="s">
        <v>1091</v>
      </c>
      <c r="D213" s="4" t="s">
        <v>1092</v>
      </c>
      <c r="E213" s="4" t="s">
        <v>1077</v>
      </c>
      <c r="F213" t="s">
        <v>1093</v>
      </c>
      <c r="G213" s="5">
        <v>0</v>
      </c>
      <c r="H213" s="5">
        <v>0</v>
      </c>
      <c r="I213" s="5">
        <v>0</v>
      </c>
      <c r="J213" s="5">
        <f t="shared" si="3"/>
        <v>0</v>
      </c>
    </row>
    <row r="214" spans="1:10" ht="15">
      <c r="A214" s="4" t="s">
        <v>1094</v>
      </c>
      <c r="B214" s="4" t="s">
        <v>1095</v>
      </c>
      <c r="C214" s="4" t="s">
        <v>1096</v>
      </c>
      <c r="D214" s="4" t="s">
        <v>1097</v>
      </c>
      <c r="E214" s="4" t="s">
        <v>1077</v>
      </c>
      <c r="F214" t="s">
        <v>1098</v>
      </c>
      <c r="G214" s="5">
        <v>392.23</v>
      </c>
      <c r="H214" s="5">
        <v>0</v>
      </c>
      <c r="I214" s="5">
        <v>0</v>
      </c>
      <c r="J214" s="5">
        <f t="shared" si="3"/>
        <v>392.23</v>
      </c>
    </row>
    <row r="215" spans="1:10" ht="15">
      <c r="A215" s="4" t="s">
        <v>1099</v>
      </c>
      <c r="B215" s="4" t="s">
        <v>1100</v>
      </c>
      <c r="C215" s="4" t="s">
        <v>142</v>
      </c>
      <c r="D215" s="4" t="s">
        <v>1101</v>
      </c>
      <c r="E215" s="4" t="s">
        <v>1077</v>
      </c>
      <c r="F215" t="s">
        <v>1102</v>
      </c>
      <c r="G215" s="5">
        <v>807.54</v>
      </c>
      <c r="H215" s="5">
        <v>415.31</v>
      </c>
      <c r="I215" s="5">
        <v>0</v>
      </c>
      <c r="J215" s="5">
        <f t="shared" si="3"/>
        <v>1222.8499999999999</v>
      </c>
    </row>
    <row r="216" spans="1:10" ht="15">
      <c r="A216" s="4" t="s">
        <v>1103</v>
      </c>
      <c r="B216" s="4" t="s">
        <v>1104</v>
      </c>
      <c r="C216" s="4" t="s">
        <v>1105</v>
      </c>
      <c r="D216" s="4" t="s">
        <v>1106</v>
      </c>
      <c r="E216" s="4" t="s">
        <v>1077</v>
      </c>
      <c r="F216" t="s">
        <v>1107</v>
      </c>
      <c r="G216" s="5">
        <v>0</v>
      </c>
      <c r="H216" s="5">
        <v>0</v>
      </c>
      <c r="I216" s="5">
        <v>0</v>
      </c>
      <c r="J216" s="5">
        <f t="shared" si="3"/>
        <v>0</v>
      </c>
    </row>
    <row r="217" spans="1:10" ht="15">
      <c r="A217" s="4" t="s">
        <v>1108</v>
      </c>
      <c r="B217" s="4" t="s">
        <v>1109</v>
      </c>
      <c r="C217" s="4" t="s">
        <v>1110</v>
      </c>
      <c r="D217" s="4" t="s">
        <v>1111</v>
      </c>
      <c r="E217" s="4" t="s">
        <v>1077</v>
      </c>
      <c r="F217" t="s">
        <v>1112</v>
      </c>
      <c r="G217" s="5">
        <v>0</v>
      </c>
      <c r="H217" s="5">
        <v>0</v>
      </c>
      <c r="I217" s="5">
        <v>742.62</v>
      </c>
      <c r="J217" s="5">
        <f t="shared" si="3"/>
        <v>742.62</v>
      </c>
    </row>
    <row r="218" spans="1:10" ht="15">
      <c r="A218" s="4" t="s">
        <v>1113</v>
      </c>
      <c r="B218" s="4" t="s">
        <v>1114</v>
      </c>
      <c r="C218" s="4" t="s">
        <v>1115</v>
      </c>
      <c r="D218" s="4" t="s">
        <v>1116</v>
      </c>
      <c r="E218" s="4" t="s">
        <v>1077</v>
      </c>
      <c r="F218" t="s">
        <v>1117</v>
      </c>
      <c r="G218" s="5">
        <v>669.1</v>
      </c>
      <c r="H218" s="5">
        <v>0</v>
      </c>
      <c r="I218" s="5">
        <v>0</v>
      </c>
      <c r="J218" s="5">
        <f t="shared" si="3"/>
        <v>669.1</v>
      </c>
    </row>
    <row r="219" spans="1:10" ht="15">
      <c r="A219" s="4" t="s">
        <v>1118</v>
      </c>
      <c r="B219" s="4" t="s">
        <v>1119</v>
      </c>
      <c r="C219" s="4" t="s">
        <v>1120</v>
      </c>
      <c r="D219" s="4" t="s">
        <v>1121</v>
      </c>
      <c r="E219" s="4" t="s">
        <v>1077</v>
      </c>
      <c r="F219" t="s">
        <v>1122</v>
      </c>
      <c r="G219" s="5">
        <v>0</v>
      </c>
      <c r="H219" s="5">
        <v>0</v>
      </c>
      <c r="I219" s="5">
        <v>0</v>
      </c>
      <c r="J219" s="5">
        <f t="shared" si="3"/>
        <v>0</v>
      </c>
    </row>
    <row r="220" spans="1:10" ht="15">
      <c r="A220" s="4" t="s">
        <v>1123</v>
      </c>
      <c r="B220" s="4" t="s">
        <v>645</v>
      </c>
      <c r="C220" s="4" t="s">
        <v>1124</v>
      </c>
      <c r="D220" s="4" t="s">
        <v>1125</v>
      </c>
      <c r="E220" s="4" t="s">
        <v>1077</v>
      </c>
      <c r="F220" t="s">
        <v>1126</v>
      </c>
      <c r="G220" s="5">
        <v>784.47</v>
      </c>
      <c r="H220" s="5">
        <v>0</v>
      </c>
      <c r="I220" s="5">
        <v>0</v>
      </c>
      <c r="J220" s="5">
        <f t="shared" si="3"/>
        <v>784.47</v>
      </c>
    </row>
    <row r="221" spans="1:10" ht="15">
      <c r="A221" s="4" t="s">
        <v>1127</v>
      </c>
      <c r="B221" s="4" t="s">
        <v>1128</v>
      </c>
      <c r="C221" s="4" t="s">
        <v>1129</v>
      </c>
      <c r="D221" s="4" t="s">
        <v>357</v>
      </c>
      <c r="E221" s="4" t="s">
        <v>1077</v>
      </c>
      <c r="F221" t="s">
        <v>1130</v>
      </c>
      <c r="G221" s="5">
        <v>0</v>
      </c>
      <c r="H221" s="5">
        <v>0</v>
      </c>
      <c r="I221" s="5">
        <v>0</v>
      </c>
      <c r="J221" s="5">
        <f t="shared" si="3"/>
        <v>0</v>
      </c>
    </row>
    <row r="222" spans="1:10" ht="15">
      <c r="A222" s="4" t="s">
        <v>1131</v>
      </c>
      <c r="B222" s="4" t="s">
        <v>170</v>
      </c>
      <c r="C222" s="4" t="s">
        <v>1132</v>
      </c>
      <c r="D222" s="4" t="s">
        <v>152</v>
      </c>
      <c r="E222" s="4" t="s">
        <v>1077</v>
      </c>
      <c r="F222" t="s">
        <v>1133</v>
      </c>
      <c r="G222" s="5">
        <v>784.47</v>
      </c>
      <c r="H222" s="5">
        <v>0</v>
      </c>
      <c r="I222" s="5">
        <v>0</v>
      </c>
      <c r="J222" s="5">
        <f t="shared" si="3"/>
        <v>784.47</v>
      </c>
    </row>
    <row r="223" spans="1:10" ht="15">
      <c r="A223" s="4" t="s">
        <v>1134</v>
      </c>
      <c r="B223" s="4" t="s">
        <v>1135</v>
      </c>
      <c r="C223" s="4" t="s">
        <v>1136</v>
      </c>
      <c r="D223" s="4" t="s">
        <v>1137</v>
      </c>
      <c r="E223" s="4" t="s">
        <v>1077</v>
      </c>
      <c r="F223" t="s">
        <v>1138</v>
      </c>
      <c r="G223" s="5">
        <v>715.25</v>
      </c>
      <c r="H223" s="5">
        <v>0</v>
      </c>
      <c r="I223" s="5">
        <v>0</v>
      </c>
      <c r="J223" s="5">
        <f t="shared" si="3"/>
        <v>715.25</v>
      </c>
    </row>
    <row r="224" spans="1:10" ht="15">
      <c r="A224" s="4" t="s">
        <v>1139</v>
      </c>
      <c r="B224" s="4" t="s">
        <v>1140</v>
      </c>
      <c r="C224" s="4" t="s">
        <v>1141</v>
      </c>
      <c r="D224" s="4" t="s">
        <v>1142</v>
      </c>
      <c r="E224" s="4" t="s">
        <v>1077</v>
      </c>
      <c r="F224" t="s">
        <v>1143</v>
      </c>
      <c r="G224" s="5">
        <v>853.68</v>
      </c>
      <c r="H224" s="5">
        <v>0</v>
      </c>
      <c r="I224" s="5">
        <v>0</v>
      </c>
      <c r="J224" s="5">
        <f t="shared" si="3"/>
        <v>853.68</v>
      </c>
    </row>
    <row r="225" spans="1:10" ht="15">
      <c r="A225" s="4" t="s">
        <v>1144</v>
      </c>
      <c r="B225" s="4" t="s">
        <v>223</v>
      </c>
      <c r="C225" s="4" t="s">
        <v>1145</v>
      </c>
      <c r="D225" s="4" t="s">
        <v>732</v>
      </c>
      <c r="E225" s="4" t="s">
        <v>1077</v>
      </c>
      <c r="F225" t="s">
        <v>1146</v>
      </c>
      <c r="G225" s="5">
        <v>715.25</v>
      </c>
      <c r="H225" s="5">
        <v>0</v>
      </c>
      <c r="I225" s="5">
        <v>0</v>
      </c>
      <c r="J225" s="5">
        <f t="shared" si="3"/>
        <v>715.25</v>
      </c>
    </row>
    <row r="226" spans="1:10" ht="15">
      <c r="A226" s="4" t="s">
        <v>1147</v>
      </c>
      <c r="B226" s="4" t="s">
        <v>1148</v>
      </c>
      <c r="C226" s="4" t="s">
        <v>1149</v>
      </c>
      <c r="D226" s="4" t="s">
        <v>1150</v>
      </c>
      <c r="E226" s="4" t="s">
        <v>1077</v>
      </c>
      <c r="F226" t="s">
        <v>1151</v>
      </c>
      <c r="G226" s="5">
        <v>646.03</v>
      </c>
      <c r="H226" s="5">
        <v>0</v>
      </c>
      <c r="I226" s="5">
        <v>0</v>
      </c>
      <c r="J226" s="5">
        <f t="shared" si="3"/>
        <v>646.03</v>
      </c>
    </row>
    <row r="227" spans="1:10" ht="15">
      <c r="A227" s="4" t="s">
        <v>1152</v>
      </c>
      <c r="B227" s="4" t="s">
        <v>141</v>
      </c>
      <c r="C227" s="4" t="s">
        <v>202</v>
      </c>
      <c r="D227" s="4" t="s">
        <v>1153</v>
      </c>
      <c r="E227" s="4" t="s">
        <v>1077</v>
      </c>
      <c r="F227" t="s">
        <v>1154</v>
      </c>
      <c r="G227" s="5">
        <v>0</v>
      </c>
      <c r="H227" s="5">
        <v>0</v>
      </c>
      <c r="I227" s="5">
        <v>0</v>
      </c>
      <c r="J227" s="5">
        <f t="shared" si="3"/>
        <v>0</v>
      </c>
    </row>
    <row r="228" spans="1:10" ht="15">
      <c r="A228" s="4" t="s">
        <v>1155</v>
      </c>
      <c r="B228" s="4" t="s">
        <v>1156</v>
      </c>
      <c r="C228" s="4" t="s">
        <v>942</v>
      </c>
      <c r="D228" s="4" t="s">
        <v>1157</v>
      </c>
      <c r="E228" s="4" t="s">
        <v>1077</v>
      </c>
      <c r="F228" t="s">
        <v>1158</v>
      </c>
      <c r="G228" s="5">
        <v>784.47</v>
      </c>
      <c r="H228" s="5">
        <v>0</v>
      </c>
      <c r="I228" s="5">
        <v>0</v>
      </c>
      <c r="J228" s="5">
        <f t="shared" si="3"/>
        <v>784.47</v>
      </c>
    </row>
    <row r="229" spans="1:10" ht="15">
      <c r="A229" s="4" t="s">
        <v>1159</v>
      </c>
      <c r="B229" s="4" t="s">
        <v>1160</v>
      </c>
      <c r="C229" s="4" t="s">
        <v>1161</v>
      </c>
      <c r="D229" s="4" t="s">
        <v>1162</v>
      </c>
      <c r="E229" s="4" t="s">
        <v>1077</v>
      </c>
      <c r="F229" t="s">
        <v>1163</v>
      </c>
      <c r="G229" s="5">
        <v>715.25</v>
      </c>
      <c r="H229" s="5">
        <v>0</v>
      </c>
      <c r="I229" s="5">
        <v>0</v>
      </c>
      <c r="J229" s="5">
        <f t="shared" si="3"/>
        <v>715.25</v>
      </c>
    </row>
    <row r="230" spans="1:10" ht="15">
      <c r="A230" s="4" t="s">
        <v>1164</v>
      </c>
      <c r="B230" s="4" t="s">
        <v>1165</v>
      </c>
      <c r="C230" s="4" t="s">
        <v>1166</v>
      </c>
      <c r="D230" s="4" t="s">
        <v>1167</v>
      </c>
      <c r="E230" s="4" t="s">
        <v>1082</v>
      </c>
      <c r="F230" t="s">
        <v>1168</v>
      </c>
      <c r="G230" s="5">
        <v>692.18</v>
      </c>
      <c r="H230" s="5">
        <v>0</v>
      </c>
      <c r="I230" s="5">
        <v>0</v>
      </c>
      <c r="J230" s="5">
        <f t="shared" si="3"/>
        <v>692.18</v>
      </c>
    </row>
    <row r="231" spans="1:10" ht="15">
      <c r="A231" s="4" t="s">
        <v>1169</v>
      </c>
      <c r="B231" s="4" t="s">
        <v>1170</v>
      </c>
      <c r="C231" s="4" t="s">
        <v>1171</v>
      </c>
      <c r="D231" s="4" t="s">
        <v>1172</v>
      </c>
      <c r="E231" s="4" t="s">
        <v>1082</v>
      </c>
      <c r="F231" t="s">
        <v>1173</v>
      </c>
      <c r="G231" s="5">
        <v>0</v>
      </c>
      <c r="H231" s="5">
        <v>0</v>
      </c>
      <c r="I231" s="5">
        <v>0</v>
      </c>
      <c r="J231" s="5">
        <f t="shared" si="3"/>
        <v>0</v>
      </c>
    </row>
    <row r="232" spans="1:10" ht="15">
      <c r="A232" s="4" t="s">
        <v>1174</v>
      </c>
      <c r="B232" s="4" t="s">
        <v>1175</v>
      </c>
      <c r="C232" s="4" t="s">
        <v>1176</v>
      </c>
      <c r="D232" s="4" t="s">
        <v>1177</v>
      </c>
      <c r="E232" s="4" t="s">
        <v>1082</v>
      </c>
      <c r="F232" t="s">
        <v>1178</v>
      </c>
      <c r="G232" s="5">
        <v>0</v>
      </c>
      <c r="H232" s="5">
        <v>0</v>
      </c>
      <c r="I232" s="5">
        <v>0</v>
      </c>
      <c r="J232" s="5">
        <f t="shared" si="3"/>
        <v>0</v>
      </c>
    </row>
    <row r="233" spans="1:10" ht="15">
      <c r="A233" s="4" t="s">
        <v>1179</v>
      </c>
      <c r="B233" s="4" t="s">
        <v>1180</v>
      </c>
      <c r="C233" s="4" t="s">
        <v>1181</v>
      </c>
      <c r="D233" s="4" t="s">
        <v>1182</v>
      </c>
      <c r="E233" s="4" t="s">
        <v>1082</v>
      </c>
      <c r="F233" t="s">
        <v>1183</v>
      </c>
      <c r="G233" s="5">
        <v>715.25</v>
      </c>
      <c r="H233" s="5">
        <v>369.16</v>
      </c>
      <c r="I233" s="5">
        <v>0</v>
      </c>
      <c r="J233" s="5">
        <f t="shared" si="3"/>
        <v>1084.4100000000001</v>
      </c>
    </row>
    <row r="234" spans="1:10" ht="15">
      <c r="A234" s="4" t="s">
        <v>1184</v>
      </c>
      <c r="B234" s="4" t="s">
        <v>1185</v>
      </c>
      <c r="C234" s="4" t="s">
        <v>1186</v>
      </c>
      <c r="D234" s="4" t="s">
        <v>1187</v>
      </c>
      <c r="E234" s="4" t="s">
        <v>1082</v>
      </c>
      <c r="F234" t="s">
        <v>1188</v>
      </c>
      <c r="G234" s="5">
        <v>876.76</v>
      </c>
      <c r="H234" s="5">
        <v>438.38</v>
      </c>
      <c r="I234" s="5">
        <v>0</v>
      </c>
      <c r="J234" s="5">
        <f t="shared" si="3"/>
        <v>1315.1399999999999</v>
      </c>
    </row>
    <row r="235" spans="1:10" ht="15">
      <c r="A235" s="4" t="s">
        <v>1189</v>
      </c>
      <c r="B235" s="4" t="s">
        <v>1190</v>
      </c>
      <c r="C235" s="4" t="s">
        <v>1191</v>
      </c>
      <c r="D235" s="4" t="s">
        <v>1192</v>
      </c>
      <c r="E235" s="4" t="s">
        <v>1077</v>
      </c>
      <c r="F235" t="s">
        <v>1193</v>
      </c>
      <c r="G235" s="5">
        <v>0</v>
      </c>
      <c r="H235" s="5">
        <v>0</v>
      </c>
      <c r="I235" s="5">
        <v>0</v>
      </c>
      <c r="J235" s="5">
        <f t="shared" si="3"/>
        <v>0</v>
      </c>
    </row>
    <row r="236" spans="1:10" ht="15">
      <c r="A236" s="4" t="s">
        <v>1194</v>
      </c>
      <c r="B236" s="4" t="s">
        <v>1195</v>
      </c>
      <c r="C236" s="4" t="s">
        <v>1196</v>
      </c>
      <c r="D236" s="4" t="s">
        <v>1197</v>
      </c>
      <c r="E236" s="4" t="s">
        <v>1077</v>
      </c>
      <c r="F236" t="s">
        <v>1198</v>
      </c>
      <c r="G236" s="5">
        <v>0</v>
      </c>
      <c r="H236" s="5">
        <v>0</v>
      </c>
      <c r="I236" s="5">
        <v>0</v>
      </c>
      <c r="J236" s="5">
        <f t="shared" si="3"/>
        <v>0</v>
      </c>
    </row>
    <row r="237" spans="1:10" ht="15">
      <c r="A237" s="4" t="s">
        <v>1199</v>
      </c>
      <c r="B237" s="4" t="s">
        <v>1200</v>
      </c>
      <c r="C237" s="4" t="s">
        <v>1201</v>
      </c>
      <c r="D237" s="4" t="s">
        <v>1202</v>
      </c>
      <c r="E237" s="4" t="s">
        <v>1077</v>
      </c>
      <c r="F237" t="s">
        <v>1203</v>
      </c>
      <c r="G237" s="5">
        <v>0</v>
      </c>
      <c r="H237" s="5">
        <v>0</v>
      </c>
      <c r="I237" s="5">
        <v>0</v>
      </c>
      <c r="J237" s="5">
        <f t="shared" si="3"/>
        <v>0</v>
      </c>
    </row>
    <row r="238" spans="1:10" ht="15">
      <c r="A238" s="4" t="s">
        <v>1204</v>
      </c>
      <c r="B238" s="4" t="s">
        <v>1205</v>
      </c>
      <c r="C238" s="4" t="s">
        <v>1206</v>
      </c>
      <c r="D238" s="4" t="s">
        <v>324</v>
      </c>
      <c r="E238" s="4" t="s">
        <v>1082</v>
      </c>
      <c r="F238" t="s">
        <v>1207</v>
      </c>
      <c r="G238" s="5">
        <v>0</v>
      </c>
      <c r="H238" s="5">
        <v>0</v>
      </c>
      <c r="I238" s="5">
        <v>0</v>
      </c>
      <c r="J238" s="5">
        <f t="shared" si="3"/>
        <v>0</v>
      </c>
    </row>
    <row r="239" spans="1:10" ht="15">
      <c r="A239" s="4" t="s">
        <v>1208</v>
      </c>
      <c r="B239" s="4" t="s">
        <v>1209</v>
      </c>
      <c r="C239" s="4" t="s">
        <v>679</v>
      </c>
      <c r="D239" s="4" t="s">
        <v>1210</v>
      </c>
      <c r="E239" s="4" t="s">
        <v>1082</v>
      </c>
      <c r="F239" t="s">
        <v>1211</v>
      </c>
      <c r="G239" s="5">
        <v>0</v>
      </c>
      <c r="H239" s="5">
        <v>0</v>
      </c>
      <c r="I239" s="5">
        <v>0</v>
      </c>
      <c r="J239" s="5">
        <f t="shared" si="3"/>
        <v>0</v>
      </c>
    </row>
    <row r="240" spans="1:10" ht="15">
      <c r="A240" s="4" t="s">
        <v>1212</v>
      </c>
      <c r="B240" s="4" t="s">
        <v>961</v>
      </c>
      <c r="C240" s="4" t="s">
        <v>1213</v>
      </c>
      <c r="D240" s="4" t="s">
        <v>1214</v>
      </c>
      <c r="E240" s="4" t="s">
        <v>1082</v>
      </c>
      <c r="F240" t="s">
        <v>1215</v>
      </c>
      <c r="G240" s="5">
        <v>0</v>
      </c>
      <c r="H240" s="5">
        <v>0</v>
      </c>
      <c r="I240" s="5">
        <v>0</v>
      </c>
      <c r="J240" s="5">
        <f t="shared" si="3"/>
        <v>0</v>
      </c>
    </row>
    <row r="241" spans="1:10" ht="15">
      <c r="A241" s="4" t="s">
        <v>1216</v>
      </c>
      <c r="B241" s="4" t="s">
        <v>1217</v>
      </c>
      <c r="C241" s="4" t="s">
        <v>1218</v>
      </c>
      <c r="D241" s="4" t="s">
        <v>188</v>
      </c>
      <c r="E241" s="4" t="s">
        <v>1082</v>
      </c>
      <c r="F241" t="s">
        <v>1219</v>
      </c>
      <c r="G241" s="5">
        <v>428.49</v>
      </c>
      <c r="H241" s="5">
        <v>0</v>
      </c>
      <c r="I241" s="5">
        <v>0</v>
      </c>
      <c r="J241" s="5">
        <f t="shared" si="3"/>
        <v>428.49</v>
      </c>
    </row>
    <row r="242" spans="1:10" ht="15">
      <c r="A242" s="4" t="s">
        <v>1220</v>
      </c>
      <c r="B242" s="4" t="s">
        <v>1221</v>
      </c>
      <c r="C242" s="4" t="s">
        <v>1222</v>
      </c>
      <c r="D242" s="4" t="s">
        <v>1223</v>
      </c>
      <c r="E242" s="4" t="s">
        <v>1082</v>
      </c>
      <c r="F242" t="s">
        <v>1224</v>
      </c>
      <c r="G242" s="5">
        <v>0</v>
      </c>
      <c r="H242" s="5">
        <v>0</v>
      </c>
      <c r="I242" s="5">
        <v>0</v>
      </c>
      <c r="J242" s="5">
        <f t="shared" si="3"/>
        <v>0</v>
      </c>
    </row>
    <row r="243" spans="1:10" ht="15">
      <c r="A243" s="4" t="s">
        <v>1225</v>
      </c>
      <c r="B243" s="4" t="s">
        <v>524</v>
      </c>
      <c r="C243" s="4" t="s">
        <v>1226</v>
      </c>
      <c r="D243" s="4" t="s">
        <v>1227</v>
      </c>
      <c r="E243" s="4" t="s">
        <v>1082</v>
      </c>
      <c r="F243" t="s">
        <v>1228</v>
      </c>
      <c r="G243" s="5">
        <v>784.47</v>
      </c>
      <c r="H243" s="5">
        <v>392.23</v>
      </c>
      <c r="I243" s="5">
        <v>0</v>
      </c>
      <c r="J243" s="5">
        <f t="shared" si="3"/>
        <v>1176.7</v>
      </c>
    </row>
    <row r="244" spans="1:10" ht="15">
      <c r="A244" s="4" t="s">
        <v>1229</v>
      </c>
      <c r="B244" s="4" t="s">
        <v>1230</v>
      </c>
      <c r="C244" s="4" t="s">
        <v>1231</v>
      </c>
      <c r="D244" s="4" t="s">
        <v>1232</v>
      </c>
      <c r="E244" s="4" t="s">
        <v>1082</v>
      </c>
      <c r="F244" t="s">
        <v>1233</v>
      </c>
      <c r="G244" s="5">
        <v>876.76</v>
      </c>
      <c r="H244" s="5">
        <v>0</v>
      </c>
      <c r="I244" s="5">
        <v>0</v>
      </c>
      <c r="J244" s="5">
        <f t="shared" si="3"/>
        <v>876.76</v>
      </c>
    </row>
    <row r="245" spans="1:10" ht="15">
      <c r="A245" s="4" t="s">
        <v>1234</v>
      </c>
      <c r="B245" s="4" t="s">
        <v>1235</v>
      </c>
      <c r="C245" s="4" t="s">
        <v>1236</v>
      </c>
      <c r="D245" s="4" t="s">
        <v>1237</v>
      </c>
      <c r="E245" s="4" t="s">
        <v>1082</v>
      </c>
      <c r="F245" t="s">
        <v>1238</v>
      </c>
      <c r="G245" s="5">
        <v>0</v>
      </c>
      <c r="H245" s="5">
        <v>0</v>
      </c>
      <c r="I245" s="5">
        <v>0</v>
      </c>
      <c r="J245" s="5">
        <f t="shared" si="3"/>
        <v>0</v>
      </c>
    </row>
    <row r="246" spans="1:10" ht="15">
      <c r="A246" s="4" t="s">
        <v>1239</v>
      </c>
      <c r="B246" s="4" t="s">
        <v>1240</v>
      </c>
      <c r="C246" s="4" t="s">
        <v>1241</v>
      </c>
      <c r="D246" s="4" t="s">
        <v>993</v>
      </c>
      <c r="E246" s="4" t="s">
        <v>1082</v>
      </c>
      <c r="F246" t="s">
        <v>1242</v>
      </c>
      <c r="G246" s="5">
        <v>692.18</v>
      </c>
      <c r="H246" s="5">
        <v>0</v>
      </c>
      <c r="I246" s="5">
        <v>0</v>
      </c>
      <c r="J246" s="5">
        <f t="shared" si="3"/>
        <v>692.18</v>
      </c>
    </row>
    <row r="247" spans="1:10" ht="15">
      <c r="A247" s="4" t="s">
        <v>1243</v>
      </c>
      <c r="B247" s="4" t="s">
        <v>1244</v>
      </c>
      <c r="C247" s="4" t="s">
        <v>1245</v>
      </c>
      <c r="D247" s="4" t="s">
        <v>1246</v>
      </c>
      <c r="E247" s="4" t="s">
        <v>1082</v>
      </c>
      <c r="F247" t="s">
        <v>1247</v>
      </c>
      <c r="G247" s="5">
        <v>0</v>
      </c>
      <c r="H247" s="5">
        <v>0</v>
      </c>
      <c r="I247" s="5">
        <v>0</v>
      </c>
      <c r="J247" s="5">
        <f t="shared" si="3"/>
        <v>0</v>
      </c>
    </row>
    <row r="248" spans="1:10" ht="15">
      <c r="A248" s="4" t="s">
        <v>1248</v>
      </c>
      <c r="B248" s="4" t="s">
        <v>1249</v>
      </c>
      <c r="C248" s="4" t="s">
        <v>1250</v>
      </c>
      <c r="D248" s="4" t="s">
        <v>1251</v>
      </c>
      <c r="E248" s="4" t="s">
        <v>1082</v>
      </c>
      <c r="F248" t="s">
        <v>1252</v>
      </c>
      <c r="G248" s="5">
        <v>0</v>
      </c>
      <c r="H248" s="5">
        <v>0</v>
      </c>
      <c r="I248" s="5">
        <v>0</v>
      </c>
      <c r="J248" s="5">
        <f t="shared" si="3"/>
        <v>0</v>
      </c>
    </row>
    <row r="249" spans="1:10" ht="15">
      <c r="A249" s="4" t="s">
        <v>1253</v>
      </c>
      <c r="B249" s="4" t="s">
        <v>1254</v>
      </c>
      <c r="C249" s="4" t="s">
        <v>1255</v>
      </c>
      <c r="D249" s="4" t="s">
        <v>365</v>
      </c>
      <c r="E249" s="4" t="s">
        <v>1082</v>
      </c>
      <c r="F249" t="s">
        <v>1256</v>
      </c>
      <c r="G249" s="5">
        <v>692.18</v>
      </c>
      <c r="H249" s="5">
        <v>0</v>
      </c>
      <c r="I249" s="5">
        <v>0</v>
      </c>
      <c r="J249" s="5">
        <f t="shared" si="3"/>
        <v>692.18</v>
      </c>
    </row>
    <row r="250" spans="1:10" ht="15">
      <c r="A250" s="4" t="s">
        <v>1257</v>
      </c>
      <c r="B250" s="4" t="s">
        <v>1258</v>
      </c>
      <c r="C250" s="4" t="s">
        <v>1259</v>
      </c>
      <c r="D250" s="4" t="s">
        <v>1260</v>
      </c>
      <c r="E250" s="4" t="s">
        <v>1082</v>
      </c>
      <c r="F250" t="s">
        <v>1261</v>
      </c>
      <c r="G250" s="5">
        <v>553.74</v>
      </c>
      <c r="H250" s="5">
        <v>0</v>
      </c>
      <c r="I250" s="5">
        <v>0</v>
      </c>
      <c r="J250" s="5">
        <f t="shared" si="3"/>
        <v>553.74</v>
      </c>
    </row>
    <row r="251" spans="1:10" ht="15">
      <c r="A251" s="4" t="s">
        <v>1262</v>
      </c>
      <c r="B251" s="4" t="s">
        <v>1263</v>
      </c>
      <c r="C251" s="4" t="s">
        <v>1264</v>
      </c>
      <c r="D251" s="4" t="s">
        <v>1265</v>
      </c>
      <c r="E251" s="4" t="s">
        <v>1082</v>
      </c>
      <c r="F251" t="s">
        <v>1266</v>
      </c>
      <c r="G251" s="5">
        <v>0</v>
      </c>
      <c r="H251" s="5">
        <v>0</v>
      </c>
      <c r="I251" s="5">
        <v>0</v>
      </c>
      <c r="J251" s="5">
        <f t="shared" si="3"/>
        <v>0</v>
      </c>
    </row>
    <row r="252" spans="1:10" ht="15">
      <c r="A252" s="4" t="s">
        <v>1267</v>
      </c>
      <c r="B252" s="4" t="s">
        <v>1268</v>
      </c>
      <c r="C252" s="4" t="s">
        <v>1031</v>
      </c>
      <c r="D252" s="4" t="s">
        <v>1269</v>
      </c>
      <c r="E252" s="4" t="s">
        <v>1082</v>
      </c>
      <c r="F252" t="s">
        <v>1270</v>
      </c>
      <c r="G252" s="5">
        <v>898.75</v>
      </c>
      <c r="H252" s="5">
        <v>0</v>
      </c>
      <c r="I252" s="5">
        <v>0</v>
      </c>
      <c r="J252" s="5">
        <f t="shared" si="3"/>
        <v>898.75</v>
      </c>
    </row>
    <row r="253" spans="1:10" ht="15">
      <c r="A253" s="4" t="s">
        <v>1271</v>
      </c>
      <c r="B253" s="4" t="s">
        <v>1272</v>
      </c>
      <c r="C253" s="4" t="s">
        <v>1273</v>
      </c>
      <c r="D253" s="4" t="s">
        <v>1274</v>
      </c>
      <c r="E253" s="4" t="s">
        <v>1275</v>
      </c>
      <c r="F253" t="s">
        <v>1276</v>
      </c>
      <c r="G253" s="5">
        <v>830.61</v>
      </c>
      <c r="H253" s="5">
        <v>415.31</v>
      </c>
      <c r="I253" s="5">
        <v>0</v>
      </c>
      <c r="J253" s="5">
        <f t="shared" si="3"/>
        <v>1245.92</v>
      </c>
    </row>
    <row r="254" spans="1:10" ht="15">
      <c r="A254" s="4" t="s">
        <v>1277</v>
      </c>
      <c r="B254" s="4" t="s">
        <v>1278</v>
      </c>
      <c r="C254" s="4" t="s">
        <v>1279</v>
      </c>
      <c r="D254" s="4" t="s">
        <v>1280</v>
      </c>
      <c r="E254" s="4" t="s">
        <v>1275</v>
      </c>
      <c r="F254" t="s">
        <v>1281</v>
      </c>
      <c r="G254" s="5">
        <v>0</v>
      </c>
      <c r="H254" s="5">
        <v>0</v>
      </c>
      <c r="I254" s="5">
        <v>0</v>
      </c>
      <c r="J254" s="5">
        <f t="shared" si="3"/>
        <v>0</v>
      </c>
    </row>
    <row r="255" spans="1:10" ht="15">
      <c r="A255" s="4" t="s">
        <v>1282</v>
      </c>
      <c r="B255" s="4" t="s">
        <v>1283</v>
      </c>
      <c r="C255" s="4" t="s">
        <v>1284</v>
      </c>
      <c r="D255" s="4" t="s">
        <v>45</v>
      </c>
      <c r="E255" s="4" t="s">
        <v>1275</v>
      </c>
      <c r="F255" t="s">
        <v>1285</v>
      </c>
      <c r="G255" s="5">
        <v>830.61</v>
      </c>
      <c r="H255" s="5">
        <v>0</v>
      </c>
      <c r="I255" s="5">
        <v>0</v>
      </c>
      <c r="J255" s="5">
        <f t="shared" si="3"/>
        <v>830.61</v>
      </c>
    </row>
    <row r="256" spans="1:10" ht="15">
      <c r="A256" s="4" t="s">
        <v>1286</v>
      </c>
      <c r="B256" s="4" t="s">
        <v>1287</v>
      </c>
      <c r="C256" s="4" t="s">
        <v>1288</v>
      </c>
      <c r="D256" s="4" t="s">
        <v>1289</v>
      </c>
      <c r="E256" s="4" t="s">
        <v>1275</v>
      </c>
      <c r="F256" t="s">
        <v>1290</v>
      </c>
      <c r="G256" s="5">
        <v>692.18</v>
      </c>
      <c r="H256" s="5">
        <v>0</v>
      </c>
      <c r="I256" s="5">
        <v>0</v>
      </c>
      <c r="J256" s="5">
        <f t="shared" si="3"/>
        <v>692.18</v>
      </c>
    </row>
    <row r="257" spans="1:10" ht="15">
      <c r="A257" s="4" t="s">
        <v>1291</v>
      </c>
      <c r="B257" s="4" t="s">
        <v>1292</v>
      </c>
      <c r="C257" s="4" t="s">
        <v>1293</v>
      </c>
      <c r="D257" s="4" t="s">
        <v>1294</v>
      </c>
      <c r="E257" s="4" t="s">
        <v>1275</v>
      </c>
      <c r="F257" t="s">
        <v>1295</v>
      </c>
      <c r="G257" s="5">
        <v>762.31</v>
      </c>
      <c r="H257" s="5">
        <v>0</v>
      </c>
      <c r="I257" s="5">
        <v>0</v>
      </c>
      <c r="J257" s="5">
        <f t="shared" si="3"/>
        <v>762.31</v>
      </c>
    </row>
    <row r="258" spans="1:10" ht="15">
      <c r="A258" s="4" t="s">
        <v>1296</v>
      </c>
      <c r="B258" s="4" t="s">
        <v>1297</v>
      </c>
      <c r="C258" s="4" t="s">
        <v>1298</v>
      </c>
      <c r="D258" s="4" t="s">
        <v>1299</v>
      </c>
      <c r="E258" s="4" t="s">
        <v>1275</v>
      </c>
      <c r="F258" t="s">
        <v>1300</v>
      </c>
      <c r="G258" s="5">
        <v>0</v>
      </c>
      <c r="H258" s="5">
        <v>0</v>
      </c>
      <c r="I258" s="5">
        <v>0</v>
      </c>
      <c r="J258" s="5">
        <f t="shared" si="3"/>
        <v>0</v>
      </c>
    </row>
    <row r="259" spans="1:10" ht="15">
      <c r="A259" s="4" t="s">
        <v>1301</v>
      </c>
      <c r="B259" s="4" t="s">
        <v>1302</v>
      </c>
      <c r="C259" s="4" t="s">
        <v>1303</v>
      </c>
      <c r="D259" s="4" t="s">
        <v>946</v>
      </c>
      <c r="E259" s="4" t="s">
        <v>1275</v>
      </c>
      <c r="F259" t="s">
        <v>1304</v>
      </c>
      <c r="G259" s="5">
        <v>761.39</v>
      </c>
      <c r="H259" s="5">
        <v>438.38</v>
      </c>
      <c r="I259" s="5">
        <v>0</v>
      </c>
      <c r="J259" s="5">
        <f t="shared" si="3"/>
        <v>1199.77</v>
      </c>
    </row>
    <row r="260" spans="1:10" ht="15">
      <c r="A260" s="4" t="s">
        <v>1305</v>
      </c>
      <c r="B260" s="4" t="s">
        <v>1306</v>
      </c>
      <c r="C260" s="4" t="s">
        <v>1307</v>
      </c>
      <c r="D260" s="4" t="s">
        <v>1308</v>
      </c>
      <c r="E260" s="4" t="s">
        <v>1275</v>
      </c>
      <c r="F260" t="s">
        <v>1309</v>
      </c>
      <c r="G260" s="5">
        <v>784.47</v>
      </c>
      <c r="H260" s="5">
        <v>0</v>
      </c>
      <c r="I260" s="5">
        <v>0</v>
      </c>
      <c r="J260" s="5">
        <f t="shared" si="3"/>
        <v>784.47</v>
      </c>
    </row>
    <row r="261" spans="1:10" ht="15">
      <c r="A261" s="4" t="s">
        <v>1310</v>
      </c>
      <c r="B261" s="4" t="s">
        <v>1311</v>
      </c>
      <c r="C261" s="4" t="s">
        <v>1312</v>
      </c>
      <c r="D261" s="4" t="s">
        <v>1313</v>
      </c>
      <c r="E261" s="4" t="s">
        <v>1275</v>
      </c>
      <c r="F261" t="s">
        <v>1314</v>
      </c>
      <c r="G261" s="5">
        <v>738.32</v>
      </c>
      <c r="H261" s="5">
        <v>0</v>
      </c>
      <c r="I261" s="5">
        <v>0</v>
      </c>
      <c r="J261" s="5">
        <f t="shared" si="3"/>
        <v>738.32</v>
      </c>
    </row>
    <row r="262" spans="1:10" ht="15">
      <c r="A262" s="4" t="s">
        <v>1315</v>
      </c>
      <c r="B262" s="4" t="s">
        <v>1316</v>
      </c>
      <c r="C262" s="4" t="s">
        <v>1317</v>
      </c>
      <c r="D262" s="4" t="s">
        <v>1318</v>
      </c>
      <c r="E262" s="4" t="s">
        <v>1275</v>
      </c>
      <c r="F262" t="s">
        <v>1319</v>
      </c>
      <c r="G262" s="5">
        <v>0</v>
      </c>
      <c r="H262" s="5">
        <v>0</v>
      </c>
      <c r="I262" s="5">
        <v>0</v>
      </c>
      <c r="J262" s="5">
        <f t="shared" si="3"/>
        <v>0</v>
      </c>
    </row>
    <row r="263" spans="1:10" ht="15">
      <c r="A263" s="4" t="s">
        <v>1320</v>
      </c>
      <c r="B263" s="4" t="s">
        <v>712</v>
      </c>
      <c r="C263" s="4" t="s">
        <v>1321</v>
      </c>
      <c r="D263" s="4" t="s">
        <v>1322</v>
      </c>
      <c r="E263" s="4" t="s">
        <v>1275</v>
      </c>
      <c r="F263" t="s">
        <v>1323</v>
      </c>
      <c r="G263" s="5">
        <v>876.76</v>
      </c>
      <c r="H263" s="5">
        <v>0</v>
      </c>
      <c r="I263" s="5">
        <v>0</v>
      </c>
      <c r="J263" s="5">
        <f t="shared" si="3"/>
        <v>876.76</v>
      </c>
    </row>
    <row r="264" spans="1:10" ht="15">
      <c r="A264" s="4" t="s">
        <v>1324</v>
      </c>
      <c r="B264" s="4" t="s">
        <v>1325</v>
      </c>
      <c r="C264" s="4" t="s">
        <v>1326</v>
      </c>
      <c r="D264" s="4" t="s">
        <v>993</v>
      </c>
      <c r="E264" s="4" t="s">
        <v>1275</v>
      </c>
      <c r="F264" t="s">
        <v>1327</v>
      </c>
      <c r="G264" s="5">
        <v>0</v>
      </c>
      <c r="H264" s="5">
        <v>0</v>
      </c>
      <c r="I264" s="5">
        <v>0</v>
      </c>
      <c r="J264" s="5">
        <f t="shared" ref="J264:J327" si="4">G264+H264+I264</f>
        <v>0</v>
      </c>
    </row>
    <row r="265" spans="1:10" ht="15">
      <c r="A265" s="4" t="s">
        <v>1328</v>
      </c>
      <c r="B265" s="4" t="s">
        <v>1329</v>
      </c>
      <c r="C265" s="4" t="s">
        <v>1330</v>
      </c>
      <c r="D265" s="4" t="s">
        <v>1331</v>
      </c>
      <c r="E265" s="4" t="s">
        <v>1275</v>
      </c>
      <c r="F265" t="s">
        <v>1332</v>
      </c>
      <c r="G265" s="5">
        <v>0</v>
      </c>
      <c r="H265" s="5">
        <v>0</v>
      </c>
      <c r="I265" s="5">
        <v>0</v>
      </c>
      <c r="J265" s="5">
        <f t="shared" si="4"/>
        <v>0</v>
      </c>
    </row>
    <row r="266" spans="1:10" ht="15">
      <c r="A266" s="4" t="s">
        <v>1333</v>
      </c>
      <c r="B266" s="4" t="s">
        <v>126</v>
      </c>
      <c r="C266" s="4" t="s">
        <v>1334</v>
      </c>
      <c r="D266" s="4" t="s">
        <v>1335</v>
      </c>
      <c r="E266" s="4" t="s">
        <v>1275</v>
      </c>
      <c r="F266" t="s">
        <v>1336</v>
      </c>
      <c r="G266" s="5">
        <v>761.39</v>
      </c>
      <c r="H266" s="5">
        <v>0</v>
      </c>
      <c r="I266" s="5">
        <v>0</v>
      </c>
      <c r="J266" s="5">
        <f t="shared" si="4"/>
        <v>761.39</v>
      </c>
    </row>
    <row r="267" spans="1:10" ht="15">
      <c r="A267" s="4" t="s">
        <v>1337</v>
      </c>
      <c r="B267" s="4" t="s">
        <v>1338</v>
      </c>
      <c r="C267" s="4" t="s">
        <v>1339</v>
      </c>
      <c r="D267" s="4" t="s">
        <v>1340</v>
      </c>
      <c r="E267" s="4" t="s">
        <v>1275</v>
      </c>
      <c r="F267" t="s">
        <v>1341</v>
      </c>
      <c r="G267" s="5">
        <v>830.61</v>
      </c>
      <c r="H267" s="5">
        <v>0</v>
      </c>
      <c r="I267" s="5">
        <v>0</v>
      </c>
      <c r="J267" s="5">
        <f t="shared" si="4"/>
        <v>830.61</v>
      </c>
    </row>
    <row r="268" spans="1:10" ht="15">
      <c r="A268" s="4" t="s">
        <v>1342</v>
      </c>
      <c r="B268" s="4" t="s">
        <v>1343</v>
      </c>
      <c r="C268" s="4" t="s">
        <v>1344</v>
      </c>
      <c r="D268" s="4" t="s">
        <v>1197</v>
      </c>
      <c r="E268" s="4" t="s">
        <v>1275</v>
      </c>
      <c r="F268" t="s">
        <v>1345</v>
      </c>
      <c r="G268" s="5">
        <v>0</v>
      </c>
      <c r="H268" s="5">
        <v>0</v>
      </c>
      <c r="I268" s="5">
        <v>0</v>
      </c>
      <c r="J268" s="5">
        <f t="shared" si="4"/>
        <v>0</v>
      </c>
    </row>
    <row r="269" spans="1:10" ht="15">
      <c r="A269" s="4" t="s">
        <v>1346</v>
      </c>
      <c r="B269" s="4" t="s">
        <v>1347</v>
      </c>
      <c r="C269" s="4" t="s">
        <v>1348</v>
      </c>
      <c r="D269" s="4" t="s">
        <v>1349</v>
      </c>
      <c r="E269" s="4" t="s">
        <v>1275</v>
      </c>
      <c r="F269" t="s">
        <v>1350</v>
      </c>
      <c r="G269" s="5">
        <v>761.39</v>
      </c>
      <c r="H269" s="5">
        <v>0</v>
      </c>
      <c r="I269" s="5">
        <v>0</v>
      </c>
      <c r="J269" s="5">
        <f t="shared" si="4"/>
        <v>761.39</v>
      </c>
    </row>
    <row r="270" spans="1:10" ht="15">
      <c r="A270" s="4" t="s">
        <v>1351</v>
      </c>
      <c r="B270" s="4" t="s">
        <v>416</v>
      </c>
      <c r="C270" s="4" t="s">
        <v>1141</v>
      </c>
      <c r="D270" s="4" t="s">
        <v>1352</v>
      </c>
      <c r="E270" s="4" t="s">
        <v>1275</v>
      </c>
      <c r="F270" t="s">
        <v>1353</v>
      </c>
      <c r="G270" s="5">
        <v>622.96</v>
      </c>
      <c r="H270" s="5">
        <v>0</v>
      </c>
      <c r="I270" s="5">
        <v>0</v>
      </c>
      <c r="J270" s="5">
        <f t="shared" si="4"/>
        <v>622.96</v>
      </c>
    </row>
    <row r="271" spans="1:10" ht="15">
      <c r="A271" s="4" t="s">
        <v>1354</v>
      </c>
      <c r="B271" s="4" t="s">
        <v>1355</v>
      </c>
      <c r="C271" s="4" t="s">
        <v>1356</v>
      </c>
      <c r="D271" s="4" t="s">
        <v>572</v>
      </c>
      <c r="E271" s="4" t="s">
        <v>1275</v>
      </c>
      <c r="F271" t="s">
        <v>1357</v>
      </c>
      <c r="G271" s="5">
        <v>0</v>
      </c>
      <c r="H271" s="5">
        <v>0</v>
      </c>
      <c r="I271" s="5">
        <v>0</v>
      </c>
      <c r="J271" s="5">
        <f t="shared" si="4"/>
        <v>0</v>
      </c>
    </row>
    <row r="272" spans="1:10" ht="15">
      <c r="A272" s="4" t="s">
        <v>1358</v>
      </c>
      <c r="B272" s="4" t="s">
        <v>1359</v>
      </c>
      <c r="C272" s="4" t="s">
        <v>1360</v>
      </c>
      <c r="D272" s="4" t="s">
        <v>1081</v>
      </c>
      <c r="E272" s="4" t="s">
        <v>1275</v>
      </c>
      <c r="F272" t="s">
        <v>1361</v>
      </c>
      <c r="G272" s="5">
        <v>761.39</v>
      </c>
      <c r="H272" s="5">
        <v>0</v>
      </c>
      <c r="I272" s="5">
        <v>0</v>
      </c>
      <c r="J272" s="5">
        <f t="shared" si="4"/>
        <v>761.39</v>
      </c>
    </row>
    <row r="273" spans="1:10" ht="15">
      <c r="A273" s="4" t="s">
        <v>1362</v>
      </c>
      <c r="B273" s="4" t="s">
        <v>1363</v>
      </c>
      <c r="C273" s="4" t="s">
        <v>1364</v>
      </c>
      <c r="D273" s="4" t="s">
        <v>1365</v>
      </c>
      <c r="E273" s="4" t="s">
        <v>1275</v>
      </c>
      <c r="F273" t="s">
        <v>1366</v>
      </c>
      <c r="G273" s="5">
        <v>0</v>
      </c>
      <c r="H273" s="5">
        <v>0</v>
      </c>
      <c r="I273" s="5">
        <v>0</v>
      </c>
      <c r="J273" s="5">
        <f t="shared" si="4"/>
        <v>0</v>
      </c>
    </row>
    <row r="274" spans="1:10" ht="15">
      <c r="A274" s="4" t="s">
        <v>1367</v>
      </c>
      <c r="B274" s="4" t="s">
        <v>1368</v>
      </c>
      <c r="C274" s="4" t="s">
        <v>679</v>
      </c>
      <c r="D274" s="4" t="s">
        <v>1369</v>
      </c>
      <c r="E274" s="4" t="s">
        <v>1275</v>
      </c>
      <c r="F274" t="s">
        <v>1370</v>
      </c>
      <c r="G274" s="5">
        <v>0</v>
      </c>
      <c r="H274" s="5">
        <v>0</v>
      </c>
      <c r="I274" s="5">
        <v>0</v>
      </c>
      <c r="J274" s="5">
        <f t="shared" si="4"/>
        <v>0</v>
      </c>
    </row>
    <row r="275" spans="1:10" ht="15">
      <c r="A275" s="4" t="s">
        <v>1371</v>
      </c>
      <c r="B275" s="4" t="s">
        <v>1372</v>
      </c>
      <c r="C275" s="4" t="s">
        <v>1373</v>
      </c>
      <c r="D275" s="4" t="s">
        <v>1374</v>
      </c>
      <c r="E275" s="4" t="s">
        <v>1275</v>
      </c>
      <c r="F275" t="s">
        <v>1375</v>
      </c>
      <c r="G275" s="5">
        <v>302.57</v>
      </c>
      <c r="H275" s="5">
        <v>392.23</v>
      </c>
      <c r="I275" s="5">
        <v>0</v>
      </c>
      <c r="J275" s="5">
        <f t="shared" si="4"/>
        <v>694.8</v>
      </c>
    </row>
    <row r="276" spans="1:10" ht="15">
      <c r="A276" s="4" t="s">
        <v>1376</v>
      </c>
      <c r="B276" s="4" t="s">
        <v>1377</v>
      </c>
      <c r="C276" s="4" t="s">
        <v>1378</v>
      </c>
      <c r="D276" s="4" t="s">
        <v>1379</v>
      </c>
      <c r="E276" s="4" t="s">
        <v>1275</v>
      </c>
      <c r="F276" t="s">
        <v>1380</v>
      </c>
      <c r="G276" s="5">
        <v>761.39</v>
      </c>
      <c r="H276" s="5">
        <v>0</v>
      </c>
      <c r="I276" s="5">
        <v>0</v>
      </c>
      <c r="J276" s="5">
        <f t="shared" si="4"/>
        <v>761.39</v>
      </c>
    </row>
    <row r="277" spans="1:10" ht="15">
      <c r="A277" s="4" t="s">
        <v>1381</v>
      </c>
      <c r="B277" s="4" t="s">
        <v>1382</v>
      </c>
      <c r="C277" s="4" t="s">
        <v>609</v>
      </c>
      <c r="D277" s="4" t="s">
        <v>1383</v>
      </c>
      <c r="E277" s="4" t="s">
        <v>1275</v>
      </c>
      <c r="F277" t="s">
        <v>1384</v>
      </c>
      <c r="G277" s="5">
        <v>0</v>
      </c>
      <c r="H277" s="5">
        <v>0</v>
      </c>
      <c r="I277" s="5">
        <v>0</v>
      </c>
      <c r="J277" s="5">
        <f t="shared" si="4"/>
        <v>0</v>
      </c>
    </row>
    <row r="278" spans="1:10" ht="15">
      <c r="A278" s="4" t="s">
        <v>1385</v>
      </c>
      <c r="B278" s="4" t="s">
        <v>1386</v>
      </c>
      <c r="C278" s="4" t="s">
        <v>1387</v>
      </c>
      <c r="D278" s="4" t="s">
        <v>1388</v>
      </c>
      <c r="E278" s="4" t="s">
        <v>1275</v>
      </c>
      <c r="F278" t="s">
        <v>1389</v>
      </c>
      <c r="G278" s="5">
        <v>692.18</v>
      </c>
      <c r="H278" s="5">
        <v>0</v>
      </c>
      <c r="I278" s="5">
        <v>0</v>
      </c>
      <c r="J278" s="5">
        <f t="shared" si="4"/>
        <v>692.18</v>
      </c>
    </row>
    <row r="279" spans="1:10" ht="15">
      <c r="A279" s="4" t="s">
        <v>1390</v>
      </c>
      <c r="B279" s="4" t="s">
        <v>1391</v>
      </c>
      <c r="C279" s="4" t="s">
        <v>1026</v>
      </c>
      <c r="D279" s="4" t="s">
        <v>993</v>
      </c>
      <c r="E279" s="4" t="s">
        <v>1275</v>
      </c>
      <c r="F279" t="s">
        <v>1392</v>
      </c>
      <c r="G279" s="5">
        <v>669.1</v>
      </c>
      <c r="H279" s="5">
        <v>0</v>
      </c>
      <c r="I279" s="5">
        <v>0</v>
      </c>
      <c r="J279" s="5">
        <f t="shared" si="4"/>
        <v>669.1</v>
      </c>
    </row>
    <row r="280" spans="1:10" ht="15">
      <c r="A280" s="4" t="s">
        <v>1393</v>
      </c>
      <c r="B280" s="4" t="s">
        <v>1394</v>
      </c>
      <c r="C280" s="4" t="s">
        <v>1236</v>
      </c>
      <c r="D280" s="4" t="s">
        <v>1395</v>
      </c>
      <c r="E280" s="4" t="s">
        <v>1275</v>
      </c>
      <c r="F280" t="s">
        <v>1396</v>
      </c>
      <c r="G280" s="5">
        <v>0</v>
      </c>
      <c r="H280" s="5">
        <v>0</v>
      </c>
      <c r="I280" s="5">
        <v>0</v>
      </c>
      <c r="J280" s="5">
        <f t="shared" si="4"/>
        <v>0</v>
      </c>
    </row>
    <row r="281" spans="1:10" ht="15">
      <c r="A281" s="4" t="s">
        <v>1397</v>
      </c>
      <c r="B281" s="4" t="s">
        <v>1398</v>
      </c>
      <c r="C281" s="4" t="s">
        <v>317</v>
      </c>
      <c r="D281" s="4" t="s">
        <v>1399</v>
      </c>
      <c r="E281" s="4" t="s">
        <v>1275</v>
      </c>
      <c r="F281" t="s">
        <v>1400</v>
      </c>
      <c r="G281" s="5">
        <v>738.32</v>
      </c>
      <c r="H281" s="5">
        <v>0</v>
      </c>
      <c r="I281" s="5">
        <v>0</v>
      </c>
      <c r="J281" s="5">
        <f t="shared" si="4"/>
        <v>738.32</v>
      </c>
    </row>
    <row r="282" spans="1:10" ht="15">
      <c r="A282" s="4" t="s">
        <v>1401</v>
      </c>
      <c r="B282" s="4" t="s">
        <v>566</v>
      </c>
      <c r="C282" s="4" t="s">
        <v>1402</v>
      </c>
      <c r="D282" s="4" t="s">
        <v>1403</v>
      </c>
      <c r="E282" s="4" t="s">
        <v>1275</v>
      </c>
      <c r="F282" t="s">
        <v>1404</v>
      </c>
      <c r="G282" s="5">
        <v>0</v>
      </c>
      <c r="H282" s="5">
        <v>0</v>
      </c>
      <c r="I282" s="5">
        <v>0</v>
      </c>
      <c r="J282" s="5">
        <f t="shared" si="4"/>
        <v>0</v>
      </c>
    </row>
    <row r="283" spans="1:10" ht="15">
      <c r="A283" s="4" t="s">
        <v>1405</v>
      </c>
      <c r="B283" s="4" t="s">
        <v>1406</v>
      </c>
      <c r="C283" s="4" t="s">
        <v>1407</v>
      </c>
      <c r="D283" s="4" t="s">
        <v>1408</v>
      </c>
      <c r="E283" s="4" t="s">
        <v>1275</v>
      </c>
      <c r="F283" t="s">
        <v>1409</v>
      </c>
      <c r="G283" s="5">
        <v>669.1</v>
      </c>
      <c r="H283" s="5">
        <v>0</v>
      </c>
      <c r="I283" s="5">
        <v>0</v>
      </c>
      <c r="J283" s="5">
        <f t="shared" si="4"/>
        <v>669.1</v>
      </c>
    </row>
    <row r="284" spans="1:10" ht="15">
      <c r="A284" s="4" t="s">
        <v>1410</v>
      </c>
      <c r="B284" s="4" t="s">
        <v>1411</v>
      </c>
      <c r="C284" s="4" t="s">
        <v>1412</v>
      </c>
      <c r="D284" s="4" t="s">
        <v>1413</v>
      </c>
      <c r="E284" s="4" t="s">
        <v>1275</v>
      </c>
      <c r="F284" t="s">
        <v>1414</v>
      </c>
      <c r="G284" s="5">
        <v>0</v>
      </c>
      <c r="H284" s="5">
        <v>0</v>
      </c>
      <c r="I284" s="5">
        <v>0</v>
      </c>
      <c r="J284" s="5">
        <f t="shared" si="4"/>
        <v>0</v>
      </c>
    </row>
    <row r="285" spans="1:10" ht="15">
      <c r="A285" s="4" t="s">
        <v>1415</v>
      </c>
      <c r="B285" s="4" t="s">
        <v>1416</v>
      </c>
      <c r="C285" s="4" t="s">
        <v>12</v>
      </c>
      <c r="D285" s="4" t="s">
        <v>1417</v>
      </c>
      <c r="E285" s="4" t="s">
        <v>1275</v>
      </c>
      <c r="F285" t="s">
        <v>1418</v>
      </c>
      <c r="G285" s="5">
        <v>0</v>
      </c>
      <c r="H285" s="5">
        <v>0</v>
      </c>
      <c r="I285" s="5">
        <v>0</v>
      </c>
      <c r="J285" s="5">
        <f t="shared" si="4"/>
        <v>0</v>
      </c>
    </row>
    <row r="286" spans="1:10" ht="15">
      <c r="A286" s="4" t="s">
        <v>1419</v>
      </c>
      <c r="B286" s="4" t="s">
        <v>1420</v>
      </c>
      <c r="C286" s="4" t="s">
        <v>1421</v>
      </c>
      <c r="D286" s="4" t="s">
        <v>1422</v>
      </c>
      <c r="E286" s="4" t="s">
        <v>1275</v>
      </c>
      <c r="F286" t="s">
        <v>1423</v>
      </c>
      <c r="G286" s="5">
        <v>830.61</v>
      </c>
      <c r="H286" s="5">
        <v>0</v>
      </c>
      <c r="I286" s="5">
        <v>0</v>
      </c>
      <c r="J286" s="5">
        <f t="shared" si="4"/>
        <v>830.61</v>
      </c>
    </row>
    <row r="287" spans="1:10" ht="15">
      <c r="A287" s="4" t="s">
        <v>1424</v>
      </c>
      <c r="B287" s="4" t="s">
        <v>614</v>
      </c>
      <c r="C287" s="4" t="s">
        <v>1425</v>
      </c>
      <c r="D287" s="4" t="s">
        <v>1426</v>
      </c>
      <c r="E287" s="4" t="s">
        <v>1275</v>
      </c>
      <c r="F287" t="s">
        <v>1427</v>
      </c>
      <c r="G287" s="5">
        <v>0</v>
      </c>
      <c r="H287" s="5">
        <v>0</v>
      </c>
      <c r="I287" s="5">
        <v>0</v>
      </c>
      <c r="J287" s="5">
        <f t="shared" si="4"/>
        <v>0</v>
      </c>
    </row>
    <row r="288" spans="1:10" ht="15">
      <c r="A288" s="4" t="s">
        <v>1428</v>
      </c>
      <c r="B288" s="4" t="s">
        <v>1429</v>
      </c>
      <c r="C288" s="4" t="s">
        <v>1430</v>
      </c>
      <c r="D288" s="4" t="s">
        <v>1431</v>
      </c>
      <c r="E288" s="4" t="s">
        <v>1432</v>
      </c>
      <c r="F288" t="s">
        <v>1433</v>
      </c>
      <c r="G288" s="5">
        <v>922.9</v>
      </c>
      <c r="H288" s="5">
        <v>0</v>
      </c>
      <c r="I288" s="5">
        <v>0</v>
      </c>
      <c r="J288" s="5">
        <f t="shared" si="4"/>
        <v>922.9</v>
      </c>
    </row>
    <row r="289" spans="1:10" ht="15">
      <c r="A289" s="4" t="s">
        <v>1434</v>
      </c>
      <c r="B289" s="4" t="s">
        <v>1435</v>
      </c>
      <c r="C289" s="4" t="s">
        <v>1421</v>
      </c>
      <c r="D289" s="4" t="s">
        <v>1436</v>
      </c>
      <c r="E289" s="4" t="s">
        <v>1437</v>
      </c>
      <c r="F289" t="s">
        <v>1438</v>
      </c>
      <c r="G289" s="5">
        <v>940.02</v>
      </c>
      <c r="H289" s="5">
        <v>431.23</v>
      </c>
      <c r="I289" s="5">
        <v>0</v>
      </c>
      <c r="J289" s="5">
        <f t="shared" si="4"/>
        <v>1371.25</v>
      </c>
    </row>
    <row r="290" spans="1:10" ht="15">
      <c r="A290" s="4" t="s">
        <v>1439</v>
      </c>
      <c r="B290" s="4" t="s">
        <v>420</v>
      </c>
      <c r="C290" s="4" t="s">
        <v>1440</v>
      </c>
      <c r="D290" s="4" t="s">
        <v>1441</v>
      </c>
      <c r="E290" s="4" t="s">
        <v>1437</v>
      </c>
      <c r="F290" t="s">
        <v>1442</v>
      </c>
      <c r="G290" s="5">
        <v>0</v>
      </c>
      <c r="H290" s="5">
        <v>0</v>
      </c>
      <c r="I290" s="5">
        <v>0</v>
      </c>
      <c r="J290" s="5">
        <f t="shared" si="4"/>
        <v>0</v>
      </c>
    </row>
    <row r="291" spans="1:10" ht="15">
      <c r="A291" s="4" t="s">
        <v>1443</v>
      </c>
      <c r="B291" s="4" t="s">
        <v>1444</v>
      </c>
      <c r="C291" s="4" t="s">
        <v>323</v>
      </c>
      <c r="D291" s="4" t="s">
        <v>1445</v>
      </c>
      <c r="E291" s="4" t="s">
        <v>1437</v>
      </c>
      <c r="F291" t="s">
        <v>1446</v>
      </c>
      <c r="G291" s="5">
        <v>407.54</v>
      </c>
      <c r="H291" s="5">
        <v>456.6</v>
      </c>
      <c r="I291" s="5">
        <v>0</v>
      </c>
      <c r="J291" s="5">
        <f t="shared" si="4"/>
        <v>864.1400000000001</v>
      </c>
    </row>
    <row r="292" spans="1:10" ht="15">
      <c r="A292" s="4" t="s">
        <v>1447</v>
      </c>
      <c r="B292" s="4" t="s">
        <v>104</v>
      </c>
      <c r="C292" s="4" t="s">
        <v>1448</v>
      </c>
      <c r="D292" s="4" t="s">
        <v>1449</v>
      </c>
      <c r="E292" s="4" t="s">
        <v>1437</v>
      </c>
      <c r="F292" t="s">
        <v>1450</v>
      </c>
      <c r="G292" s="5">
        <v>853.68</v>
      </c>
      <c r="H292" s="5">
        <v>0</v>
      </c>
      <c r="I292" s="5">
        <v>0</v>
      </c>
      <c r="J292" s="5">
        <f t="shared" si="4"/>
        <v>853.68</v>
      </c>
    </row>
    <row r="293" spans="1:10" ht="15">
      <c r="A293" s="4" t="s">
        <v>1451</v>
      </c>
      <c r="B293" s="4" t="s">
        <v>1452</v>
      </c>
      <c r="C293" s="4" t="s">
        <v>1453</v>
      </c>
      <c r="D293" s="4" t="s">
        <v>1454</v>
      </c>
      <c r="E293" s="4" t="s">
        <v>1437</v>
      </c>
      <c r="F293" t="s">
        <v>1455</v>
      </c>
      <c r="G293" s="5">
        <v>0</v>
      </c>
      <c r="H293" s="5">
        <v>0</v>
      </c>
      <c r="I293" s="5">
        <v>0</v>
      </c>
      <c r="J293" s="5">
        <f t="shared" si="4"/>
        <v>0</v>
      </c>
    </row>
    <row r="294" spans="1:10" ht="15">
      <c r="A294" s="4" t="s">
        <v>1456</v>
      </c>
      <c r="B294" s="4" t="s">
        <v>1457</v>
      </c>
      <c r="C294" s="4" t="s">
        <v>1458</v>
      </c>
      <c r="D294" s="4" t="s">
        <v>1459</v>
      </c>
      <c r="E294" s="4" t="s">
        <v>1437</v>
      </c>
      <c r="F294" t="s">
        <v>1460</v>
      </c>
      <c r="G294" s="5">
        <v>392.23</v>
      </c>
      <c r="H294" s="5">
        <v>0</v>
      </c>
      <c r="I294" s="5">
        <v>0</v>
      </c>
      <c r="J294" s="5">
        <f t="shared" si="4"/>
        <v>392.23</v>
      </c>
    </row>
    <row r="295" spans="1:10" ht="15">
      <c r="A295" s="4" t="s">
        <v>1461</v>
      </c>
      <c r="B295" s="4" t="s">
        <v>1462</v>
      </c>
      <c r="C295" s="4" t="s">
        <v>1463</v>
      </c>
      <c r="D295" s="4" t="s">
        <v>1464</v>
      </c>
      <c r="E295" s="4" t="s">
        <v>1437</v>
      </c>
      <c r="F295" t="s">
        <v>1465</v>
      </c>
      <c r="G295" s="5">
        <v>0</v>
      </c>
      <c r="H295" s="5">
        <v>0</v>
      </c>
      <c r="I295" s="5">
        <v>0</v>
      </c>
      <c r="J295" s="5">
        <f t="shared" si="4"/>
        <v>0</v>
      </c>
    </row>
    <row r="296" spans="1:10" ht="15">
      <c r="A296" s="4" t="s">
        <v>1466</v>
      </c>
      <c r="B296" s="4" t="s">
        <v>1467</v>
      </c>
      <c r="C296" s="4" t="s">
        <v>1468</v>
      </c>
      <c r="D296" s="4" t="s">
        <v>1469</v>
      </c>
      <c r="E296" s="4" t="s">
        <v>1437</v>
      </c>
      <c r="F296" t="s">
        <v>1470</v>
      </c>
      <c r="G296" s="5">
        <v>403.77</v>
      </c>
      <c r="H296" s="5">
        <v>0</v>
      </c>
      <c r="I296" s="5">
        <v>0</v>
      </c>
      <c r="J296" s="5">
        <f t="shared" si="4"/>
        <v>403.77</v>
      </c>
    </row>
    <row r="297" spans="1:10" ht="15">
      <c r="A297" s="4" t="s">
        <v>1471</v>
      </c>
      <c r="B297" s="4" t="s">
        <v>1472</v>
      </c>
      <c r="C297" s="4" t="s">
        <v>1473</v>
      </c>
      <c r="D297" s="4" t="s">
        <v>1474</v>
      </c>
      <c r="E297" s="4" t="s">
        <v>1475</v>
      </c>
      <c r="F297" t="s">
        <v>1476</v>
      </c>
      <c r="G297" s="5">
        <v>0</v>
      </c>
      <c r="H297" s="5">
        <v>415.31</v>
      </c>
      <c r="I297" s="5">
        <v>0</v>
      </c>
      <c r="J297" s="5">
        <f t="shared" si="4"/>
        <v>415.31</v>
      </c>
    </row>
    <row r="298" spans="1:10" ht="15">
      <c r="A298" s="4" t="s">
        <v>1477</v>
      </c>
      <c r="B298" s="4" t="s">
        <v>1478</v>
      </c>
      <c r="C298" s="4" t="s">
        <v>1479</v>
      </c>
      <c r="D298" s="4" t="s">
        <v>1480</v>
      </c>
      <c r="E298" s="4" t="s">
        <v>1437</v>
      </c>
      <c r="F298" t="s">
        <v>1481</v>
      </c>
      <c r="G298" s="5">
        <v>0</v>
      </c>
      <c r="H298" s="5">
        <v>0</v>
      </c>
      <c r="I298" s="5">
        <v>0</v>
      </c>
      <c r="J298" s="5">
        <f t="shared" si="4"/>
        <v>0</v>
      </c>
    </row>
    <row r="299" spans="1:10" ht="15">
      <c r="A299" s="4" t="s">
        <v>1482</v>
      </c>
      <c r="B299" s="4" t="s">
        <v>1483</v>
      </c>
      <c r="C299" s="4" t="s">
        <v>1484</v>
      </c>
      <c r="D299" s="4" t="s">
        <v>1485</v>
      </c>
      <c r="E299" s="4" t="s">
        <v>1437</v>
      </c>
      <c r="F299" t="s">
        <v>1486</v>
      </c>
      <c r="G299" s="5">
        <v>507.6</v>
      </c>
      <c r="H299" s="5">
        <v>0</v>
      </c>
      <c r="I299" s="5">
        <v>0</v>
      </c>
      <c r="J299" s="5">
        <f t="shared" si="4"/>
        <v>507.6</v>
      </c>
    </row>
    <row r="300" spans="1:10" ht="15">
      <c r="A300" s="4" t="s">
        <v>1487</v>
      </c>
      <c r="B300" s="4" t="s">
        <v>1488</v>
      </c>
      <c r="C300" s="4" t="s">
        <v>1489</v>
      </c>
      <c r="D300" s="4" t="s">
        <v>1490</v>
      </c>
      <c r="E300" s="4" t="s">
        <v>1437</v>
      </c>
      <c r="F300" t="s">
        <v>1491</v>
      </c>
      <c r="G300" s="5">
        <v>669.1</v>
      </c>
      <c r="H300" s="5">
        <v>0</v>
      </c>
      <c r="I300" s="5">
        <v>0</v>
      </c>
      <c r="J300" s="5">
        <f t="shared" si="4"/>
        <v>669.1</v>
      </c>
    </row>
    <row r="301" spans="1:10" ht="15">
      <c r="A301" s="4" t="s">
        <v>1492</v>
      </c>
      <c r="B301" s="4" t="s">
        <v>946</v>
      </c>
      <c r="C301" s="4" t="s">
        <v>1493</v>
      </c>
      <c r="D301" s="4" t="s">
        <v>1494</v>
      </c>
      <c r="E301" s="4" t="s">
        <v>1437</v>
      </c>
      <c r="F301" t="s">
        <v>1495</v>
      </c>
      <c r="G301" s="5">
        <v>0</v>
      </c>
      <c r="H301" s="5">
        <v>0</v>
      </c>
      <c r="I301" s="5">
        <v>0</v>
      </c>
      <c r="J301" s="5">
        <f t="shared" si="4"/>
        <v>0</v>
      </c>
    </row>
    <row r="302" spans="1:10" ht="15">
      <c r="A302" s="4" t="s">
        <v>1496</v>
      </c>
      <c r="B302" s="4" t="s">
        <v>1497</v>
      </c>
      <c r="C302" s="4" t="s">
        <v>1011</v>
      </c>
      <c r="D302" s="4" t="s">
        <v>775</v>
      </c>
      <c r="E302" s="4" t="s">
        <v>1437</v>
      </c>
      <c r="F302" t="s">
        <v>1498</v>
      </c>
      <c r="G302" s="5">
        <v>622.96</v>
      </c>
      <c r="H302" s="5">
        <v>323.02</v>
      </c>
      <c r="I302" s="5">
        <v>0</v>
      </c>
      <c r="J302" s="5">
        <f t="shared" si="4"/>
        <v>945.98</v>
      </c>
    </row>
    <row r="303" spans="1:10" ht="15">
      <c r="A303" s="4" t="s">
        <v>1499</v>
      </c>
      <c r="B303" s="4" t="s">
        <v>775</v>
      </c>
      <c r="C303" s="4" t="s">
        <v>1500</v>
      </c>
      <c r="D303" s="4" t="s">
        <v>1501</v>
      </c>
      <c r="E303" s="4" t="s">
        <v>1437</v>
      </c>
      <c r="F303" t="s">
        <v>1502</v>
      </c>
      <c r="G303" s="5">
        <v>599.89</v>
      </c>
      <c r="H303" s="5">
        <v>0</v>
      </c>
      <c r="I303" s="5">
        <v>0</v>
      </c>
      <c r="J303" s="5">
        <f t="shared" si="4"/>
        <v>599.89</v>
      </c>
    </row>
    <row r="304" spans="1:10" ht="15">
      <c r="A304" s="4" t="s">
        <v>1503</v>
      </c>
      <c r="B304" s="4" t="s">
        <v>1504</v>
      </c>
      <c r="C304" s="4" t="s">
        <v>1505</v>
      </c>
      <c r="D304" s="4" t="s">
        <v>1506</v>
      </c>
      <c r="E304" s="4" t="s">
        <v>1437</v>
      </c>
      <c r="F304" t="s">
        <v>1507</v>
      </c>
      <c r="G304" s="5">
        <v>692.18</v>
      </c>
      <c r="H304" s="5">
        <v>0</v>
      </c>
      <c r="I304" s="5">
        <v>0</v>
      </c>
      <c r="J304" s="5">
        <f t="shared" si="4"/>
        <v>692.18</v>
      </c>
    </row>
    <row r="305" spans="1:10" ht="15">
      <c r="A305" s="4" t="s">
        <v>1508</v>
      </c>
      <c r="B305" s="4" t="s">
        <v>981</v>
      </c>
      <c r="C305" s="4" t="s">
        <v>1509</v>
      </c>
      <c r="D305" s="4" t="s">
        <v>363</v>
      </c>
      <c r="E305" s="4" t="s">
        <v>1437</v>
      </c>
      <c r="F305" t="s">
        <v>1510</v>
      </c>
      <c r="G305" s="5">
        <v>784.47</v>
      </c>
      <c r="H305" s="5">
        <v>392.23</v>
      </c>
      <c r="I305" s="5">
        <v>0</v>
      </c>
      <c r="J305" s="5">
        <f t="shared" si="4"/>
        <v>1176.7</v>
      </c>
    </row>
    <row r="306" spans="1:10" ht="15">
      <c r="A306" s="4" t="s">
        <v>1511</v>
      </c>
      <c r="B306" s="4" t="s">
        <v>1512</v>
      </c>
      <c r="C306" s="4" t="s">
        <v>674</v>
      </c>
      <c r="D306" s="4" t="s">
        <v>1513</v>
      </c>
      <c r="E306" s="4" t="s">
        <v>1437</v>
      </c>
      <c r="F306" t="s">
        <v>1514</v>
      </c>
      <c r="G306" s="5">
        <v>0</v>
      </c>
      <c r="H306" s="5">
        <v>0</v>
      </c>
      <c r="I306" s="5">
        <v>0</v>
      </c>
      <c r="J306" s="5">
        <f t="shared" si="4"/>
        <v>0</v>
      </c>
    </row>
    <row r="307" spans="1:10" ht="15">
      <c r="A307" s="4" t="s">
        <v>1515</v>
      </c>
      <c r="B307" s="4" t="s">
        <v>1516</v>
      </c>
      <c r="C307" s="4" t="s">
        <v>1517</v>
      </c>
      <c r="D307" s="4" t="s">
        <v>1518</v>
      </c>
      <c r="E307" s="4" t="s">
        <v>1437</v>
      </c>
      <c r="F307" t="s">
        <v>1519</v>
      </c>
      <c r="G307" s="5">
        <v>0</v>
      </c>
      <c r="H307" s="5">
        <v>0</v>
      </c>
      <c r="I307" s="5">
        <v>0</v>
      </c>
      <c r="J307" s="5">
        <f t="shared" si="4"/>
        <v>0</v>
      </c>
    </row>
    <row r="308" spans="1:10" ht="15">
      <c r="A308" s="4" t="s">
        <v>1520</v>
      </c>
      <c r="B308" s="4" t="s">
        <v>1521</v>
      </c>
      <c r="C308" s="4" t="s">
        <v>12</v>
      </c>
      <c r="D308" s="4" t="s">
        <v>1522</v>
      </c>
      <c r="E308" s="4" t="s">
        <v>1437</v>
      </c>
      <c r="F308" t="s">
        <v>1523</v>
      </c>
      <c r="G308" s="5">
        <v>830.61</v>
      </c>
      <c r="H308" s="5">
        <v>0</v>
      </c>
      <c r="I308" s="5">
        <v>0</v>
      </c>
      <c r="J308" s="5">
        <f t="shared" si="4"/>
        <v>830.61</v>
      </c>
    </row>
    <row r="309" spans="1:10" ht="15">
      <c r="A309" s="4" t="s">
        <v>1524</v>
      </c>
      <c r="B309" s="4" t="s">
        <v>1525</v>
      </c>
      <c r="C309" s="4" t="s">
        <v>1526</v>
      </c>
      <c r="D309" s="4" t="s">
        <v>1527</v>
      </c>
      <c r="E309" s="4" t="s">
        <v>1437</v>
      </c>
      <c r="F309" t="s">
        <v>1528</v>
      </c>
      <c r="G309" s="5">
        <v>0</v>
      </c>
      <c r="H309" s="5">
        <v>415.31</v>
      </c>
      <c r="I309" s="5">
        <v>0</v>
      </c>
      <c r="J309" s="5">
        <f t="shared" si="4"/>
        <v>415.31</v>
      </c>
    </row>
    <row r="310" spans="1:10" ht="15">
      <c r="A310" s="4" t="s">
        <v>1529</v>
      </c>
      <c r="B310" s="4" t="s">
        <v>1530</v>
      </c>
      <c r="C310" s="4" t="s">
        <v>1531</v>
      </c>
      <c r="D310" s="4" t="s">
        <v>1532</v>
      </c>
      <c r="E310" s="4" t="s">
        <v>1437</v>
      </c>
      <c r="F310" t="s">
        <v>1533</v>
      </c>
      <c r="G310" s="5">
        <v>0</v>
      </c>
      <c r="H310" s="5">
        <v>0</v>
      </c>
      <c r="I310" s="5">
        <v>0</v>
      </c>
      <c r="J310" s="5">
        <f t="shared" si="4"/>
        <v>0</v>
      </c>
    </row>
    <row r="311" spans="1:10" ht="15">
      <c r="A311" s="4" t="s">
        <v>1534</v>
      </c>
      <c r="B311" s="4" t="s">
        <v>1535</v>
      </c>
      <c r="C311" s="4" t="s">
        <v>1536</v>
      </c>
      <c r="D311" s="4" t="s">
        <v>587</v>
      </c>
      <c r="E311" s="4" t="s">
        <v>1437</v>
      </c>
      <c r="F311" t="s">
        <v>1537</v>
      </c>
      <c r="G311" s="5">
        <v>807.54</v>
      </c>
      <c r="H311" s="5">
        <v>0</v>
      </c>
      <c r="I311" s="5">
        <v>0</v>
      </c>
      <c r="J311" s="5">
        <f t="shared" si="4"/>
        <v>807.54</v>
      </c>
    </row>
    <row r="312" spans="1:10" ht="15">
      <c r="A312" s="4" t="s">
        <v>1538</v>
      </c>
      <c r="B312" s="4" t="s">
        <v>1539</v>
      </c>
      <c r="C312" s="4" t="s">
        <v>1540</v>
      </c>
      <c r="D312" s="4" t="s">
        <v>1541</v>
      </c>
      <c r="E312" s="4" t="s">
        <v>1437</v>
      </c>
      <c r="F312" t="s">
        <v>1542</v>
      </c>
      <c r="G312" s="5">
        <v>0</v>
      </c>
      <c r="H312" s="5">
        <v>0</v>
      </c>
      <c r="I312" s="5">
        <v>0</v>
      </c>
      <c r="J312" s="5">
        <f t="shared" si="4"/>
        <v>0</v>
      </c>
    </row>
    <row r="313" spans="1:10" ht="15">
      <c r="A313" s="4" t="s">
        <v>1543</v>
      </c>
      <c r="B313" s="4" t="s">
        <v>1544</v>
      </c>
      <c r="C313" s="4" t="s">
        <v>1545</v>
      </c>
      <c r="D313" s="4" t="s">
        <v>1546</v>
      </c>
      <c r="E313" s="4" t="s">
        <v>1437</v>
      </c>
      <c r="F313" t="s">
        <v>1547</v>
      </c>
      <c r="G313" s="5">
        <v>807.54</v>
      </c>
      <c r="H313" s="5">
        <v>0</v>
      </c>
      <c r="I313" s="5">
        <v>0</v>
      </c>
      <c r="J313" s="5">
        <f t="shared" si="4"/>
        <v>807.54</v>
      </c>
    </row>
    <row r="314" spans="1:10" ht="15">
      <c r="A314" s="4" t="s">
        <v>1548</v>
      </c>
      <c r="B314" s="4" t="s">
        <v>1549</v>
      </c>
      <c r="C314" s="4" t="s">
        <v>1550</v>
      </c>
      <c r="D314" s="4" t="s">
        <v>1551</v>
      </c>
      <c r="E314" s="4" t="s">
        <v>1437</v>
      </c>
      <c r="F314" t="s">
        <v>1552</v>
      </c>
      <c r="G314" s="5">
        <v>0</v>
      </c>
      <c r="H314" s="5">
        <v>0</v>
      </c>
      <c r="I314" s="5">
        <v>0</v>
      </c>
      <c r="J314" s="5">
        <f t="shared" si="4"/>
        <v>0</v>
      </c>
    </row>
    <row r="315" spans="1:10" ht="15">
      <c r="A315" s="4" t="s">
        <v>1553</v>
      </c>
      <c r="B315" s="4" t="s">
        <v>1554</v>
      </c>
      <c r="C315" s="4" t="s">
        <v>1555</v>
      </c>
      <c r="D315" s="4" t="s">
        <v>1556</v>
      </c>
      <c r="E315" s="4" t="s">
        <v>1437</v>
      </c>
      <c r="F315" t="s">
        <v>1557</v>
      </c>
      <c r="G315" s="5">
        <v>738.32</v>
      </c>
      <c r="H315" s="5">
        <v>0</v>
      </c>
      <c r="I315" s="5">
        <v>0</v>
      </c>
      <c r="J315" s="5">
        <f t="shared" si="4"/>
        <v>738.32</v>
      </c>
    </row>
    <row r="316" spans="1:10" ht="15">
      <c r="A316" s="4" t="s">
        <v>1558</v>
      </c>
      <c r="B316" s="4" t="s">
        <v>1559</v>
      </c>
      <c r="C316" s="4" t="s">
        <v>1560</v>
      </c>
      <c r="D316" s="4" t="s">
        <v>1561</v>
      </c>
      <c r="E316" s="4" t="s">
        <v>1437</v>
      </c>
      <c r="F316" t="s">
        <v>1562</v>
      </c>
      <c r="G316" s="5">
        <v>0</v>
      </c>
      <c r="H316" s="5">
        <v>0</v>
      </c>
      <c r="I316" s="5">
        <v>0</v>
      </c>
      <c r="J316" s="5">
        <f t="shared" si="4"/>
        <v>0</v>
      </c>
    </row>
    <row r="317" spans="1:10" ht="15">
      <c r="A317" s="4" t="s">
        <v>1563</v>
      </c>
      <c r="B317" s="4" t="s">
        <v>1564</v>
      </c>
      <c r="C317" s="4" t="s">
        <v>1565</v>
      </c>
      <c r="D317" s="4" t="s">
        <v>1566</v>
      </c>
      <c r="E317" s="4" t="s">
        <v>1437</v>
      </c>
      <c r="F317" t="s">
        <v>1567</v>
      </c>
      <c r="G317" s="5">
        <v>807.54</v>
      </c>
      <c r="H317" s="5">
        <v>0</v>
      </c>
      <c r="I317" s="5">
        <v>0</v>
      </c>
      <c r="J317" s="5">
        <f t="shared" si="4"/>
        <v>807.54</v>
      </c>
    </row>
    <row r="318" spans="1:10" ht="15">
      <c r="A318" s="4" t="s">
        <v>1568</v>
      </c>
      <c r="B318" s="4" t="s">
        <v>1569</v>
      </c>
      <c r="C318" s="4" t="s">
        <v>1570</v>
      </c>
      <c r="D318" s="4" t="s">
        <v>1571</v>
      </c>
      <c r="E318" s="4" t="s">
        <v>1437</v>
      </c>
      <c r="F318" t="s">
        <v>1572</v>
      </c>
      <c r="G318" s="5">
        <v>408.52</v>
      </c>
      <c r="H318" s="5">
        <v>392.23</v>
      </c>
      <c r="I318" s="5">
        <v>0</v>
      </c>
      <c r="J318" s="5">
        <f t="shared" si="4"/>
        <v>800.75</v>
      </c>
    </row>
    <row r="319" spans="1:10" ht="15">
      <c r="A319" s="4" t="s">
        <v>1573</v>
      </c>
      <c r="B319" s="4" t="s">
        <v>1574</v>
      </c>
      <c r="C319" s="4" t="s">
        <v>1575</v>
      </c>
      <c r="D319" s="4" t="s">
        <v>1576</v>
      </c>
      <c r="E319" s="4" t="s">
        <v>1437</v>
      </c>
      <c r="F319" t="s">
        <v>1577</v>
      </c>
      <c r="G319" s="5">
        <v>346.09</v>
      </c>
      <c r="H319" s="5">
        <v>346.09</v>
      </c>
      <c r="I319" s="5">
        <v>0</v>
      </c>
      <c r="J319" s="5">
        <f t="shared" si="4"/>
        <v>692.18</v>
      </c>
    </row>
    <row r="320" spans="1:10" ht="15">
      <c r="A320" s="4" t="s">
        <v>1578</v>
      </c>
      <c r="B320" s="4" t="s">
        <v>1579</v>
      </c>
      <c r="C320" s="4" t="s">
        <v>1484</v>
      </c>
      <c r="D320" s="4" t="s">
        <v>1580</v>
      </c>
      <c r="E320" s="4" t="s">
        <v>1437</v>
      </c>
      <c r="F320" t="s">
        <v>1581</v>
      </c>
      <c r="G320" s="5">
        <v>0</v>
      </c>
      <c r="H320" s="5">
        <v>0</v>
      </c>
      <c r="I320" s="5">
        <v>0</v>
      </c>
      <c r="J320" s="5">
        <f t="shared" si="4"/>
        <v>0</v>
      </c>
    </row>
    <row r="321" spans="1:10" ht="15">
      <c r="A321" s="4" t="s">
        <v>1582</v>
      </c>
      <c r="B321" s="4" t="s">
        <v>188</v>
      </c>
      <c r="C321" s="4" t="s">
        <v>1583</v>
      </c>
      <c r="D321" s="4" t="s">
        <v>1584</v>
      </c>
      <c r="E321" s="4" t="s">
        <v>1437</v>
      </c>
      <c r="F321" t="s">
        <v>1585</v>
      </c>
      <c r="G321" s="5">
        <v>738.32</v>
      </c>
      <c r="H321" s="5">
        <v>0</v>
      </c>
      <c r="I321" s="5">
        <v>0</v>
      </c>
      <c r="J321" s="5">
        <f t="shared" si="4"/>
        <v>738.32</v>
      </c>
    </row>
    <row r="322" spans="1:10" ht="15">
      <c r="A322" s="4" t="s">
        <v>1586</v>
      </c>
      <c r="B322" s="4" t="s">
        <v>1587</v>
      </c>
      <c r="C322" s="4" t="s">
        <v>1588</v>
      </c>
      <c r="D322" s="4" t="s">
        <v>777</v>
      </c>
      <c r="E322" s="4" t="s">
        <v>1437</v>
      </c>
      <c r="F322" t="s">
        <v>1589</v>
      </c>
      <c r="G322" s="5">
        <v>0</v>
      </c>
      <c r="H322" s="5">
        <v>0</v>
      </c>
      <c r="I322" s="5">
        <v>0</v>
      </c>
      <c r="J322" s="5">
        <f t="shared" si="4"/>
        <v>0</v>
      </c>
    </row>
    <row r="323" spans="1:10" ht="15">
      <c r="A323" s="4" t="s">
        <v>1590</v>
      </c>
      <c r="B323" s="4" t="s">
        <v>1591</v>
      </c>
      <c r="C323" s="4" t="s">
        <v>1592</v>
      </c>
      <c r="D323" s="4" t="s">
        <v>1593</v>
      </c>
      <c r="E323" s="4" t="s">
        <v>1437</v>
      </c>
      <c r="F323" t="s">
        <v>1594</v>
      </c>
      <c r="G323" s="5">
        <v>707.02</v>
      </c>
      <c r="H323" s="5">
        <v>0</v>
      </c>
      <c r="I323" s="5">
        <v>0</v>
      </c>
      <c r="J323" s="5">
        <f t="shared" si="4"/>
        <v>707.02</v>
      </c>
    </row>
    <row r="324" spans="1:10" ht="15">
      <c r="A324" s="4" t="s">
        <v>1595</v>
      </c>
      <c r="B324" s="4" t="s">
        <v>1596</v>
      </c>
      <c r="C324" s="4" t="s">
        <v>1597</v>
      </c>
      <c r="D324" s="4" t="s">
        <v>1598</v>
      </c>
      <c r="E324" s="4" t="s">
        <v>1437</v>
      </c>
      <c r="F324" t="s">
        <v>1599</v>
      </c>
      <c r="G324" s="5">
        <v>784.47</v>
      </c>
      <c r="H324" s="5">
        <v>0</v>
      </c>
      <c r="I324" s="5">
        <v>0</v>
      </c>
      <c r="J324" s="5">
        <f t="shared" si="4"/>
        <v>784.47</v>
      </c>
    </row>
    <row r="325" spans="1:10" ht="15">
      <c r="A325" s="4" t="s">
        <v>1600</v>
      </c>
      <c r="B325" s="4" t="s">
        <v>1601</v>
      </c>
      <c r="C325" s="4" t="s">
        <v>1602</v>
      </c>
      <c r="D325" s="4" t="s">
        <v>1603</v>
      </c>
      <c r="E325" s="4" t="s">
        <v>1437</v>
      </c>
      <c r="F325" t="s">
        <v>1604</v>
      </c>
      <c r="G325" s="5">
        <v>0</v>
      </c>
      <c r="H325" s="5">
        <v>0</v>
      </c>
      <c r="I325" s="5">
        <v>0</v>
      </c>
      <c r="J325" s="5">
        <f t="shared" si="4"/>
        <v>0</v>
      </c>
    </row>
    <row r="326" spans="1:10" ht="15">
      <c r="A326" s="4" t="s">
        <v>1605</v>
      </c>
      <c r="B326" s="4" t="s">
        <v>1497</v>
      </c>
      <c r="C326" s="4" t="s">
        <v>1606</v>
      </c>
      <c r="D326" s="4" t="s">
        <v>1607</v>
      </c>
      <c r="E326" s="4" t="s">
        <v>1437</v>
      </c>
      <c r="F326" t="s">
        <v>1608</v>
      </c>
      <c r="G326" s="5">
        <v>715.25</v>
      </c>
      <c r="H326" s="5">
        <v>0</v>
      </c>
      <c r="I326" s="5">
        <v>0</v>
      </c>
      <c r="J326" s="5">
        <f t="shared" si="4"/>
        <v>715.25</v>
      </c>
    </row>
    <row r="327" spans="1:10" ht="15">
      <c r="A327" s="4" t="s">
        <v>1609</v>
      </c>
      <c r="B327" s="4" t="s">
        <v>1610</v>
      </c>
      <c r="C327" s="4" t="s">
        <v>1611</v>
      </c>
      <c r="D327" s="4" t="s">
        <v>1612</v>
      </c>
      <c r="E327" s="4" t="s">
        <v>1437</v>
      </c>
      <c r="F327" t="s">
        <v>1613</v>
      </c>
      <c r="G327" s="5">
        <v>0</v>
      </c>
      <c r="H327" s="5">
        <v>0</v>
      </c>
      <c r="I327" s="5">
        <v>0</v>
      </c>
      <c r="J327" s="5">
        <f t="shared" si="4"/>
        <v>0</v>
      </c>
    </row>
    <row r="328" spans="1:10" ht="15">
      <c r="A328" s="4" t="s">
        <v>1614</v>
      </c>
      <c r="B328" s="4" t="s">
        <v>1615</v>
      </c>
      <c r="C328" s="4" t="s">
        <v>1616</v>
      </c>
      <c r="D328" s="4" t="s">
        <v>1617</v>
      </c>
      <c r="E328" s="4" t="s">
        <v>1437</v>
      </c>
      <c r="F328" t="s">
        <v>1618</v>
      </c>
      <c r="G328" s="5">
        <v>0</v>
      </c>
      <c r="H328" s="5">
        <v>0</v>
      </c>
      <c r="I328" s="5">
        <v>0</v>
      </c>
      <c r="J328" s="5">
        <f t="shared" ref="J328:J391" si="5">G328+H328+I328</f>
        <v>0</v>
      </c>
    </row>
    <row r="329" spans="1:10" ht="15">
      <c r="A329" s="4" t="s">
        <v>1619</v>
      </c>
      <c r="B329" s="4" t="s">
        <v>1620</v>
      </c>
      <c r="C329" s="4" t="s">
        <v>1621</v>
      </c>
      <c r="D329" s="4" t="s">
        <v>1622</v>
      </c>
      <c r="E329" s="4" t="s">
        <v>1437</v>
      </c>
      <c r="F329" t="s">
        <v>1623</v>
      </c>
      <c r="G329" s="5">
        <v>715.25</v>
      </c>
      <c r="H329" s="5">
        <v>0</v>
      </c>
      <c r="I329" s="5">
        <v>0</v>
      </c>
      <c r="J329" s="5">
        <f t="shared" si="5"/>
        <v>715.25</v>
      </c>
    </row>
    <row r="330" spans="1:10" ht="15">
      <c r="A330" s="4" t="s">
        <v>1624</v>
      </c>
      <c r="B330" s="4" t="s">
        <v>1625</v>
      </c>
      <c r="C330" s="4" t="s">
        <v>660</v>
      </c>
      <c r="D330" s="4" t="s">
        <v>1626</v>
      </c>
      <c r="E330" s="4" t="s">
        <v>1437</v>
      </c>
      <c r="F330" t="s">
        <v>1627</v>
      </c>
      <c r="G330" s="5">
        <v>230.76</v>
      </c>
      <c r="H330" s="5">
        <v>0</v>
      </c>
      <c r="I330" s="5">
        <v>0</v>
      </c>
      <c r="J330" s="5">
        <f t="shared" si="5"/>
        <v>230.76</v>
      </c>
    </row>
    <row r="331" spans="1:10" ht="15">
      <c r="A331" s="4" t="s">
        <v>1628</v>
      </c>
      <c r="B331" s="4" t="s">
        <v>1629</v>
      </c>
      <c r="C331" s="4" t="s">
        <v>1630</v>
      </c>
      <c r="D331" s="4" t="s">
        <v>1631</v>
      </c>
      <c r="E331" s="4" t="s">
        <v>1437</v>
      </c>
      <c r="F331" t="s">
        <v>1632</v>
      </c>
      <c r="G331" s="5">
        <v>599.89</v>
      </c>
      <c r="H331" s="5">
        <v>0</v>
      </c>
      <c r="I331" s="5">
        <v>0</v>
      </c>
      <c r="J331" s="5">
        <f t="shared" si="5"/>
        <v>599.89</v>
      </c>
    </row>
    <row r="332" spans="1:10" ht="15">
      <c r="A332" s="4" t="s">
        <v>1633</v>
      </c>
      <c r="B332" s="4" t="s">
        <v>1634</v>
      </c>
      <c r="C332" s="4" t="s">
        <v>1635</v>
      </c>
      <c r="D332" s="4" t="s">
        <v>1636</v>
      </c>
      <c r="E332" s="4" t="s">
        <v>1437</v>
      </c>
      <c r="F332" t="s">
        <v>1637</v>
      </c>
      <c r="G332" s="5">
        <v>692.18</v>
      </c>
      <c r="H332" s="5">
        <v>0</v>
      </c>
      <c r="I332" s="5">
        <v>0</v>
      </c>
      <c r="J332" s="5">
        <f t="shared" si="5"/>
        <v>692.18</v>
      </c>
    </row>
    <row r="333" spans="1:10" ht="15">
      <c r="A333" s="4" t="s">
        <v>1638</v>
      </c>
      <c r="B333" s="4" t="s">
        <v>742</v>
      </c>
      <c r="C333" s="4" t="s">
        <v>1639</v>
      </c>
      <c r="D333" s="4" t="s">
        <v>1640</v>
      </c>
      <c r="E333" s="4" t="s">
        <v>1437</v>
      </c>
      <c r="F333" t="s">
        <v>1641</v>
      </c>
      <c r="G333" s="5">
        <v>715.25</v>
      </c>
      <c r="H333" s="5">
        <v>0</v>
      </c>
      <c r="I333" s="5">
        <v>0</v>
      </c>
      <c r="J333" s="5">
        <f t="shared" si="5"/>
        <v>715.25</v>
      </c>
    </row>
    <row r="334" spans="1:10" ht="15">
      <c r="A334" s="4" t="s">
        <v>1642</v>
      </c>
      <c r="B334" s="4" t="s">
        <v>1643</v>
      </c>
      <c r="C334" s="4" t="s">
        <v>1644</v>
      </c>
      <c r="D334" s="4" t="s">
        <v>1645</v>
      </c>
      <c r="E334" s="4" t="s">
        <v>1437</v>
      </c>
      <c r="F334" t="s">
        <v>1646</v>
      </c>
      <c r="G334" s="5">
        <v>1338.2</v>
      </c>
      <c r="H334" s="5">
        <v>0</v>
      </c>
      <c r="I334" s="5">
        <v>0</v>
      </c>
      <c r="J334" s="5">
        <f t="shared" si="5"/>
        <v>1338.2</v>
      </c>
    </row>
    <row r="335" spans="1:10" ht="15">
      <c r="A335" s="4" t="s">
        <v>1647</v>
      </c>
      <c r="B335" s="4" t="s">
        <v>1648</v>
      </c>
      <c r="C335" s="4" t="s">
        <v>1649</v>
      </c>
      <c r="D335" s="4" t="s">
        <v>1650</v>
      </c>
      <c r="E335" s="4" t="s">
        <v>1437</v>
      </c>
      <c r="F335" t="s">
        <v>1651</v>
      </c>
      <c r="G335" s="5">
        <v>357.63</v>
      </c>
      <c r="H335" s="5">
        <v>0</v>
      </c>
      <c r="I335" s="5">
        <v>0</v>
      </c>
      <c r="J335" s="5">
        <f t="shared" si="5"/>
        <v>357.63</v>
      </c>
    </row>
    <row r="336" spans="1:10" ht="15">
      <c r="A336" s="4" t="s">
        <v>1652</v>
      </c>
      <c r="B336" s="4" t="s">
        <v>182</v>
      </c>
      <c r="C336" s="4" t="s">
        <v>1653</v>
      </c>
      <c r="D336" s="4" t="s">
        <v>1654</v>
      </c>
      <c r="E336" s="4" t="s">
        <v>1437</v>
      </c>
      <c r="F336" t="s">
        <v>1655</v>
      </c>
      <c r="G336" s="5">
        <v>738.32</v>
      </c>
      <c r="H336" s="5">
        <v>369.16</v>
      </c>
      <c r="I336" s="5">
        <v>0</v>
      </c>
      <c r="J336" s="5">
        <f t="shared" si="5"/>
        <v>1107.48</v>
      </c>
    </row>
    <row r="337" spans="1:10" ht="15">
      <c r="A337" s="4" t="s">
        <v>1656</v>
      </c>
      <c r="B337" s="4" t="s">
        <v>1657</v>
      </c>
      <c r="C337" s="4" t="s">
        <v>960</v>
      </c>
      <c r="D337" s="4" t="s">
        <v>1658</v>
      </c>
      <c r="E337" s="4" t="s">
        <v>1437</v>
      </c>
      <c r="F337" t="s">
        <v>1659</v>
      </c>
      <c r="G337" s="5">
        <v>715.25</v>
      </c>
      <c r="H337" s="5">
        <v>0</v>
      </c>
      <c r="I337" s="5">
        <v>0</v>
      </c>
      <c r="J337" s="5">
        <f t="shared" si="5"/>
        <v>715.25</v>
      </c>
    </row>
    <row r="338" spans="1:10" ht="15">
      <c r="A338" s="4" t="s">
        <v>1660</v>
      </c>
      <c r="B338" s="4" t="s">
        <v>1661</v>
      </c>
      <c r="C338" s="4" t="s">
        <v>1662</v>
      </c>
      <c r="D338" s="4" t="s">
        <v>1663</v>
      </c>
      <c r="E338" s="4" t="s">
        <v>1437</v>
      </c>
      <c r="F338" t="s">
        <v>1664</v>
      </c>
      <c r="G338" s="5">
        <v>0</v>
      </c>
      <c r="H338" s="5">
        <v>0</v>
      </c>
      <c r="I338" s="5">
        <v>0</v>
      </c>
      <c r="J338" s="5">
        <f t="shared" si="5"/>
        <v>0</v>
      </c>
    </row>
    <row r="339" spans="1:10" ht="15">
      <c r="A339" s="4" t="s">
        <v>1665</v>
      </c>
      <c r="B339" s="4" t="s">
        <v>1666</v>
      </c>
      <c r="C339" s="4" t="s">
        <v>1667</v>
      </c>
      <c r="D339" s="4" t="s">
        <v>1668</v>
      </c>
      <c r="E339" s="4" t="s">
        <v>1437</v>
      </c>
      <c r="F339" t="s">
        <v>1669</v>
      </c>
      <c r="G339" s="5">
        <v>853.68</v>
      </c>
      <c r="H339" s="5">
        <v>0</v>
      </c>
      <c r="I339" s="5">
        <v>0</v>
      </c>
      <c r="J339" s="5">
        <f t="shared" si="5"/>
        <v>853.68</v>
      </c>
    </row>
    <row r="340" spans="1:10" ht="15">
      <c r="A340" s="4" t="s">
        <v>1670</v>
      </c>
      <c r="B340" s="4" t="s">
        <v>1671</v>
      </c>
      <c r="C340" s="4" t="s">
        <v>1672</v>
      </c>
      <c r="D340" s="4" t="s">
        <v>661</v>
      </c>
      <c r="E340" s="4" t="s">
        <v>1673</v>
      </c>
      <c r="F340" t="s">
        <v>1674</v>
      </c>
      <c r="G340" s="5">
        <v>993.24</v>
      </c>
      <c r="H340" s="5">
        <v>380.5</v>
      </c>
      <c r="I340" s="5">
        <v>0</v>
      </c>
      <c r="J340" s="5">
        <f t="shared" si="5"/>
        <v>1373.74</v>
      </c>
    </row>
    <row r="341" spans="1:10" ht="15">
      <c r="A341" s="4" t="s">
        <v>1675</v>
      </c>
      <c r="B341" s="4" t="s">
        <v>1676</v>
      </c>
      <c r="C341" s="4" t="s">
        <v>1677</v>
      </c>
      <c r="D341" s="4" t="s">
        <v>1678</v>
      </c>
      <c r="E341" s="4" t="s">
        <v>1673</v>
      </c>
      <c r="F341" t="s">
        <v>1679</v>
      </c>
      <c r="G341" s="5">
        <v>276.87</v>
      </c>
      <c r="H341" s="5">
        <v>0</v>
      </c>
      <c r="I341" s="5">
        <v>0</v>
      </c>
      <c r="J341" s="5">
        <f t="shared" si="5"/>
        <v>276.87</v>
      </c>
    </row>
    <row r="342" spans="1:10" ht="15">
      <c r="A342" s="4" t="s">
        <v>1680</v>
      </c>
      <c r="B342" s="4" t="s">
        <v>88</v>
      </c>
      <c r="C342" s="4" t="s">
        <v>1681</v>
      </c>
      <c r="D342" s="4" t="s">
        <v>1682</v>
      </c>
      <c r="E342" s="4" t="s">
        <v>1673</v>
      </c>
      <c r="F342" t="s">
        <v>1683</v>
      </c>
      <c r="G342" s="5">
        <v>0</v>
      </c>
      <c r="H342" s="5">
        <v>0</v>
      </c>
      <c r="I342" s="5">
        <v>0</v>
      </c>
      <c r="J342" s="5">
        <f t="shared" si="5"/>
        <v>0</v>
      </c>
    </row>
    <row r="343" spans="1:10" ht="15">
      <c r="A343" s="4" t="s">
        <v>1684</v>
      </c>
      <c r="B343" s="4" t="s">
        <v>1685</v>
      </c>
      <c r="C343" s="4" t="s">
        <v>1686</v>
      </c>
      <c r="D343" s="4" t="s">
        <v>1687</v>
      </c>
      <c r="E343" s="4" t="s">
        <v>1673</v>
      </c>
      <c r="F343" t="s">
        <v>1688</v>
      </c>
      <c r="G343" s="5">
        <v>380.7</v>
      </c>
      <c r="H343" s="5">
        <v>0</v>
      </c>
      <c r="I343" s="5">
        <v>0</v>
      </c>
      <c r="J343" s="5">
        <f t="shared" si="5"/>
        <v>380.7</v>
      </c>
    </row>
    <row r="344" spans="1:10" ht="15">
      <c r="A344" s="4" t="s">
        <v>1689</v>
      </c>
      <c r="B344" s="4" t="s">
        <v>1690</v>
      </c>
      <c r="C344" s="4" t="s">
        <v>1691</v>
      </c>
      <c r="D344" s="4" t="s">
        <v>1692</v>
      </c>
      <c r="E344" s="4" t="s">
        <v>1673</v>
      </c>
      <c r="F344" t="s">
        <v>1693</v>
      </c>
      <c r="G344" s="5">
        <v>332.41</v>
      </c>
      <c r="H344" s="5">
        <v>0</v>
      </c>
      <c r="I344" s="5">
        <v>0</v>
      </c>
      <c r="J344" s="5">
        <f t="shared" si="5"/>
        <v>332.41</v>
      </c>
    </row>
    <row r="345" spans="1:10" ht="15">
      <c r="A345" s="4" t="s">
        <v>1694</v>
      </c>
      <c r="B345" s="4" t="s">
        <v>1695</v>
      </c>
      <c r="C345" s="4" t="s">
        <v>127</v>
      </c>
      <c r="D345" s="4" t="s">
        <v>1403</v>
      </c>
      <c r="E345" s="4" t="s">
        <v>1673</v>
      </c>
      <c r="F345" t="s">
        <v>1696</v>
      </c>
      <c r="G345" s="5">
        <v>622.96</v>
      </c>
      <c r="H345" s="5">
        <v>0</v>
      </c>
      <c r="I345" s="5">
        <v>0</v>
      </c>
      <c r="J345" s="5">
        <f t="shared" si="5"/>
        <v>622.96</v>
      </c>
    </row>
    <row r="346" spans="1:10" ht="15">
      <c r="A346" s="4" t="s">
        <v>1697</v>
      </c>
      <c r="B346" s="4" t="s">
        <v>300</v>
      </c>
      <c r="C346" s="4" t="s">
        <v>1698</v>
      </c>
      <c r="D346" s="4" t="s">
        <v>1699</v>
      </c>
      <c r="E346" s="4" t="s">
        <v>1673</v>
      </c>
      <c r="F346" t="s">
        <v>1700</v>
      </c>
      <c r="G346" s="5">
        <v>0</v>
      </c>
      <c r="H346" s="5">
        <v>0</v>
      </c>
      <c r="I346" s="5">
        <v>0</v>
      </c>
      <c r="J346" s="5">
        <f t="shared" si="5"/>
        <v>0</v>
      </c>
    </row>
    <row r="347" spans="1:10" ht="15">
      <c r="A347" s="4" t="s">
        <v>1701</v>
      </c>
      <c r="B347" s="4" t="s">
        <v>1702</v>
      </c>
      <c r="C347" s="4" t="s">
        <v>1703</v>
      </c>
      <c r="D347" s="4" t="s">
        <v>1704</v>
      </c>
      <c r="E347" s="4" t="s">
        <v>1673</v>
      </c>
      <c r="F347" t="s">
        <v>1705</v>
      </c>
      <c r="G347" s="5">
        <v>357.63</v>
      </c>
      <c r="H347" s="5">
        <v>369.16</v>
      </c>
      <c r="I347" s="5">
        <v>0</v>
      </c>
      <c r="J347" s="5">
        <f t="shared" si="5"/>
        <v>726.79</v>
      </c>
    </row>
    <row r="348" spans="1:10" ht="15">
      <c r="A348" s="4" t="s">
        <v>1706</v>
      </c>
      <c r="B348" s="4" t="s">
        <v>1707</v>
      </c>
      <c r="C348" s="4" t="s">
        <v>519</v>
      </c>
      <c r="D348" s="4" t="s">
        <v>1708</v>
      </c>
      <c r="E348" s="4" t="s">
        <v>1673</v>
      </c>
      <c r="F348" t="s">
        <v>1709</v>
      </c>
      <c r="G348" s="5">
        <v>0</v>
      </c>
      <c r="H348" s="5">
        <v>0</v>
      </c>
      <c r="I348" s="5">
        <v>0</v>
      </c>
      <c r="J348" s="5">
        <f t="shared" si="5"/>
        <v>0</v>
      </c>
    </row>
    <row r="349" spans="1:10" ht="15">
      <c r="A349" s="4" t="s">
        <v>1710</v>
      </c>
      <c r="B349" s="4" t="s">
        <v>1711</v>
      </c>
      <c r="C349" s="4" t="s">
        <v>1712</v>
      </c>
      <c r="D349" s="4" t="s">
        <v>359</v>
      </c>
      <c r="E349" s="4" t="s">
        <v>1673</v>
      </c>
      <c r="F349" t="s">
        <v>1713</v>
      </c>
      <c r="G349" s="5">
        <v>0</v>
      </c>
      <c r="H349" s="5">
        <v>0</v>
      </c>
      <c r="I349" s="5">
        <v>0</v>
      </c>
      <c r="J349" s="5">
        <f t="shared" si="5"/>
        <v>0</v>
      </c>
    </row>
    <row r="350" spans="1:10" ht="15">
      <c r="A350" s="4" t="s">
        <v>1714</v>
      </c>
      <c r="B350" s="4" t="s">
        <v>1715</v>
      </c>
      <c r="C350" s="4" t="s">
        <v>1716</v>
      </c>
      <c r="D350" s="4" t="s">
        <v>1717</v>
      </c>
      <c r="E350" s="4" t="s">
        <v>1673</v>
      </c>
      <c r="F350" t="s">
        <v>1718</v>
      </c>
      <c r="G350" s="5">
        <v>0</v>
      </c>
      <c r="H350" s="5">
        <v>0</v>
      </c>
      <c r="I350" s="5">
        <v>0</v>
      </c>
      <c r="J350" s="5">
        <f t="shared" si="5"/>
        <v>0</v>
      </c>
    </row>
    <row r="351" spans="1:10" ht="15">
      <c r="A351" s="4" t="s">
        <v>1719</v>
      </c>
      <c r="B351" s="4" t="s">
        <v>1720</v>
      </c>
      <c r="C351" s="4" t="s">
        <v>1721</v>
      </c>
      <c r="D351" s="4" t="s">
        <v>1722</v>
      </c>
      <c r="E351" s="4" t="s">
        <v>1673</v>
      </c>
      <c r="F351" t="s">
        <v>1723</v>
      </c>
      <c r="G351" s="5">
        <v>0</v>
      </c>
      <c r="H351" s="5">
        <v>0</v>
      </c>
      <c r="I351" s="5">
        <v>0</v>
      </c>
      <c r="J351" s="5">
        <f t="shared" si="5"/>
        <v>0</v>
      </c>
    </row>
    <row r="352" spans="1:10" ht="15">
      <c r="A352" s="4" t="s">
        <v>1724</v>
      </c>
      <c r="B352" s="4" t="s">
        <v>1725</v>
      </c>
      <c r="C352" s="4" t="s">
        <v>1726</v>
      </c>
      <c r="D352" s="4" t="s">
        <v>1727</v>
      </c>
      <c r="E352" s="4" t="s">
        <v>1673</v>
      </c>
      <c r="F352" t="s">
        <v>1728</v>
      </c>
      <c r="G352" s="5">
        <v>346.09</v>
      </c>
      <c r="H352" s="5">
        <v>0</v>
      </c>
      <c r="I352" s="5">
        <v>0</v>
      </c>
      <c r="J352" s="5">
        <f t="shared" si="5"/>
        <v>346.09</v>
      </c>
    </row>
    <row r="353" spans="1:10" ht="15">
      <c r="A353" s="4" t="s">
        <v>1729</v>
      </c>
      <c r="B353" s="4" t="s">
        <v>1730</v>
      </c>
      <c r="C353" s="4" t="s">
        <v>1731</v>
      </c>
      <c r="D353" s="4" t="s">
        <v>162</v>
      </c>
      <c r="E353" s="4" t="s">
        <v>1673</v>
      </c>
      <c r="F353" t="s">
        <v>1732</v>
      </c>
      <c r="G353" s="5">
        <v>0</v>
      </c>
      <c r="H353" s="5">
        <v>0</v>
      </c>
      <c r="I353" s="5">
        <v>0</v>
      </c>
      <c r="J353" s="5">
        <f t="shared" si="5"/>
        <v>0</v>
      </c>
    </row>
    <row r="354" spans="1:10" ht="15">
      <c r="A354" s="4" t="s">
        <v>1733</v>
      </c>
      <c r="B354" s="4" t="s">
        <v>1734</v>
      </c>
      <c r="C354" s="4" t="s">
        <v>1735</v>
      </c>
      <c r="D354" s="4" t="s">
        <v>1736</v>
      </c>
      <c r="E354" s="4" t="s">
        <v>1673</v>
      </c>
      <c r="F354" t="s">
        <v>1737</v>
      </c>
      <c r="G354" s="5">
        <v>334.55</v>
      </c>
      <c r="H354" s="5">
        <v>0</v>
      </c>
      <c r="I354" s="5">
        <v>0</v>
      </c>
      <c r="J354" s="5">
        <f t="shared" si="5"/>
        <v>334.55</v>
      </c>
    </row>
    <row r="355" spans="1:10" ht="15">
      <c r="A355" s="4" t="s">
        <v>1738</v>
      </c>
      <c r="B355" s="4" t="s">
        <v>1739</v>
      </c>
      <c r="C355" s="4" t="s">
        <v>1740</v>
      </c>
      <c r="D355" s="4" t="s">
        <v>1741</v>
      </c>
      <c r="E355" s="4" t="s">
        <v>1742</v>
      </c>
      <c r="F355" t="s">
        <v>1743</v>
      </c>
      <c r="G355" s="5">
        <v>0</v>
      </c>
      <c r="H355" s="5">
        <v>332.41</v>
      </c>
      <c r="I355" s="5">
        <v>0</v>
      </c>
      <c r="J355" s="5">
        <f t="shared" si="5"/>
        <v>332.41</v>
      </c>
    </row>
    <row r="356" spans="1:10" ht="15">
      <c r="A356" s="4" t="s">
        <v>1744</v>
      </c>
      <c r="B356" s="4" t="s">
        <v>1745</v>
      </c>
      <c r="C356" s="4" t="s">
        <v>1746</v>
      </c>
      <c r="D356" s="4" t="s">
        <v>1747</v>
      </c>
      <c r="E356" s="4" t="s">
        <v>1673</v>
      </c>
      <c r="F356" t="s">
        <v>1748</v>
      </c>
      <c r="G356" s="5">
        <v>380.7</v>
      </c>
      <c r="H356" s="5">
        <v>0</v>
      </c>
      <c r="I356" s="5">
        <v>0</v>
      </c>
      <c r="J356" s="5">
        <f t="shared" si="5"/>
        <v>380.7</v>
      </c>
    </row>
    <row r="357" spans="1:10" ht="15">
      <c r="A357" s="4" t="s">
        <v>1749</v>
      </c>
      <c r="B357" s="4" t="s">
        <v>1750</v>
      </c>
      <c r="C357" s="4" t="s">
        <v>1751</v>
      </c>
      <c r="D357" s="4" t="s">
        <v>1752</v>
      </c>
      <c r="E357" s="4" t="s">
        <v>1673</v>
      </c>
      <c r="F357" t="s">
        <v>1753</v>
      </c>
      <c r="G357" s="5">
        <v>0</v>
      </c>
      <c r="H357" s="5">
        <v>371.69</v>
      </c>
      <c r="I357" s="5">
        <v>0</v>
      </c>
      <c r="J357" s="5">
        <f t="shared" si="5"/>
        <v>371.69</v>
      </c>
    </row>
    <row r="358" spans="1:10" ht="15">
      <c r="A358" s="4" t="s">
        <v>1754</v>
      </c>
      <c r="B358" s="4" t="s">
        <v>1755</v>
      </c>
      <c r="C358" s="4" t="s">
        <v>1746</v>
      </c>
      <c r="D358" s="4" t="s">
        <v>45</v>
      </c>
      <c r="E358" s="4" t="s">
        <v>1673</v>
      </c>
      <c r="F358" t="s">
        <v>1756</v>
      </c>
      <c r="G358" s="5">
        <v>0</v>
      </c>
      <c r="H358" s="5">
        <v>0</v>
      </c>
      <c r="I358" s="5">
        <v>0</v>
      </c>
      <c r="J358" s="5">
        <f t="shared" si="5"/>
        <v>0</v>
      </c>
    </row>
    <row r="359" spans="1:10" ht="15">
      <c r="A359" s="4" t="s">
        <v>1757</v>
      </c>
      <c r="B359" s="4" t="s">
        <v>1758</v>
      </c>
      <c r="C359" s="4" t="s">
        <v>137</v>
      </c>
      <c r="D359" s="4" t="s">
        <v>1759</v>
      </c>
      <c r="E359" s="4" t="s">
        <v>1673</v>
      </c>
      <c r="F359" t="s">
        <v>1760</v>
      </c>
      <c r="G359" s="5">
        <v>0</v>
      </c>
      <c r="H359" s="5">
        <v>0</v>
      </c>
      <c r="I359" s="5">
        <v>0</v>
      </c>
      <c r="J359" s="5">
        <f t="shared" si="5"/>
        <v>0</v>
      </c>
    </row>
    <row r="360" spans="1:10" ht="15">
      <c r="A360" s="4" t="s">
        <v>1761</v>
      </c>
      <c r="B360" s="4" t="s">
        <v>1762</v>
      </c>
      <c r="C360" s="4" t="s">
        <v>1763</v>
      </c>
      <c r="D360" s="4" t="s">
        <v>111</v>
      </c>
      <c r="E360" s="4" t="s">
        <v>1673</v>
      </c>
      <c r="F360" t="s">
        <v>1764</v>
      </c>
      <c r="G360" s="5">
        <v>0</v>
      </c>
      <c r="H360" s="5">
        <v>0</v>
      </c>
      <c r="I360" s="5">
        <v>0</v>
      </c>
      <c r="J360" s="5">
        <f t="shared" si="5"/>
        <v>0</v>
      </c>
    </row>
    <row r="361" spans="1:10" ht="15">
      <c r="A361" s="4" t="s">
        <v>1765</v>
      </c>
      <c r="B361" s="4" t="s">
        <v>416</v>
      </c>
      <c r="C361" s="4" t="s">
        <v>1766</v>
      </c>
      <c r="D361" s="4" t="s">
        <v>141</v>
      </c>
      <c r="E361" s="4" t="s">
        <v>1673</v>
      </c>
      <c r="F361" t="s">
        <v>1767</v>
      </c>
      <c r="G361" s="5">
        <v>0</v>
      </c>
      <c r="H361" s="5">
        <v>0</v>
      </c>
      <c r="I361" s="5">
        <v>0</v>
      </c>
      <c r="J361" s="5">
        <f t="shared" si="5"/>
        <v>0</v>
      </c>
    </row>
    <row r="362" spans="1:10" ht="15">
      <c r="A362" s="4" t="s">
        <v>1768</v>
      </c>
      <c r="B362" s="4" t="s">
        <v>1769</v>
      </c>
      <c r="C362" s="4" t="s">
        <v>1770</v>
      </c>
      <c r="D362" s="4" t="s">
        <v>1771</v>
      </c>
      <c r="E362" s="4" t="s">
        <v>1673</v>
      </c>
      <c r="F362" t="s">
        <v>1772</v>
      </c>
      <c r="G362" s="5">
        <v>0</v>
      </c>
      <c r="H362" s="5">
        <v>0</v>
      </c>
      <c r="I362" s="5">
        <v>0</v>
      </c>
      <c r="J362" s="5">
        <f t="shared" si="5"/>
        <v>0</v>
      </c>
    </row>
    <row r="363" spans="1:10" ht="15">
      <c r="A363" s="4" t="s">
        <v>1773</v>
      </c>
      <c r="B363" s="4" t="s">
        <v>1774</v>
      </c>
      <c r="C363" s="4" t="s">
        <v>1775</v>
      </c>
      <c r="D363" s="4" t="s">
        <v>1569</v>
      </c>
      <c r="E363" s="4" t="s">
        <v>1673</v>
      </c>
      <c r="F363" t="s">
        <v>1776</v>
      </c>
      <c r="G363" s="5">
        <v>438.38</v>
      </c>
      <c r="H363" s="5">
        <v>0</v>
      </c>
      <c r="I363" s="5">
        <v>0</v>
      </c>
      <c r="J363" s="5">
        <f t="shared" si="5"/>
        <v>438.38</v>
      </c>
    </row>
    <row r="364" spans="1:10" ht="15">
      <c r="A364" s="4" t="s">
        <v>1777</v>
      </c>
      <c r="B364" s="4" t="s">
        <v>1778</v>
      </c>
      <c r="C364" s="4" t="s">
        <v>1779</v>
      </c>
      <c r="D364" s="4" t="s">
        <v>829</v>
      </c>
      <c r="E364" s="4" t="s">
        <v>1673</v>
      </c>
      <c r="F364" t="s">
        <v>1780</v>
      </c>
      <c r="G364" s="5">
        <v>299.94</v>
      </c>
      <c r="H364" s="5">
        <v>0</v>
      </c>
      <c r="I364" s="5">
        <v>0</v>
      </c>
      <c r="J364" s="5">
        <f t="shared" si="5"/>
        <v>299.94</v>
      </c>
    </row>
    <row r="365" spans="1:10" ht="15">
      <c r="A365" s="4" t="s">
        <v>1781</v>
      </c>
      <c r="B365" s="4" t="s">
        <v>1782</v>
      </c>
      <c r="C365" s="4" t="s">
        <v>1783</v>
      </c>
      <c r="D365" s="4" t="s">
        <v>1784</v>
      </c>
      <c r="E365" s="4" t="s">
        <v>1673</v>
      </c>
      <c r="F365" t="s">
        <v>1785</v>
      </c>
      <c r="G365" s="5">
        <v>415.31</v>
      </c>
      <c r="H365" s="5">
        <v>415.31</v>
      </c>
      <c r="I365" s="5">
        <v>0</v>
      </c>
      <c r="J365" s="5">
        <f t="shared" si="5"/>
        <v>830.62</v>
      </c>
    </row>
    <row r="366" spans="1:10" ht="15">
      <c r="A366" s="4" t="s">
        <v>1786</v>
      </c>
      <c r="B366" s="4" t="s">
        <v>1787</v>
      </c>
      <c r="C366" s="4" t="s">
        <v>1788</v>
      </c>
      <c r="D366" s="4" t="s">
        <v>1789</v>
      </c>
      <c r="E366" s="4" t="s">
        <v>1673</v>
      </c>
      <c r="F366" t="s">
        <v>1790</v>
      </c>
      <c r="G366" s="5">
        <v>669.1</v>
      </c>
      <c r="H366" s="5">
        <v>0</v>
      </c>
      <c r="I366" s="5">
        <v>0</v>
      </c>
      <c r="J366" s="5">
        <f t="shared" si="5"/>
        <v>669.1</v>
      </c>
    </row>
    <row r="367" spans="1:10" ht="15">
      <c r="A367" s="4" t="s">
        <v>1791</v>
      </c>
      <c r="B367" s="4" t="s">
        <v>425</v>
      </c>
      <c r="C367" s="4" t="s">
        <v>1751</v>
      </c>
      <c r="D367" s="4" t="s">
        <v>1792</v>
      </c>
      <c r="E367" s="4" t="s">
        <v>1793</v>
      </c>
      <c r="F367" t="s">
        <v>1794</v>
      </c>
      <c r="G367" s="5">
        <v>0</v>
      </c>
      <c r="H367" s="5">
        <v>369.16</v>
      </c>
      <c r="I367" s="5">
        <v>0</v>
      </c>
      <c r="J367" s="5">
        <f t="shared" si="5"/>
        <v>369.16</v>
      </c>
    </row>
    <row r="368" spans="1:10" ht="15">
      <c r="A368" s="4" t="s">
        <v>1795</v>
      </c>
      <c r="B368" s="4" t="s">
        <v>1796</v>
      </c>
      <c r="C368" s="4" t="s">
        <v>1797</v>
      </c>
      <c r="D368" s="4" t="s">
        <v>1658</v>
      </c>
      <c r="E368" s="4" t="s">
        <v>1673</v>
      </c>
      <c r="F368" t="s">
        <v>1798</v>
      </c>
      <c r="G368" s="5">
        <v>0</v>
      </c>
      <c r="H368" s="5">
        <v>0</v>
      </c>
      <c r="I368" s="5">
        <v>2132.0100000000002</v>
      </c>
      <c r="J368" s="5">
        <f t="shared" si="5"/>
        <v>2132.0100000000002</v>
      </c>
    </row>
    <row r="369" spans="1:10" ht="15">
      <c r="A369" s="4" t="s">
        <v>1799</v>
      </c>
      <c r="B369" s="4" t="s">
        <v>873</v>
      </c>
      <c r="C369" s="4" t="s">
        <v>1800</v>
      </c>
      <c r="D369" s="4" t="s">
        <v>1801</v>
      </c>
      <c r="E369" s="4" t="s">
        <v>1673</v>
      </c>
      <c r="F369" t="s">
        <v>1802</v>
      </c>
      <c r="G369" s="5">
        <v>323.02</v>
      </c>
      <c r="H369" s="5">
        <v>0</v>
      </c>
      <c r="I369" s="5">
        <v>0</v>
      </c>
      <c r="J369" s="5">
        <f t="shared" si="5"/>
        <v>323.02</v>
      </c>
    </row>
    <row r="370" spans="1:10" ht="15">
      <c r="A370" s="4" t="s">
        <v>1803</v>
      </c>
      <c r="B370" s="4" t="s">
        <v>1804</v>
      </c>
      <c r="C370" s="4" t="s">
        <v>202</v>
      </c>
      <c r="D370" s="4" t="s">
        <v>1805</v>
      </c>
      <c r="E370" s="4" t="s">
        <v>1673</v>
      </c>
      <c r="F370" t="s">
        <v>1806</v>
      </c>
      <c r="G370" s="5">
        <v>311.48</v>
      </c>
      <c r="H370" s="5">
        <v>0</v>
      </c>
      <c r="I370" s="5">
        <v>0</v>
      </c>
      <c r="J370" s="5">
        <f t="shared" si="5"/>
        <v>311.48</v>
      </c>
    </row>
    <row r="371" spans="1:10" ht="15">
      <c r="A371" s="4" t="s">
        <v>1807</v>
      </c>
      <c r="B371" s="4" t="s">
        <v>1808</v>
      </c>
      <c r="C371" s="4" t="s">
        <v>1809</v>
      </c>
      <c r="D371" s="4" t="s">
        <v>1810</v>
      </c>
      <c r="E371" s="4" t="s">
        <v>1673</v>
      </c>
      <c r="F371" t="s">
        <v>1811</v>
      </c>
      <c r="G371" s="5">
        <v>784.47</v>
      </c>
      <c r="H371" s="5">
        <v>0</v>
      </c>
      <c r="I371" s="5">
        <v>0</v>
      </c>
      <c r="J371" s="5">
        <f t="shared" si="5"/>
        <v>784.47</v>
      </c>
    </row>
    <row r="372" spans="1:10" ht="15">
      <c r="A372" s="4" t="s">
        <v>1812</v>
      </c>
      <c r="B372" s="4" t="s">
        <v>1813</v>
      </c>
      <c r="C372" s="4" t="s">
        <v>1814</v>
      </c>
      <c r="D372" s="4" t="s">
        <v>1815</v>
      </c>
      <c r="E372" s="4" t="s">
        <v>1673</v>
      </c>
      <c r="F372" t="s">
        <v>1816</v>
      </c>
      <c r="G372" s="5">
        <v>761.39</v>
      </c>
      <c r="H372" s="5">
        <v>0</v>
      </c>
      <c r="I372" s="5">
        <v>0</v>
      </c>
      <c r="J372" s="5">
        <f t="shared" si="5"/>
        <v>761.39</v>
      </c>
    </row>
    <row r="373" spans="1:10" ht="15">
      <c r="A373" s="4" t="s">
        <v>1817</v>
      </c>
      <c r="B373" s="4" t="s">
        <v>1818</v>
      </c>
      <c r="C373" s="4" t="s">
        <v>1819</v>
      </c>
      <c r="D373" s="4" t="s">
        <v>1820</v>
      </c>
      <c r="E373" s="4" t="s">
        <v>1673</v>
      </c>
      <c r="F373" t="s">
        <v>1821</v>
      </c>
      <c r="G373" s="5">
        <v>0</v>
      </c>
      <c r="H373" s="5">
        <v>0</v>
      </c>
      <c r="I373" s="5">
        <v>0</v>
      </c>
      <c r="J373" s="5">
        <f t="shared" si="5"/>
        <v>0</v>
      </c>
    </row>
    <row r="374" spans="1:10" ht="15">
      <c r="A374" s="4" t="s">
        <v>1822</v>
      </c>
      <c r="B374" s="4" t="s">
        <v>1823</v>
      </c>
      <c r="C374" s="4" t="s">
        <v>1824</v>
      </c>
      <c r="D374" s="4" t="s">
        <v>1825</v>
      </c>
      <c r="E374" s="4" t="s">
        <v>1673</v>
      </c>
      <c r="F374" t="s">
        <v>1826</v>
      </c>
      <c r="G374" s="5">
        <v>366.04</v>
      </c>
      <c r="H374" s="5">
        <v>0</v>
      </c>
      <c r="I374" s="5">
        <v>0</v>
      </c>
      <c r="J374" s="5">
        <f t="shared" si="5"/>
        <v>366.04</v>
      </c>
    </row>
    <row r="375" spans="1:10" ht="15">
      <c r="A375" s="4" t="s">
        <v>1827</v>
      </c>
      <c r="B375" s="4" t="s">
        <v>1485</v>
      </c>
      <c r="C375" s="4" t="s">
        <v>1828</v>
      </c>
      <c r="D375" s="4" t="s">
        <v>420</v>
      </c>
      <c r="E375" s="4" t="s">
        <v>1829</v>
      </c>
      <c r="F375" t="s">
        <v>1830</v>
      </c>
      <c r="G375" s="5">
        <v>0</v>
      </c>
      <c r="H375" s="5">
        <v>0</v>
      </c>
      <c r="I375" s="5">
        <v>0</v>
      </c>
      <c r="J375" s="5">
        <f t="shared" si="5"/>
        <v>0</v>
      </c>
    </row>
    <row r="376" spans="1:10" ht="15">
      <c r="A376" s="4" t="s">
        <v>1831</v>
      </c>
      <c r="B376" s="4" t="s">
        <v>1832</v>
      </c>
      <c r="C376" s="4" t="s">
        <v>1833</v>
      </c>
      <c r="D376" s="4" t="s">
        <v>1834</v>
      </c>
      <c r="E376" s="4" t="s">
        <v>1673</v>
      </c>
      <c r="F376" t="s">
        <v>1835</v>
      </c>
      <c r="G376" s="5">
        <v>415.31</v>
      </c>
      <c r="H376" s="5">
        <v>0</v>
      </c>
      <c r="I376" s="5">
        <v>0</v>
      </c>
      <c r="J376" s="5">
        <f t="shared" si="5"/>
        <v>415.31</v>
      </c>
    </row>
    <row r="377" spans="1:10" ht="15">
      <c r="A377" s="4" t="s">
        <v>1836</v>
      </c>
      <c r="B377" s="4" t="s">
        <v>593</v>
      </c>
      <c r="C377" s="4" t="s">
        <v>1425</v>
      </c>
      <c r="D377" s="4" t="s">
        <v>1837</v>
      </c>
      <c r="E377" s="4" t="s">
        <v>1673</v>
      </c>
      <c r="F377" t="s">
        <v>1838</v>
      </c>
      <c r="G377" s="5">
        <v>0</v>
      </c>
      <c r="H377" s="5">
        <v>0</v>
      </c>
      <c r="I377" s="5">
        <v>0</v>
      </c>
      <c r="J377" s="5">
        <f t="shared" si="5"/>
        <v>0</v>
      </c>
    </row>
    <row r="378" spans="1:10" ht="15">
      <c r="A378" s="4" t="s">
        <v>1839</v>
      </c>
      <c r="B378" s="4" t="s">
        <v>1840</v>
      </c>
      <c r="C378" s="4" t="s">
        <v>1841</v>
      </c>
      <c r="D378" s="4" t="s">
        <v>1842</v>
      </c>
      <c r="E378" s="4" t="s">
        <v>1673</v>
      </c>
      <c r="F378" t="s">
        <v>1843</v>
      </c>
      <c r="G378" s="5">
        <v>0</v>
      </c>
      <c r="H378" s="5">
        <v>0</v>
      </c>
      <c r="I378" s="5">
        <v>0</v>
      </c>
      <c r="J378" s="5">
        <f t="shared" si="5"/>
        <v>0</v>
      </c>
    </row>
    <row r="379" spans="1:10" ht="15">
      <c r="A379" s="4" t="s">
        <v>1844</v>
      </c>
      <c r="B379" s="4" t="s">
        <v>1845</v>
      </c>
      <c r="C379" s="4" t="s">
        <v>1846</v>
      </c>
      <c r="D379" s="4" t="s">
        <v>1847</v>
      </c>
      <c r="E379" s="4" t="s">
        <v>1673</v>
      </c>
      <c r="F379" t="s">
        <v>1848</v>
      </c>
      <c r="G379" s="5">
        <v>0</v>
      </c>
      <c r="H379" s="5">
        <v>0</v>
      </c>
      <c r="I379" s="5">
        <v>0</v>
      </c>
      <c r="J379" s="5">
        <f t="shared" si="5"/>
        <v>0</v>
      </c>
    </row>
    <row r="380" spans="1:10" ht="15">
      <c r="A380" s="4" t="s">
        <v>1849</v>
      </c>
      <c r="B380" s="4" t="s">
        <v>1620</v>
      </c>
      <c r="C380" s="4" t="s">
        <v>1850</v>
      </c>
      <c r="D380" s="4" t="s">
        <v>1851</v>
      </c>
      <c r="E380" s="4" t="s">
        <v>1673</v>
      </c>
      <c r="F380" t="s">
        <v>1852</v>
      </c>
      <c r="G380" s="5">
        <v>0</v>
      </c>
      <c r="H380" s="5">
        <v>0</v>
      </c>
      <c r="I380" s="5">
        <v>0</v>
      </c>
      <c r="J380" s="5">
        <f t="shared" si="5"/>
        <v>0</v>
      </c>
    </row>
    <row r="381" spans="1:10" ht="15">
      <c r="A381" s="4" t="s">
        <v>1853</v>
      </c>
      <c r="B381" s="4" t="s">
        <v>1854</v>
      </c>
      <c r="C381" s="4" t="s">
        <v>1855</v>
      </c>
      <c r="D381" s="4" t="s">
        <v>1856</v>
      </c>
      <c r="E381" s="4" t="s">
        <v>1673</v>
      </c>
      <c r="F381" t="s">
        <v>1857</v>
      </c>
      <c r="G381" s="5">
        <v>715.25</v>
      </c>
      <c r="H381" s="5">
        <v>0</v>
      </c>
      <c r="I381" s="5">
        <v>0</v>
      </c>
      <c r="J381" s="5">
        <f t="shared" si="5"/>
        <v>715.25</v>
      </c>
    </row>
    <row r="382" spans="1:10" ht="15">
      <c r="A382" s="4" t="s">
        <v>1858</v>
      </c>
      <c r="B382" s="4" t="s">
        <v>1859</v>
      </c>
      <c r="C382" s="4" t="s">
        <v>1860</v>
      </c>
      <c r="D382" s="4" t="s">
        <v>1861</v>
      </c>
      <c r="E382" s="4" t="s">
        <v>1673</v>
      </c>
      <c r="F382" t="s">
        <v>1862</v>
      </c>
      <c r="G382" s="5">
        <v>692.18</v>
      </c>
      <c r="H382" s="5">
        <v>0</v>
      </c>
      <c r="I382" s="5">
        <v>0</v>
      </c>
      <c r="J382" s="5">
        <f t="shared" si="5"/>
        <v>692.18</v>
      </c>
    </row>
    <row r="383" spans="1:10" ht="15">
      <c r="A383" s="4" t="s">
        <v>1863</v>
      </c>
      <c r="B383" s="4" t="s">
        <v>1864</v>
      </c>
      <c r="C383" s="4" t="s">
        <v>224</v>
      </c>
      <c r="D383" s="4" t="s">
        <v>1177</v>
      </c>
      <c r="E383" s="4" t="s">
        <v>1673</v>
      </c>
      <c r="F383" t="s">
        <v>1865</v>
      </c>
      <c r="G383" s="5">
        <v>0</v>
      </c>
      <c r="H383" s="5">
        <v>0</v>
      </c>
      <c r="I383" s="5">
        <v>0</v>
      </c>
      <c r="J383" s="5">
        <f t="shared" si="5"/>
        <v>0</v>
      </c>
    </row>
    <row r="384" spans="1:10" ht="15">
      <c r="A384" s="4" t="s">
        <v>1866</v>
      </c>
      <c r="B384" s="4" t="s">
        <v>69</v>
      </c>
      <c r="C384" s="4" t="s">
        <v>1867</v>
      </c>
      <c r="D384" s="4" t="s">
        <v>1868</v>
      </c>
      <c r="E384" s="4" t="s">
        <v>1673</v>
      </c>
      <c r="F384" t="s">
        <v>1869</v>
      </c>
      <c r="G384" s="5">
        <v>288.41000000000003</v>
      </c>
      <c r="H384" s="5">
        <v>332.41</v>
      </c>
      <c r="I384" s="5">
        <v>0</v>
      </c>
      <c r="J384" s="5">
        <f t="shared" si="5"/>
        <v>620.82000000000005</v>
      </c>
    </row>
    <row r="385" spans="1:10" ht="15">
      <c r="A385" s="4" t="s">
        <v>1870</v>
      </c>
      <c r="B385" s="4" t="s">
        <v>250</v>
      </c>
      <c r="C385" s="4" t="s">
        <v>1871</v>
      </c>
      <c r="D385" s="4" t="s">
        <v>1872</v>
      </c>
      <c r="E385" s="4" t="s">
        <v>1673</v>
      </c>
      <c r="F385" t="s">
        <v>1873</v>
      </c>
      <c r="G385" s="5">
        <v>0</v>
      </c>
      <c r="H385" s="5">
        <v>0</v>
      </c>
      <c r="I385" s="5">
        <v>0</v>
      </c>
      <c r="J385" s="5">
        <f t="shared" si="5"/>
        <v>0</v>
      </c>
    </row>
    <row r="386" spans="1:10" ht="15">
      <c r="A386" s="4" t="s">
        <v>1874</v>
      </c>
      <c r="B386" s="4" t="s">
        <v>1875</v>
      </c>
      <c r="C386" s="4" t="s">
        <v>1876</v>
      </c>
      <c r="D386" s="4" t="s">
        <v>1877</v>
      </c>
      <c r="E386" s="4" t="s">
        <v>1673</v>
      </c>
      <c r="F386" t="s">
        <v>1878</v>
      </c>
      <c r="G386" s="5">
        <v>784.47</v>
      </c>
      <c r="H386" s="5">
        <v>0</v>
      </c>
      <c r="I386" s="5">
        <v>0</v>
      </c>
      <c r="J386" s="5">
        <f t="shared" si="5"/>
        <v>784.47</v>
      </c>
    </row>
    <row r="387" spans="1:10" ht="15">
      <c r="A387" s="4" t="s">
        <v>1879</v>
      </c>
      <c r="B387" s="4" t="s">
        <v>1880</v>
      </c>
      <c r="C387" s="4" t="s">
        <v>1881</v>
      </c>
      <c r="D387" s="4" t="s">
        <v>993</v>
      </c>
      <c r="E387" s="4" t="s">
        <v>1673</v>
      </c>
      <c r="F387" t="s">
        <v>1882</v>
      </c>
      <c r="G387" s="5">
        <v>807.54</v>
      </c>
      <c r="H387" s="5">
        <v>0</v>
      </c>
      <c r="I387" s="5">
        <v>0</v>
      </c>
      <c r="J387" s="5">
        <f t="shared" si="5"/>
        <v>807.54</v>
      </c>
    </row>
    <row r="388" spans="1:10" ht="15">
      <c r="A388" s="4" t="s">
        <v>1883</v>
      </c>
      <c r="B388" s="4" t="s">
        <v>1774</v>
      </c>
      <c r="C388" s="4" t="s">
        <v>1884</v>
      </c>
      <c r="D388" s="4" t="s">
        <v>1008</v>
      </c>
      <c r="E388" s="4" t="s">
        <v>1673</v>
      </c>
      <c r="F388" t="s">
        <v>1885</v>
      </c>
      <c r="G388" s="5">
        <v>415.31</v>
      </c>
      <c r="H388" s="5">
        <v>0</v>
      </c>
      <c r="I388" s="5">
        <v>0</v>
      </c>
      <c r="J388" s="5">
        <f t="shared" si="5"/>
        <v>415.31</v>
      </c>
    </row>
    <row r="389" spans="1:10" ht="15">
      <c r="A389" s="4" t="s">
        <v>1886</v>
      </c>
      <c r="B389" s="4" t="s">
        <v>1887</v>
      </c>
      <c r="C389" s="4" t="s">
        <v>1888</v>
      </c>
      <c r="D389" s="4" t="s">
        <v>1889</v>
      </c>
      <c r="E389" s="4" t="s">
        <v>1673</v>
      </c>
      <c r="F389" t="s">
        <v>1890</v>
      </c>
      <c r="G389" s="5">
        <v>0</v>
      </c>
      <c r="H389" s="5">
        <v>0</v>
      </c>
      <c r="I389" s="5">
        <v>0</v>
      </c>
      <c r="J389" s="5">
        <f t="shared" si="5"/>
        <v>0</v>
      </c>
    </row>
    <row r="390" spans="1:10" ht="15">
      <c r="A390" s="4" t="s">
        <v>1891</v>
      </c>
      <c r="B390" s="4" t="s">
        <v>27</v>
      </c>
      <c r="C390" s="4" t="s">
        <v>1892</v>
      </c>
      <c r="D390" s="4" t="s">
        <v>1893</v>
      </c>
      <c r="E390" s="4" t="s">
        <v>1673</v>
      </c>
      <c r="F390" t="s">
        <v>1894</v>
      </c>
      <c r="G390" s="5">
        <v>276.87</v>
      </c>
      <c r="H390" s="5">
        <v>376.73</v>
      </c>
      <c r="I390" s="5">
        <v>0</v>
      </c>
      <c r="J390" s="5">
        <f t="shared" si="5"/>
        <v>653.6</v>
      </c>
    </row>
    <row r="391" spans="1:10" ht="15">
      <c r="A391" s="4" t="s">
        <v>1895</v>
      </c>
      <c r="B391" s="4" t="s">
        <v>1896</v>
      </c>
      <c r="C391" s="4" t="s">
        <v>1897</v>
      </c>
      <c r="D391" s="4" t="s">
        <v>1898</v>
      </c>
      <c r="E391" s="4" t="s">
        <v>1673</v>
      </c>
      <c r="F391" t="s">
        <v>1899</v>
      </c>
      <c r="G391" s="5">
        <v>394.28</v>
      </c>
      <c r="H391" s="5">
        <v>0</v>
      </c>
      <c r="I391" s="5">
        <v>0</v>
      </c>
      <c r="J391" s="5">
        <f t="shared" si="5"/>
        <v>394.28</v>
      </c>
    </row>
    <row r="392" spans="1:10" ht="15">
      <c r="A392" s="4" t="s">
        <v>1900</v>
      </c>
      <c r="B392" s="4" t="s">
        <v>1901</v>
      </c>
      <c r="C392" s="4" t="s">
        <v>1902</v>
      </c>
      <c r="D392" s="4" t="s">
        <v>1903</v>
      </c>
      <c r="E392" s="4" t="s">
        <v>1673</v>
      </c>
      <c r="F392" t="s">
        <v>1904</v>
      </c>
      <c r="G392" s="5">
        <v>985.43</v>
      </c>
      <c r="H392" s="5">
        <v>376.03</v>
      </c>
      <c r="I392" s="5">
        <v>0</v>
      </c>
      <c r="J392" s="5">
        <f t="shared" ref="J392:J455" si="6">G392+H392+I392</f>
        <v>1361.46</v>
      </c>
    </row>
    <row r="393" spans="1:10" ht="15">
      <c r="A393" s="4" t="s">
        <v>1905</v>
      </c>
      <c r="B393" s="4" t="s">
        <v>1906</v>
      </c>
      <c r="C393" s="4" t="s">
        <v>1907</v>
      </c>
      <c r="D393" s="4" t="s">
        <v>342</v>
      </c>
      <c r="E393" s="4" t="s">
        <v>1908</v>
      </c>
      <c r="F393" t="s">
        <v>1909</v>
      </c>
      <c r="G393" s="5">
        <v>692.18</v>
      </c>
      <c r="H393" s="5">
        <v>0</v>
      </c>
      <c r="I393" s="5">
        <v>0</v>
      </c>
      <c r="J393" s="5">
        <f t="shared" si="6"/>
        <v>692.18</v>
      </c>
    </row>
    <row r="394" spans="1:10" ht="15">
      <c r="A394" s="4" t="s">
        <v>1910</v>
      </c>
      <c r="B394" s="4" t="s">
        <v>1911</v>
      </c>
      <c r="C394" s="4" t="s">
        <v>1912</v>
      </c>
      <c r="D394" s="4" t="s">
        <v>1913</v>
      </c>
      <c r="E394" s="4" t="s">
        <v>1914</v>
      </c>
      <c r="F394" t="s">
        <v>1915</v>
      </c>
      <c r="G394" s="5">
        <v>0</v>
      </c>
      <c r="H394" s="5">
        <v>0</v>
      </c>
      <c r="I394" s="5">
        <v>0</v>
      </c>
      <c r="J394" s="5">
        <f t="shared" si="6"/>
        <v>0</v>
      </c>
    </row>
    <row r="395" spans="1:10" ht="15">
      <c r="A395" s="4" t="s">
        <v>1916</v>
      </c>
      <c r="B395" s="4" t="s">
        <v>383</v>
      </c>
      <c r="C395" s="4" t="s">
        <v>1917</v>
      </c>
      <c r="D395" s="4" t="s">
        <v>1918</v>
      </c>
      <c r="E395" s="4" t="s">
        <v>1914</v>
      </c>
      <c r="F395" t="s">
        <v>1919</v>
      </c>
      <c r="G395" s="5">
        <v>0</v>
      </c>
      <c r="H395" s="5">
        <v>0</v>
      </c>
      <c r="I395" s="5">
        <v>0</v>
      </c>
      <c r="J395" s="5">
        <f t="shared" si="6"/>
        <v>0</v>
      </c>
    </row>
    <row r="396" spans="1:10" ht="15">
      <c r="A396" s="4" t="s">
        <v>1920</v>
      </c>
      <c r="B396" s="4" t="s">
        <v>1921</v>
      </c>
      <c r="C396" s="4" t="s">
        <v>425</v>
      </c>
      <c r="D396" s="4" t="s">
        <v>1922</v>
      </c>
      <c r="E396" s="4" t="s">
        <v>1923</v>
      </c>
      <c r="F396" t="s">
        <v>1924</v>
      </c>
      <c r="G396" s="5">
        <v>0</v>
      </c>
      <c r="H396" s="5">
        <v>0</v>
      </c>
      <c r="I396" s="5">
        <v>0</v>
      </c>
      <c r="J396" s="5">
        <f t="shared" si="6"/>
        <v>0</v>
      </c>
    </row>
    <row r="397" spans="1:10" ht="15">
      <c r="A397" s="4" t="s">
        <v>1925</v>
      </c>
      <c r="B397" s="4" t="s">
        <v>1926</v>
      </c>
      <c r="C397" s="4" t="s">
        <v>1927</v>
      </c>
      <c r="D397" s="4" t="s">
        <v>152</v>
      </c>
      <c r="E397" s="4" t="s">
        <v>1923</v>
      </c>
      <c r="F397" t="s">
        <v>1928</v>
      </c>
      <c r="G397" s="5">
        <v>417.84</v>
      </c>
      <c r="H397" s="5">
        <v>0</v>
      </c>
      <c r="I397" s="5">
        <v>0</v>
      </c>
      <c r="J397" s="5">
        <f t="shared" si="6"/>
        <v>417.84</v>
      </c>
    </row>
    <row r="398" spans="1:10" ht="15">
      <c r="A398" s="4" t="s">
        <v>1929</v>
      </c>
      <c r="B398" s="4" t="s">
        <v>1930</v>
      </c>
      <c r="C398" s="4" t="s">
        <v>1931</v>
      </c>
      <c r="D398" s="4" t="s">
        <v>1932</v>
      </c>
      <c r="E398" s="4" t="s">
        <v>1923</v>
      </c>
      <c r="F398" t="s">
        <v>1933</v>
      </c>
      <c r="G398" s="5">
        <v>807.54</v>
      </c>
      <c r="H398" s="5">
        <v>0</v>
      </c>
      <c r="I398" s="5">
        <v>0</v>
      </c>
      <c r="J398" s="5">
        <f t="shared" si="6"/>
        <v>807.54</v>
      </c>
    </row>
    <row r="399" spans="1:10" ht="15">
      <c r="A399" s="4" t="s">
        <v>1934</v>
      </c>
      <c r="B399" s="4" t="s">
        <v>1935</v>
      </c>
      <c r="C399" s="4" t="s">
        <v>1936</v>
      </c>
      <c r="D399" s="4" t="s">
        <v>1658</v>
      </c>
      <c r="E399" s="4" t="s">
        <v>1923</v>
      </c>
      <c r="F399" t="s">
        <v>1937</v>
      </c>
      <c r="G399" s="5">
        <v>646.03</v>
      </c>
      <c r="H399" s="5">
        <v>0</v>
      </c>
      <c r="I399" s="5">
        <v>0</v>
      </c>
      <c r="J399" s="5">
        <f t="shared" si="6"/>
        <v>646.03</v>
      </c>
    </row>
    <row r="400" spans="1:10" ht="15">
      <c r="A400" s="4" t="s">
        <v>1938</v>
      </c>
      <c r="B400" s="4" t="s">
        <v>1939</v>
      </c>
      <c r="C400" s="4" t="s">
        <v>679</v>
      </c>
      <c r="D400" s="4" t="s">
        <v>1940</v>
      </c>
      <c r="E400" s="4" t="s">
        <v>1923</v>
      </c>
      <c r="F400" t="s">
        <v>1941</v>
      </c>
      <c r="G400" s="5">
        <v>0</v>
      </c>
      <c r="H400" s="5">
        <v>0</v>
      </c>
      <c r="I400" s="5">
        <v>0</v>
      </c>
      <c r="J400" s="5">
        <f t="shared" si="6"/>
        <v>0</v>
      </c>
    </row>
    <row r="401" spans="1:10" ht="15">
      <c r="A401" s="4" t="s">
        <v>1942</v>
      </c>
      <c r="B401" s="4" t="s">
        <v>1943</v>
      </c>
      <c r="C401" s="4" t="s">
        <v>1944</v>
      </c>
      <c r="D401" s="4" t="s">
        <v>1945</v>
      </c>
      <c r="E401" s="4" t="s">
        <v>1923</v>
      </c>
      <c r="F401" t="s">
        <v>1946</v>
      </c>
      <c r="G401" s="5">
        <v>253.8</v>
      </c>
      <c r="H401" s="5">
        <v>0</v>
      </c>
      <c r="I401" s="5">
        <v>0</v>
      </c>
      <c r="J401" s="5">
        <f t="shared" si="6"/>
        <v>253.8</v>
      </c>
    </row>
    <row r="402" spans="1:10" ht="15">
      <c r="A402" s="4" t="s">
        <v>1947</v>
      </c>
      <c r="B402" s="4" t="s">
        <v>1948</v>
      </c>
      <c r="C402" s="4" t="s">
        <v>1949</v>
      </c>
      <c r="D402" s="4" t="s">
        <v>1950</v>
      </c>
      <c r="E402" s="4" t="s">
        <v>1923</v>
      </c>
      <c r="F402" t="s">
        <v>1951</v>
      </c>
      <c r="G402" s="5">
        <v>622.96</v>
      </c>
      <c r="H402" s="5">
        <v>0</v>
      </c>
      <c r="I402" s="5">
        <v>0</v>
      </c>
      <c r="J402" s="5">
        <f t="shared" si="6"/>
        <v>622.96</v>
      </c>
    </row>
    <row r="403" spans="1:10" ht="15">
      <c r="A403" s="4" t="s">
        <v>1952</v>
      </c>
      <c r="B403" s="4" t="s">
        <v>1953</v>
      </c>
      <c r="C403" s="4" t="s">
        <v>1770</v>
      </c>
      <c r="D403" s="4" t="s">
        <v>1954</v>
      </c>
      <c r="E403" s="4" t="s">
        <v>1923</v>
      </c>
      <c r="F403" t="s">
        <v>1955</v>
      </c>
      <c r="G403" s="5">
        <v>807.54</v>
      </c>
      <c r="H403" s="5">
        <v>0</v>
      </c>
      <c r="I403" s="5">
        <v>0</v>
      </c>
      <c r="J403" s="5">
        <f t="shared" si="6"/>
        <v>807.54</v>
      </c>
    </row>
    <row r="404" spans="1:10" ht="15">
      <c r="A404" s="4" t="s">
        <v>1956</v>
      </c>
      <c r="B404" s="4" t="s">
        <v>1957</v>
      </c>
      <c r="C404" s="4" t="s">
        <v>1958</v>
      </c>
      <c r="D404" s="4" t="s">
        <v>1959</v>
      </c>
      <c r="E404" s="4" t="s">
        <v>1923</v>
      </c>
      <c r="F404" t="s">
        <v>1960</v>
      </c>
      <c r="G404" s="5">
        <v>403.77</v>
      </c>
      <c r="H404" s="5">
        <v>0</v>
      </c>
      <c r="I404" s="5">
        <v>0</v>
      </c>
      <c r="J404" s="5">
        <f t="shared" si="6"/>
        <v>403.77</v>
      </c>
    </row>
    <row r="405" spans="1:10" ht="15">
      <c r="A405" s="4" t="s">
        <v>1961</v>
      </c>
      <c r="B405" s="4" t="s">
        <v>1962</v>
      </c>
      <c r="C405" s="4" t="s">
        <v>1963</v>
      </c>
      <c r="D405" s="4" t="s">
        <v>1964</v>
      </c>
      <c r="E405" s="4" t="s">
        <v>1923</v>
      </c>
      <c r="F405" t="s">
        <v>1965</v>
      </c>
      <c r="G405" s="5">
        <v>761.39</v>
      </c>
      <c r="H405" s="5">
        <v>0</v>
      </c>
      <c r="I405" s="5">
        <v>0</v>
      </c>
      <c r="J405" s="5">
        <f t="shared" si="6"/>
        <v>761.39</v>
      </c>
    </row>
    <row r="406" spans="1:10" ht="15">
      <c r="A406" s="4" t="s">
        <v>1966</v>
      </c>
      <c r="B406" s="4" t="s">
        <v>1967</v>
      </c>
      <c r="C406" s="4" t="s">
        <v>1751</v>
      </c>
      <c r="D406" s="4" t="s">
        <v>1968</v>
      </c>
      <c r="E406" s="4" t="s">
        <v>1923</v>
      </c>
      <c r="F406" t="s">
        <v>1969</v>
      </c>
      <c r="G406" s="5">
        <v>669.1</v>
      </c>
      <c r="H406" s="5">
        <v>0</v>
      </c>
      <c r="I406" s="5">
        <v>0</v>
      </c>
      <c r="J406" s="5">
        <f t="shared" si="6"/>
        <v>669.1</v>
      </c>
    </row>
    <row r="407" spans="1:10" ht="15">
      <c r="A407" s="4" t="s">
        <v>1970</v>
      </c>
      <c r="B407" s="4" t="s">
        <v>1971</v>
      </c>
      <c r="C407" s="4" t="s">
        <v>933</v>
      </c>
      <c r="D407" s="4" t="s">
        <v>1972</v>
      </c>
      <c r="E407" s="4" t="s">
        <v>1923</v>
      </c>
      <c r="F407" t="s">
        <v>1973</v>
      </c>
      <c r="G407" s="5">
        <v>784.47</v>
      </c>
      <c r="H407" s="5">
        <v>0</v>
      </c>
      <c r="I407" s="5">
        <v>0</v>
      </c>
      <c r="J407" s="5">
        <f t="shared" si="6"/>
        <v>784.47</v>
      </c>
    </row>
    <row r="408" spans="1:10" ht="15">
      <c r="A408" s="4" t="s">
        <v>1974</v>
      </c>
      <c r="B408" s="4" t="s">
        <v>1975</v>
      </c>
      <c r="C408" s="4" t="s">
        <v>1976</v>
      </c>
      <c r="D408" s="4" t="s">
        <v>1977</v>
      </c>
      <c r="E408" s="4" t="s">
        <v>1923</v>
      </c>
      <c r="F408" t="s">
        <v>1978</v>
      </c>
      <c r="G408" s="5">
        <v>0</v>
      </c>
      <c r="H408" s="5">
        <v>0</v>
      </c>
      <c r="I408" s="5">
        <v>0</v>
      </c>
      <c r="J408" s="5">
        <f t="shared" si="6"/>
        <v>0</v>
      </c>
    </row>
    <row r="409" spans="1:10" ht="15">
      <c r="A409" s="4" t="s">
        <v>1979</v>
      </c>
      <c r="B409" s="4" t="s">
        <v>141</v>
      </c>
      <c r="C409" s="4" t="s">
        <v>1980</v>
      </c>
      <c r="D409" s="4" t="s">
        <v>1981</v>
      </c>
      <c r="E409" s="4" t="s">
        <v>1923</v>
      </c>
      <c r="F409" t="s">
        <v>1982</v>
      </c>
      <c r="G409" s="5">
        <v>0</v>
      </c>
      <c r="H409" s="5">
        <v>0</v>
      </c>
      <c r="I409" s="5">
        <v>0</v>
      </c>
      <c r="J409" s="5">
        <f t="shared" si="6"/>
        <v>0</v>
      </c>
    </row>
    <row r="410" spans="1:10" ht="15">
      <c r="A410" s="4" t="s">
        <v>1983</v>
      </c>
      <c r="B410" s="4" t="s">
        <v>1984</v>
      </c>
      <c r="C410" s="4" t="s">
        <v>1985</v>
      </c>
      <c r="D410" s="4" t="s">
        <v>363</v>
      </c>
      <c r="E410" s="4" t="s">
        <v>1923</v>
      </c>
      <c r="F410" t="s">
        <v>1986</v>
      </c>
      <c r="G410" s="5">
        <v>0</v>
      </c>
      <c r="H410" s="5">
        <v>0</v>
      </c>
      <c r="I410" s="5">
        <v>0</v>
      </c>
      <c r="J410" s="5">
        <f t="shared" si="6"/>
        <v>0</v>
      </c>
    </row>
    <row r="411" spans="1:10" ht="15">
      <c r="A411" s="4" t="s">
        <v>1987</v>
      </c>
      <c r="B411" s="4" t="s">
        <v>1988</v>
      </c>
      <c r="C411" s="4" t="s">
        <v>1989</v>
      </c>
      <c r="D411" s="4" t="s">
        <v>1990</v>
      </c>
      <c r="E411" s="4" t="s">
        <v>1923</v>
      </c>
      <c r="F411" t="s">
        <v>1991</v>
      </c>
      <c r="G411" s="5">
        <v>0</v>
      </c>
      <c r="H411" s="5">
        <v>322.13</v>
      </c>
      <c r="I411" s="5">
        <v>0</v>
      </c>
      <c r="J411" s="5">
        <f t="shared" si="6"/>
        <v>322.13</v>
      </c>
    </row>
    <row r="412" spans="1:10" ht="15">
      <c r="A412" s="4" t="s">
        <v>1992</v>
      </c>
      <c r="B412" s="4" t="s">
        <v>1993</v>
      </c>
      <c r="C412" s="4" t="s">
        <v>1994</v>
      </c>
      <c r="D412" s="4" t="s">
        <v>1995</v>
      </c>
      <c r="E412" s="4" t="s">
        <v>1923</v>
      </c>
      <c r="F412" t="s">
        <v>1996</v>
      </c>
      <c r="G412" s="5">
        <v>288.41000000000003</v>
      </c>
      <c r="H412" s="5">
        <v>0</v>
      </c>
      <c r="I412" s="5">
        <v>0</v>
      </c>
      <c r="J412" s="5">
        <f t="shared" si="6"/>
        <v>288.41000000000003</v>
      </c>
    </row>
    <row r="413" spans="1:10" ht="15">
      <c r="A413" s="4" t="s">
        <v>1997</v>
      </c>
      <c r="B413" s="4" t="s">
        <v>1998</v>
      </c>
      <c r="C413" s="4" t="s">
        <v>1999</v>
      </c>
      <c r="D413" s="4" t="s">
        <v>2000</v>
      </c>
      <c r="E413" s="4" t="s">
        <v>1923</v>
      </c>
      <c r="F413" t="s">
        <v>2001</v>
      </c>
      <c r="G413" s="5">
        <v>669.1</v>
      </c>
      <c r="H413" s="5">
        <v>0</v>
      </c>
      <c r="I413" s="5">
        <v>0</v>
      </c>
      <c r="J413" s="5">
        <f t="shared" si="6"/>
        <v>669.1</v>
      </c>
    </row>
    <row r="414" spans="1:10" ht="15">
      <c r="A414" s="4" t="s">
        <v>2002</v>
      </c>
      <c r="B414" s="4" t="s">
        <v>2003</v>
      </c>
      <c r="C414" s="4" t="s">
        <v>2004</v>
      </c>
      <c r="D414" s="4" t="s">
        <v>2005</v>
      </c>
      <c r="E414" s="4" t="s">
        <v>1923</v>
      </c>
      <c r="F414" t="s">
        <v>2006</v>
      </c>
      <c r="G414" s="5">
        <v>0</v>
      </c>
      <c r="H414" s="5">
        <v>0</v>
      </c>
      <c r="I414" s="5">
        <v>0</v>
      </c>
      <c r="J414" s="5">
        <f t="shared" si="6"/>
        <v>0</v>
      </c>
    </row>
    <row r="415" spans="1:10" ht="15">
      <c r="A415" s="4" t="s">
        <v>2007</v>
      </c>
      <c r="B415" s="4" t="s">
        <v>2008</v>
      </c>
      <c r="C415" s="4" t="s">
        <v>1448</v>
      </c>
      <c r="D415" s="4" t="s">
        <v>2009</v>
      </c>
      <c r="E415" s="4" t="s">
        <v>1923</v>
      </c>
      <c r="F415" t="s">
        <v>2010</v>
      </c>
      <c r="G415" s="5">
        <v>334.5</v>
      </c>
      <c r="H415" s="5">
        <v>346.09</v>
      </c>
      <c r="I415" s="5">
        <v>0</v>
      </c>
      <c r="J415" s="5">
        <f t="shared" si="6"/>
        <v>680.58999999999992</v>
      </c>
    </row>
    <row r="416" spans="1:10" ht="15">
      <c r="A416" s="4" t="s">
        <v>2011</v>
      </c>
      <c r="B416" s="4" t="s">
        <v>2012</v>
      </c>
      <c r="C416" s="4" t="s">
        <v>2013</v>
      </c>
      <c r="D416" s="4" t="s">
        <v>614</v>
      </c>
      <c r="E416" s="4" t="s">
        <v>1923</v>
      </c>
      <c r="F416" t="s">
        <v>2014</v>
      </c>
      <c r="G416" s="5">
        <v>0</v>
      </c>
      <c r="H416" s="5">
        <v>0</v>
      </c>
      <c r="I416" s="5">
        <v>0</v>
      </c>
      <c r="J416" s="5">
        <f t="shared" si="6"/>
        <v>0</v>
      </c>
    </row>
    <row r="417" spans="1:10" ht="15">
      <c r="A417" s="4" t="s">
        <v>2015</v>
      </c>
      <c r="B417" s="4" t="s">
        <v>2016</v>
      </c>
      <c r="C417" s="4" t="s">
        <v>2017</v>
      </c>
      <c r="D417" s="4" t="s">
        <v>2018</v>
      </c>
      <c r="E417" s="4" t="s">
        <v>1923</v>
      </c>
      <c r="F417" t="s">
        <v>2019</v>
      </c>
      <c r="G417" s="5">
        <v>0</v>
      </c>
      <c r="H417" s="5">
        <v>0</v>
      </c>
      <c r="I417" s="5">
        <v>0</v>
      </c>
      <c r="J417" s="5">
        <f t="shared" si="6"/>
        <v>0</v>
      </c>
    </row>
    <row r="418" spans="1:10" ht="15">
      <c r="A418" s="4" t="s">
        <v>2020</v>
      </c>
      <c r="B418" s="4" t="s">
        <v>2021</v>
      </c>
      <c r="C418" s="4" t="s">
        <v>2022</v>
      </c>
      <c r="D418" s="4" t="s">
        <v>993</v>
      </c>
      <c r="E418" s="4" t="s">
        <v>1923</v>
      </c>
      <c r="F418" t="s">
        <v>2023</v>
      </c>
      <c r="G418" s="5">
        <v>0</v>
      </c>
      <c r="H418" s="5">
        <v>0</v>
      </c>
      <c r="I418" s="5">
        <v>0</v>
      </c>
      <c r="J418" s="5">
        <f t="shared" si="6"/>
        <v>0</v>
      </c>
    </row>
    <row r="419" spans="1:10" ht="15">
      <c r="A419" s="4" t="s">
        <v>2024</v>
      </c>
      <c r="B419" s="4" t="s">
        <v>2025</v>
      </c>
      <c r="C419" s="4" t="s">
        <v>2026</v>
      </c>
      <c r="D419" s="4" t="s">
        <v>2027</v>
      </c>
      <c r="E419" s="4" t="s">
        <v>1923</v>
      </c>
      <c r="F419" t="s">
        <v>2028</v>
      </c>
      <c r="G419" s="5">
        <v>0</v>
      </c>
      <c r="H419" s="5">
        <v>0</v>
      </c>
      <c r="I419" s="5">
        <v>0</v>
      </c>
      <c r="J419" s="5">
        <f t="shared" si="6"/>
        <v>0</v>
      </c>
    </row>
    <row r="420" spans="1:10" ht="15">
      <c r="A420" s="4" t="s">
        <v>2029</v>
      </c>
      <c r="B420" s="4" t="s">
        <v>2030</v>
      </c>
      <c r="C420" s="4" t="s">
        <v>2031</v>
      </c>
      <c r="D420" s="4" t="s">
        <v>2032</v>
      </c>
      <c r="E420" s="4" t="s">
        <v>1923</v>
      </c>
      <c r="F420" t="s">
        <v>2033</v>
      </c>
      <c r="G420" s="5">
        <v>334.55</v>
      </c>
      <c r="H420" s="5">
        <v>0</v>
      </c>
      <c r="I420" s="5">
        <v>0</v>
      </c>
      <c r="J420" s="5">
        <f t="shared" si="6"/>
        <v>334.55</v>
      </c>
    </row>
    <row r="421" spans="1:10" ht="15">
      <c r="A421" s="4" t="s">
        <v>2034</v>
      </c>
      <c r="B421" s="4" t="s">
        <v>2035</v>
      </c>
      <c r="C421" s="4" t="s">
        <v>2036</v>
      </c>
      <c r="D421" s="4" t="s">
        <v>2037</v>
      </c>
      <c r="E421" s="4" t="s">
        <v>1923</v>
      </c>
      <c r="F421" t="s">
        <v>2038</v>
      </c>
      <c r="G421" s="5">
        <v>0</v>
      </c>
      <c r="H421" s="5">
        <v>0</v>
      </c>
      <c r="I421" s="5">
        <v>0</v>
      </c>
      <c r="J421" s="5">
        <f t="shared" si="6"/>
        <v>0</v>
      </c>
    </row>
    <row r="422" spans="1:10" ht="15">
      <c r="A422" s="4" t="s">
        <v>2039</v>
      </c>
      <c r="B422" s="4" t="s">
        <v>2040</v>
      </c>
      <c r="C422" s="4" t="s">
        <v>2041</v>
      </c>
      <c r="D422" s="4" t="s">
        <v>993</v>
      </c>
      <c r="E422" s="4" t="s">
        <v>1923</v>
      </c>
      <c r="F422" t="s">
        <v>2042</v>
      </c>
      <c r="G422" s="5">
        <v>0</v>
      </c>
      <c r="H422" s="5">
        <v>0</v>
      </c>
      <c r="I422" s="5">
        <v>0</v>
      </c>
      <c r="J422" s="5">
        <f t="shared" si="6"/>
        <v>0</v>
      </c>
    </row>
    <row r="423" spans="1:10" ht="15">
      <c r="A423" s="4" t="s">
        <v>2043</v>
      </c>
      <c r="B423" s="4" t="s">
        <v>2044</v>
      </c>
      <c r="C423" s="4" t="s">
        <v>2045</v>
      </c>
      <c r="D423" s="4" t="s">
        <v>2046</v>
      </c>
      <c r="E423" s="4" t="s">
        <v>1923</v>
      </c>
      <c r="F423" t="s">
        <v>2047</v>
      </c>
      <c r="G423" s="5">
        <v>0</v>
      </c>
      <c r="H423" s="5">
        <v>0</v>
      </c>
      <c r="I423" s="5">
        <v>0</v>
      </c>
      <c r="J423" s="5">
        <f t="shared" si="6"/>
        <v>0</v>
      </c>
    </row>
    <row r="424" spans="1:10" ht="15">
      <c r="A424" s="4" t="s">
        <v>2048</v>
      </c>
      <c r="B424" s="4" t="s">
        <v>2049</v>
      </c>
      <c r="C424" s="4" t="s">
        <v>2050</v>
      </c>
      <c r="D424" s="4" t="s">
        <v>2051</v>
      </c>
      <c r="E424" s="4" t="s">
        <v>1923</v>
      </c>
      <c r="F424" t="s">
        <v>2052</v>
      </c>
      <c r="G424" s="5">
        <v>669.1</v>
      </c>
      <c r="H424" s="5">
        <v>0</v>
      </c>
      <c r="I424" s="5">
        <v>0</v>
      </c>
      <c r="J424" s="5">
        <f t="shared" si="6"/>
        <v>669.1</v>
      </c>
    </row>
    <row r="425" spans="1:10" ht="15">
      <c r="A425" s="4" t="s">
        <v>2053</v>
      </c>
      <c r="B425" s="4" t="s">
        <v>2054</v>
      </c>
      <c r="C425" s="4" t="s">
        <v>2055</v>
      </c>
      <c r="D425" s="4" t="s">
        <v>2056</v>
      </c>
      <c r="E425" s="4" t="s">
        <v>1923</v>
      </c>
      <c r="F425" t="s">
        <v>2057</v>
      </c>
      <c r="G425" s="5">
        <v>0</v>
      </c>
      <c r="H425" s="5">
        <v>0</v>
      </c>
      <c r="I425" s="5">
        <v>0</v>
      </c>
      <c r="J425" s="5">
        <f t="shared" si="6"/>
        <v>0</v>
      </c>
    </row>
    <row r="426" spans="1:10" ht="15">
      <c r="A426" s="4" t="s">
        <v>2058</v>
      </c>
      <c r="B426" s="4" t="s">
        <v>2059</v>
      </c>
      <c r="C426" s="4" t="s">
        <v>2060</v>
      </c>
      <c r="D426" s="4" t="s">
        <v>2061</v>
      </c>
      <c r="E426" s="4" t="s">
        <v>1923</v>
      </c>
      <c r="F426" t="s">
        <v>2062</v>
      </c>
      <c r="G426" s="5">
        <v>0</v>
      </c>
      <c r="H426" s="5">
        <v>0</v>
      </c>
      <c r="I426" s="5">
        <v>0</v>
      </c>
      <c r="J426" s="5">
        <f t="shared" si="6"/>
        <v>0</v>
      </c>
    </row>
    <row r="427" spans="1:10" ht="15">
      <c r="A427" s="4" t="s">
        <v>2063</v>
      </c>
      <c r="B427" s="4" t="s">
        <v>2064</v>
      </c>
      <c r="C427" s="4" t="s">
        <v>2065</v>
      </c>
      <c r="D427" s="4" t="s">
        <v>2066</v>
      </c>
      <c r="E427" s="4" t="s">
        <v>1923</v>
      </c>
      <c r="F427" t="s">
        <v>2067</v>
      </c>
      <c r="G427" s="5">
        <v>807.54</v>
      </c>
      <c r="H427" s="5">
        <v>0</v>
      </c>
      <c r="I427" s="5">
        <v>0</v>
      </c>
      <c r="J427" s="5">
        <f t="shared" si="6"/>
        <v>807.54</v>
      </c>
    </row>
    <row r="428" spans="1:10" ht="15">
      <c r="A428" s="4" t="s">
        <v>2068</v>
      </c>
      <c r="B428" s="4" t="s">
        <v>170</v>
      </c>
      <c r="C428" s="4" t="s">
        <v>2069</v>
      </c>
      <c r="D428" s="4" t="s">
        <v>2070</v>
      </c>
      <c r="E428" s="4" t="s">
        <v>1923</v>
      </c>
      <c r="F428" t="s">
        <v>2071</v>
      </c>
      <c r="G428" s="5">
        <v>311.48</v>
      </c>
      <c r="H428" s="5">
        <v>0</v>
      </c>
      <c r="I428" s="5">
        <v>0</v>
      </c>
      <c r="J428" s="5">
        <f t="shared" si="6"/>
        <v>311.48</v>
      </c>
    </row>
    <row r="429" spans="1:10" ht="15">
      <c r="A429" s="4" t="s">
        <v>2072</v>
      </c>
      <c r="B429" s="4" t="s">
        <v>2073</v>
      </c>
      <c r="C429" s="4" t="s">
        <v>2074</v>
      </c>
      <c r="D429" s="4" t="s">
        <v>2075</v>
      </c>
      <c r="E429" s="4" t="s">
        <v>1923</v>
      </c>
      <c r="F429" t="s">
        <v>2076</v>
      </c>
      <c r="G429" s="5">
        <v>0</v>
      </c>
      <c r="H429" s="5">
        <v>0</v>
      </c>
      <c r="I429" s="5">
        <v>0</v>
      </c>
      <c r="J429" s="5">
        <f t="shared" si="6"/>
        <v>0</v>
      </c>
    </row>
    <row r="430" spans="1:10" ht="15">
      <c r="A430" s="4" t="s">
        <v>2077</v>
      </c>
      <c r="B430" s="4" t="s">
        <v>2078</v>
      </c>
      <c r="C430" s="4" t="s">
        <v>2079</v>
      </c>
      <c r="D430" s="4" t="s">
        <v>2080</v>
      </c>
      <c r="E430" s="4" t="s">
        <v>1923</v>
      </c>
      <c r="F430" t="s">
        <v>2081</v>
      </c>
      <c r="G430" s="5">
        <v>288.41000000000003</v>
      </c>
      <c r="H430" s="5">
        <v>0</v>
      </c>
      <c r="I430" s="5">
        <v>0</v>
      </c>
      <c r="J430" s="5">
        <f t="shared" si="6"/>
        <v>288.41000000000003</v>
      </c>
    </row>
    <row r="431" spans="1:10" ht="15">
      <c r="A431" s="4" t="s">
        <v>2082</v>
      </c>
      <c r="B431" s="4" t="s">
        <v>2083</v>
      </c>
      <c r="C431" s="4" t="s">
        <v>1545</v>
      </c>
      <c r="D431" s="4" t="s">
        <v>2084</v>
      </c>
      <c r="E431" s="4" t="s">
        <v>1923</v>
      </c>
      <c r="F431" t="s">
        <v>2085</v>
      </c>
      <c r="G431" s="5">
        <v>0</v>
      </c>
      <c r="H431" s="5">
        <v>0</v>
      </c>
      <c r="I431" s="5">
        <v>0</v>
      </c>
      <c r="J431" s="5">
        <f t="shared" si="6"/>
        <v>0</v>
      </c>
    </row>
    <row r="432" spans="1:10" ht="15">
      <c r="A432" s="4" t="s">
        <v>2086</v>
      </c>
      <c r="B432" s="4" t="s">
        <v>591</v>
      </c>
      <c r="C432" s="4" t="s">
        <v>2087</v>
      </c>
      <c r="D432" s="4" t="s">
        <v>2088</v>
      </c>
      <c r="E432" s="4" t="s">
        <v>1923</v>
      </c>
      <c r="F432" t="s">
        <v>2089</v>
      </c>
      <c r="G432" s="5">
        <v>669.1</v>
      </c>
      <c r="H432" s="5">
        <v>0</v>
      </c>
      <c r="I432" s="5">
        <v>0</v>
      </c>
      <c r="J432" s="5">
        <f t="shared" si="6"/>
        <v>669.1</v>
      </c>
    </row>
    <row r="433" spans="1:10" ht="15">
      <c r="A433" s="4" t="s">
        <v>2090</v>
      </c>
      <c r="B433" s="4" t="s">
        <v>946</v>
      </c>
      <c r="C433" s="4" t="s">
        <v>2091</v>
      </c>
      <c r="D433" s="4" t="s">
        <v>2092</v>
      </c>
      <c r="E433" s="4" t="s">
        <v>1923</v>
      </c>
      <c r="F433" t="s">
        <v>2093</v>
      </c>
      <c r="G433" s="5">
        <v>311.48</v>
      </c>
      <c r="H433" s="5">
        <v>0</v>
      </c>
      <c r="I433" s="5">
        <v>0</v>
      </c>
      <c r="J433" s="5">
        <f t="shared" si="6"/>
        <v>311.48</v>
      </c>
    </row>
    <row r="434" spans="1:10" ht="15">
      <c r="A434" s="4" t="s">
        <v>2094</v>
      </c>
      <c r="B434" s="4" t="s">
        <v>2095</v>
      </c>
      <c r="C434" s="4" t="s">
        <v>2096</v>
      </c>
      <c r="D434" s="4" t="s">
        <v>2097</v>
      </c>
      <c r="E434" s="4" t="s">
        <v>1923</v>
      </c>
      <c r="F434" t="s">
        <v>2098</v>
      </c>
      <c r="G434" s="5">
        <v>761.39</v>
      </c>
      <c r="H434" s="5">
        <v>392.23</v>
      </c>
      <c r="I434" s="5">
        <v>0</v>
      </c>
      <c r="J434" s="5">
        <f t="shared" si="6"/>
        <v>1153.6199999999999</v>
      </c>
    </row>
    <row r="435" spans="1:10" ht="15">
      <c r="A435" s="4" t="s">
        <v>2099</v>
      </c>
      <c r="B435" s="4" t="s">
        <v>2100</v>
      </c>
      <c r="C435" s="4" t="s">
        <v>2101</v>
      </c>
      <c r="D435" s="4" t="s">
        <v>2102</v>
      </c>
      <c r="E435" s="4" t="s">
        <v>1923</v>
      </c>
      <c r="F435" t="s">
        <v>2103</v>
      </c>
      <c r="G435" s="5">
        <v>276.87</v>
      </c>
      <c r="H435" s="5">
        <v>276.87</v>
      </c>
      <c r="I435" s="5">
        <v>0</v>
      </c>
      <c r="J435" s="5">
        <f t="shared" si="6"/>
        <v>553.74</v>
      </c>
    </row>
    <row r="436" spans="1:10" ht="15">
      <c r="A436" s="4" t="s">
        <v>2104</v>
      </c>
      <c r="B436" s="4" t="s">
        <v>2105</v>
      </c>
      <c r="C436" s="4" t="s">
        <v>2106</v>
      </c>
      <c r="D436" s="4" t="s">
        <v>946</v>
      </c>
      <c r="E436" s="4" t="s">
        <v>1923</v>
      </c>
      <c r="F436" t="s">
        <v>2107</v>
      </c>
      <c r="G436" s="5">
        <v>420.21</v>
      </c>
      <c r="H436" s="5">
        <v>0</v>
      </c>
      <c r="I436" s="5">
        <v>0</v>
      </c>
      <c r="J436" s="5">
        <f t="shared" si="6"/>
        <v>420.21</v>
      </c>
    </row>
    <row r="437" spans="1:10" ht="15">
      <c r="A437" s="4" t="s">
        <v>2108</v>
      </c>
      <c r="B437" s="4" t="s">
        <v>2109</v>
      </c>
      <c r="C437" s="4" t="s">
        <v>2110</v>
      </c>
      <c r="D437" s="4" t="s">
        <v>2111</v>
      </c>
      <c r="E437" s="4" t="s">
        <v>1923</v>
      </c>
      <c r="F437" t="s">
        <v>2112</v>
      </c>
      <c r="G437" s="5">
        <v>369.16</v>
      </c>
      <c r="H437" s="5">
        <v>0</v>
      </c>
      <c r="I437" s="5">
        <v>0</v>
      </c>
      <c r="J437" s="5">
        <f t="shared" si="6"/>
        <v>369.16</v>
      </c>
    </row>
    <row r="438" spans="1:10" ht="15">
      <c r="A438" s="4" t="s">
        <v>2113</v>
      </c>
      <c r="B438" s="4" t="s">
        <v>2114</v>
      </c>
      <c r="C438" s="4" t="s">
        <v>1751</v>
      </c>
      <c r="D438" s="4" t="s">
        <v>2115</v>
      </c>
      <c r="E438" s="4" t="s">
        <v>1923</v>
      </c>
      <c r="F438" t="s">
        <v>2116</v>
      </c>
      <c r="G438" s="5">
        <v>0</v>
      </c>
      <c r="H438" s="5">
        <v>0</v>
      </c>
      <c r="I438" s="5">
        <v>0</v>
      </c>
      <c r="J438" s="5">
        <f t="shared" si="6"/>
        <v>0</v>
      </c>
    </row>
    <row r="439" spans="1:10" ht="15">
      <c r="A439" s="4" t="s">
        <v>2117</v>
      </c>
      <c r="B439" s="4" t="s">
        <v>2118</v>
      </c>
      <c r="C439" s="4" t="s">
        <v>2119</v>
      </c>
      <c r="D439" s="4" t="s">
        <v>132</v>
      </c>
      <c r="E439" s="4" t="s">
        <v>1923</v>
      </c>
      <c r="F439" t="s">
        <v>2120</v>
      </c>
      <c r="G439" s="5">
        <v>0</v>
      </c>
      <c r="H439" s="5">
        <v>0</v>
      </c>
      <c r="I439" s="5">
        <v>0</v>
      </c>
      <c r="J439" s="5">
        <f t="shared" si="6"/>
        <v>0</v>
      </c>
    </row>
    <row r="440" spans="1:10" ht="15">
      <c r="A440" s="4" t="s">
        <v>2121</v>
      </c>
      <c r="B440" s="4" t="s">
        <v>2122</v>
      </c>
      <c r="C440" s="4" t="s">
        <v>2123</v>
      </c>
      <c r="D440" s="4" t="s">
        <v>2124</v>
      </c>
      <c r="E440" s="4" t="s">
        <v>1923</v>
      </c>
      <c r="F440" t="s">
        <v>2125</v>
      </c>
      <c r="G440" s="5">
        <v>712.38</v>
      </c>
      <c r="H440" s="5">
        <v>0</v>
      </c>
      <c r="I440" s="5">
        <v>0</v>
      </c>
      <c r="J440" s="5">
        <f t="shared" si="6"/>
        <v>712.38</v>
      </c>
    </row>
    <row r="441" spans="1:10" ht="15">
      <c r="A441" s="4" t="s">
        <v>2126</v>
      </c>
      <c r="B441" s="4" t="s">
        <v>2127</v>
      </c>
      <c r="C441" s="4" t="s">
        <v>2128</v>
      </c>
      <c r="D441" s="4" t="s">
        <v>2129</v>
      </c>
      <c r="E441" s="4" t="s">
        <v>1923</v>
      </c>
      <c r="F441" t="s">
        <v>2130</v>
      </c>
      <c r="G441" s="5">
        <v>761.39</v>
      </c>
      <c r="H441" s="5">
        <v>0</v>
      </c>
      <c r="I441" s="5">
        <v>0</v>
      </c>
      <c r="J441" s="5">
        <f t="shared" si="6"/>
        <v>761.39</v>
      </c>
    </row>
    <row r="442" spans="1:10" ht="15">
      <c r="A442" s="4" t="s">
        <v>2131</v>
      </c>
      <c r="B442" s="4" t="s">
        <v>2132</v>
      </c>
      <c r="C442" s="4" t="s">
        <v>2133</v>
      </c>
      <c r="D442" s="4" t="s">
        <v>2134</v>
      </c>
      <c r="E442" s="4" t="s">
        <v>1923</v>
      </c>
      <c r="F442" t="s">
        <v>2135</v>
      </c>
      <c r="G442" s="5">
        <v>288.41000000000003</v>
      </c>
      <c r="H442" s="5">
        <v>0</v>
      </c>
      <c r="I442" s="5">
        <v>0</v>
      </c>
      <c r="J442" s="5">
        <f t="shared" si="6"/>
        <v>288.41000000000003</v>
      </c>
    </row>
    <row r="443" spans="1:10" ht="15">
      <c r="A443" s="4" t="s">
        <v>2136</v>
      </c>
      <c r="B443" s="4" t="s">
        <v>2137</v>
      </c>
      <c r="C443" s="4" t="s">
        <v>728</v>
      </c>
      <c r="D443" s="4" t="s">
        <v>2138</v>
      </c>
      <c r="E443" s="4" t="s">
        <v>1923</v>
      </c>
      <c r="F443" t="s">
        <v>2139</v>
      </c>
      <c r="G443" s="5">
        <v>0</v>
      </c>
      <c r="H443" s="5">
        <v>0</v>
      </c>
      <c r="I443" s="5">
        <v>0</v>
      </c>
      <c r="J443" s="5">
        <f t="shared" si="6"/>
        <v>0</v>
      </c>
    </row>
    <row r="444" spans="1:10" ht="15">
      <c r="A444" s="4" t="s">
        <v>2140</v>
      </c>
      <c r="B444" s="4" t="s">
        <v>1840</v>
      </c>
      <c r="C444" s="4" t="s">
        <v>2141</v>
      </c>
      <c r="D444" s="4" t="s">
        <v>2142</v>
      </c>
      <c r="E444" s="4" t="s">
        <v>1923</v>
      </c>
      <c r="F444" t="s">
        <v>2143</v>
      </c>
      <c r="G444" s="5">
        <v>0</v>
      </c>
      <c r="H444" s="5">
        <v>0</v>
      </c>
      <c r="I444" s="5">
        <v>0</v>
      </c>
      <c r="J444" s="5">
        <f t="shared" si="6"/>
        <v>0</v>
      </c>
    </row>
    <row r="445" spans="1:10" ht="15">
      <c r="A445" s="4" t="s">
        <v>2144</v>
      </c>
      <c r="B445" s="4" t="s">
        <v>2145</v>
      </c>
      <c r="C445" s="4" t="s">
        <v>2146</v>
      </c>
      <c r="D445" s="4" t="s">
        <v>2147</v>
      </c>
      <c r="E445" s="4" t="s">
        <v>1923</v>
      </c>
      <c r="F445" t="s">
        <v>2148</v>
      </c>
      <c r="G445" s="5">
        <v>0</v>
      </c>
      <c r="H445" s="5">
        <v>0</v>
      </c>
      <c r="I445" s="5">
        <v>0</v>
      </c>
      <c r="J445" s="5">
        <f t="shared" si="6"/>
        <v>0</v>
      </c>
    </row>
    <row r="446" spans="1:10" ht="15">
      <c r="A446" s="4" t="s">
        <v>2149</v>
      </c>
      <c r="B446" s="4" t="s">
        <v>2150</v>
      </c>
      <c r="C446" s="4" t="s">
        <v>2151</v>
      </c>
      <c r="D446" s="4" t="s">
        <v>63</v>
      </c>
      <c r="E446" s="4" t="s">
        <v>1923</v>
      </c>
      <c r="F446" t="s">
        <v>2152</v>
      </c>
      <c r="G446" s="5">
        <v>0</v>
      </c>
      <c r="H446" s="5">
        <v>0</v>
      </c>
      <c r="I446" s="5">
        <v>0</v>
      </c>
      <c r="J446" s="5">
        <f t="shared" si="6"/>
        <v>0</v>
      </c>
    </row>
    <row r="447" spans="1:10" ht="15">
      <c r="A447" s="4" t="s">
        <v>2153</v>
      </c>
      <c r="B447" s="4" t="s">
        <v>2154</v>
      </c>
      <c r="C447" s="4" t="s">
        <v>2155</v>
      </c>
      <c r="D447" s="4" t="s">
        <v>2156</v>
      </c>
      <c r="E447" s="4" t="s">
        <v>1923</v>
      </c>
      <c r="F447" t="s">
        <v>2157</v>
      </c>
      <c r="G447" s="5">
        <v>340.89</v>
      </c>
      <c r="H447" s="5">
        <v>405.87</v>
      </c>
      <c r="I447" s="5">
        <v>0</v>
      </c>
      <c r="J447" s="5">
        <f t="shared" si="6"/>
        <v>746.76</v>
      </c>
    </row>
    <row r="448" spans="1:10" ht="15">
      <c r="A448" s="4" t="s">
        <v>2158</v>
      </c>
      <c r="B448" s="4" t="s">
        <v>2159</v>
      </c>
      <c r="C448" s="4" t="s">
        <v>2160</v>
      </c>
      <c r="D448" s="4" t="s">
        <v>188</v>
      </c>
      <c r="E448" s="4" t="s">
        <v>1923</v>
      </c>
      <c r="F448" t="s">
        <v>2161</v>
      </c>
      <c r="G448" s="5">
        <v>0</v>
      </c>
      <c r="H448" s="5">
        <v>0</v>
      </c>
      <c r="I448" s="5">
        <v>0</v>
      </c>
      <c r="J448" s="5">
        <f t="shared" si="6"/>
        <v>0</v>
      </c>
    </row>
    <row r="449" spans="1:10" ht="15">
      <c r="A449" s="4" t="s">
        <v>2162</v>
      </c>
      <c r="B449" s="4" t="s">
        <v>2163</v>
      </c>
      <c r="C449" s="4" t="s">
        <v>2164</v>
      </c>
      <c r="D449" s="4" t="s">
        <v>2165</v>
      </c>
      <c r="E449" s="4" t="s">
        <v>1923</v>
      </c>
      <c r="F449" t="s">
        <v>2166</v>
      </c>
      <c r="G449" s="5">
        <v>0</v>
      </c>
      <c r="H449" s="5">
        <v>0</v>
      </c>
      <c r="I449" s="5">
        <v>0</v>
      </c>
      <c r="J449" s="5">
        <f t="shared" si="6"/>
        <v>0</v>
      </c>
    </row>
    <row r="450" spans="1:10" ht="15">
      <c r="A450" s="4" t="s">
        <v>2167</v>
      </c>
      <c r="B450" s="4" t="s">
        <v>2168</v>
      </c>
      <c r="C450" s="4" t="s">
        <v>2169</v>
      </c>
      <c r="D450" s="4" t="s">
        <v>1741</v>
      </c>
      <c r="E450" s="4" t="s">
        <v>1923</v>
      </c>
      <c r="F450" t="s">
        <v>2170</v>
      </c>
      <c r="G450" s="5">
        <v>0</v>
      </c>
      <c r="H450" s="5">
        <v>0</v>
      </c>
      <c r="I450" s="5">
        <v>0</v>
      </c>
      <c r="J450" s="5">
        <f t="shared" si="6"/>
        <v>0</v>
      </c>
    </row>
    <row r="451" spans="1:10" ht="15">
      <c r="A451" s="4" t="s">
        <v>2171</v>
      </c>
      <c r="B451" s="4" t="s">
        <v>2172</v>
      </c>
      <c r="C451" s="4" t="s">
        <v>2173</v>
      </c>
      <c r="D451" s="4" t="s">
        <v>572</v>
      </c>
      <c r="E451" s="4" t="s">
        <v>1923</v>
      </c>
      <c r="F451" t="s">
        <v>2174</v>
      </c>
      <c r="G451" s="5">
        <v>0</v>
      </c>
      <c r="H451" s="5">
        <v>0</v>
      </c>
      <c r="I451" s="5">
        <v>0</v>
      </c>
      <c r="J451" s="5">
        <f t="shared" si="6"/>
        <v>0</v>
      </c>
    </row>
    <row r="452" spans="1:10" ht="15">
      <c r="A452" s="4" t="s">
        <v>2175</v>
      </c>
      <c r="B452" s="4" t="s">
        <v>2176</v>
      </c>
      <c r="C452" s="4" t="s">
        <v>2177</v>
      </c>
      <c r="D452" s="4" t="s">
        <v>2178</v>
      </c>
      <c r="E452" s="4" t="s">
        <v>1923</v>
      </c>
      <c r="F452" t="s">
        <v>2179</v>
      </c>
      <c r="G452" s="5">
        <v>692.18</v>
      </c>
      <c r="H452" s="5">
        <v>0</v>
      </c>
      <c r="I452" s="5">
        <v>0</v>
      </c>
      <c r="J452" s="5">
        <f t="shared" si="6"/>
        <v>692.18</v>
      </c>
    </row>
    <row r="453" spans="1:10" ht="15">
      <c r="A453" s="4" t="s">
        <v>2180</v>
      </c>
      <c r="B453" s="4" t="s">
        <v>2181</v>
      </c>
      <c r="C453" s="4" t="s">
        <v>2182</v>
      </c>
      <c r="D453" s="4" t="s">
        <v>993</v>
      </c>
      <c r="E453" s="4" t="s">
        <v>1923</v>
      </c>
      <c r="F453" t="s">
        <v>2183</v>
      </c>
      <c r="G453" s="5">
        <v>622.96</v>
      </c>
      <c r="H453" s="5">
        <v>310.25</v>
      </c>
      <c r="I453" s="5">
        <v>0</v>
      </c>
      <c r="J453" s="5">
        <f t="shared" si="6"/>
        <v>933.21</v>
      </c>
    </row>
    <row r="454" spans="1:10" ht="15">
      <c r="A454" s="4" t="s">
        <v>2184</v>
      </c>
      <c r="B454" s="4" t="s">
        <v>2185</v>
      </c>
      <c r="C454" s="4" t="s">
        <v>2186</v>
      </c>
      <c r="D454" s="4" t="s">
        <v>2187</v>
      </c>
      <c r="E454" s="4" t="s">
        <v>1923</v>
      </c>
      <c r="F454" t="s">
        <v>2188</v>
      </c>
      <c r="G454" s="5">
        <v>375</v>
      </c>
      <c r="H454" s="5">
        <v>375</v>
      </c>
      <c r="I454" s="5">
        <v>0</v>
      </c>
      <c r="J454" s="5">
        <f t="shared" si="6"/>
        <v>750</v>
      </c>
    </row>
    <row r="455" spans="1:10" ht="15">
      <c r="A455" s="4" t="s">
        <v>2189</v>
      </c>
      <c r="B455" s="4" t="s">
        <v>2190</v>
      </c>
      <c r="C455" s="4" t="s">
        <v>2191</v>
      </c>
      <c r="D455" s="4" t="s">
        <v>2192</v>
      </c>
      <c r="E455" s="4" t="s">
        <v>1923</v>
      </c>
      <c r="F455" t="s">
        <v>2193</v>
      </c>
      <c r="G455" s="5">
        <v>0</v>
      </c>
      <c r="H455" s="5">
        <v>0</v>
      </c>
      <c r="I455" s="5">
        <v>0</v>
      </c>
      <c r="J455" s="5">
        <f t="shared" si="6"/>
        <v>0</v>
      </c>
    </row>
    <row r="456" spans="1:10" ht="15">
      <c r="A456" s="4" t="s">
        <v>2194</v>
      </c>
      <c r="B456" s="4" t="s">
        <v>2195</v>
      </c>
      <c r="C456" s="4" t="s">
        <v>2155</v>
      </c>
      <c r="D456" s="4" t="s">
        <v>2196</v>
      </c>
      <c r="E456" s="4" t="s">
        <v>1923</v>
      </c>
      <c r="F456" t="s">
        <v>2197</v>
      </c>
      <c r="G456" s="5">
        <v>646.03</v>
      </c>
      <c r="H456" s="5">
        <v>0</v>
      </c>
      <c r="I456" s="5">
        <v>0</v>
      </c>
      <c r="J456" s="5">
        <f t="shared" ref="J456:J519" si="7">G456+H456+I456</f>
        <v>646.03</v>
      </c>
    </row>
    <row r="457" spans="1:10" ht="15">
      <c r="A457" s="4" t="s">
        <v>2198</v>
      </c>
      <c r="B457" s="4" t="s">
        <v>2199</v>
      </c>
      <c r="C457" s="4" t="s">
        <v>2200</v>
      </c>
      <c r="D457" s="4" t="s">
        <v>157</v>
      </c>
      <c r="E457" s="4" t="s">
        <v>1923</v>
      </c>
      <c r="F457" t="s">
        <v>2201</v>
      </c>
      <c r="G457" s="5">
        <v>0</v>
      </c>
      <c r="H457" s="5">
        <v>0</v>
      </c>
      <c r="I457" s="5">
        <v>0</v>
      </c>
      <c r="J457" s="5">
        <f t="shared" si="7"/>
        <v>0</v>
      </c>
    </row>
    <row r="458" spans="1:10" ht="15">
      <c r="A458" s="4" t="s">
        <v>2202</v>
      </c>
      <c r="B458" s="4" t="s">
        <v>2203</v>
      </c>
      <c r="C458" s="4" t="s">
        <v>2204</v>
      </c>
      <c r="D458" s="4" t="s">
        <v>2205</v>
      </c>
      <c r="E458" s="4" t="s">
        <v>1923</v>
      </c>
      <c r="F458" t="s">
        <v>2206</v>
      </c>
      <c r="G458" s="5">
        <v>357.63</v>
      </c>
      <c r="H458" s="5">
        <v>0</v>
      </c>
      <c r="I458" s="5">
        <v>0</v>
      </c>
      <c r="J458" s="5">
        <f t="shared" si="7"/>
        <v>357.63</v>
      </c>
    </row>
    <row r="459" spans="1:10" ht="15">
      <c r="A459" s="4" t="s">
        <v>2207</v>
      </c>
      <c r="B459" s="4" t="s">
        <v>2208</v>
      </c>
      <c r="C459" s="4" t="s">
        <v>2209</v>
      </c>
      <c r="D459" s="4" t="s">
        <v>2210</v>
      </c>
      <c r="E459" s="4" t="s">
        <v>1923</v>
      </c>
      <c r="F459" t="s">
        <v>2211</v>
      </c>
      <c r="G459" s="5">
        <v>0</v>
      </c>
      <c r="H459" s="5">
        <v>0</v>
      </c>
      <c r="I459" s="5">
        <v>0</v>
      </c>
      <c r="J459" s="5">
        <f t="shared" si="7"/>
        <v>0</v>
      </c>
    </row>
    <row r="460" spans="1:10" ht="15">
      <c r="A460" s="4" t="s">
        <v>2212</v>
      </c>
      <c r="B460" s="4" t="s">
        <v>2213</v>
      </c>
      <c r="C460" s="4" t="s">
        <v>728</v>
      </c>
      <c r="D460" s="4" t="s">
        <v>2214</v>
      </c>
      <c r="E460" s="4" t="s">
        <v>1923</v>
      </c>
      <c r="F460" t="s">
        <v>2215</v>
      </c>
      <c r="G460" s="5">
        <v>0</v>
      </c>
      <c r="H460" s="5">
        <v>0</v>
      </c>
      <c r="I460" s="5">
        <v>0</v>
      </c>
      <c r="J460" s="5">
        <f t="shared" si="7"/>
        <v>0</v>
      </c>
    </row>
    <row r="461" spans="1:10" ht="15">
      <c r="A461" s="4" t="s">
        <v>2216</v>
      </c>
      <c r="B461" s="4" t="s">
        <v>2217</v>
      </c>
      <c r="C461" s="4" t="s">
        <v>2218</v>
      </c>
      <c r="D461" s="4" t="s">
        <v>2219</v>
      </c>
      <c r="E461" s="4" t="s">
        <v>2220</v>
      </c>
      <c r="F461" t="s">
        <v>2221</v>
      </c>
      <c r="G461" s="5">
        <v>426.84</v>
      </c>
      <c r="H461" s="5">
        <v>0</v>
      </c>
      <c r="I461" s="5">
        <v>0</v>
      </c>
      <c r="J461" s="5">
        <f t="shared" si="7"/>
        <v>426.84</v>
      </c>
    </row>
    <row r="462" spans="1:10" ht="15">
      <c r="A462" s="4" t="s">
        <v>2222</v>
      </c>
      <c r="B462" s="4" t="s">
        <v>2223</v>
      </c>
      <c r="C462" s="4" t="s">
        <v>2224</v>
      </c>
      <c r="D462" s="4" t="s">
        <v>2225</v>
      </c>
      <c r="E462" s="4" t="s">
        <v>2226</v>
      </c>
      <c r="F462" t="s">
        <v>2227</v>
      </c>
      <c r="G462" s="5">
        <v>380.7</v>
      </c>
      <c r="H462" s="5">
        <v>392.23</v>
      </c>
      <c r="I462" s="5">
        <v>0</v>
      </c>
      <c r="J462" s="5">
        <f t="shared" si="7"/>
        <v>772.93000000000006</v>
      </c>
    </row>
    <row r="463" spans="1:10" ht="15">
      <c r="A463" s="4" t="s">
        <v>2228</v>
      </c>
      <c r="B463" s="4" t="s">
        <v>2229</v>
      </c>
      <c r="C463" s="4" t="s">
        <v>2230</v>
      </c>
      <c r="D463" s="4" t="s">
        <v>2231</v>
      </c>
      <c r="E463" s="4" t="s">
        <v>2232</v>
      </c>
      <c r="F463" t="s">
        <v>2233</v>
      </c>
      <c r="G463" s="5">
        <v>0</v>
      </c>
      <c r="H463" s="5">
        <v>0</v>
      </c>
      <c r="I463" s="5">
        <v>0</v>
      </c>
      <c r="J463" s="5">
        <f t="shared" si="7"/>
        <v>0</v>
      </c>
    </row>
    <row r="464" spans="1:10" ht="15">
      <c r="A464" s="4" t="s">
        <v>2234</v>
      </c>
      <c r="B464" s="4" t="s">
        <v>1959</v>
      </c>
      <c r="C464" s="4" t="s">
        <v>2235</v>
      </c>
      <c r="D464" s="4" t="s">
        <v>2236</v>
      </c>
      <c r="E464" s="4" t="s">
        <v>2237</v>
      </c>
      <c r="F464" t="s">
        <v>2238</v>
      </c>
      <c r="G464" s="5">
        <v>853.53</v>
      </c>
      <c r="H464" s="5">
        <v>0</v>
      </c>
      <c r="I464" s="5">
        <v>0</v>
      </c>
      <c r="J464" s="5">
        <f t="shared" si="7"/>
        <v>853.53</v>
      </c>
    </row>
    <row r="465" spans="1:10" ht="15">
      <c r="A465" s="4" t="s">
        <v>2239</v>
      </c>
      <c r="B465" s="4" t="s">
        <v>2240</v>
      </c>
      <c r="C465" s="4" t="s">
        <v>2241</v>
      </c>
      <c r="D465" s="4" t="s">
        <v>1263</v>
      </c>
      <c r="E465" s="4" t="s">
        <v>2242</v>
      </c>
      <c r="F465" t="s">
        <v>2243</v>
      </c>
      <c r="G465" s="5">
        <v>380.7</v>
      </c>
      <c r="H465" s="5">
        <v>0</v>
      </c>
      <c r="I465" s="5">
        <v>0</v>
      </c>
      <c r="J465" s="5">
        <f t="shared" si="7"/>
        <v>380.7</v>
      </c>
    </row>
    <row r="466" spans="1:10" ht="15">
      <c r="A466" s="4" t="s">
        <v>2244</v>
      </c>
      <c r="B466" s="4" t="s">
        <v>572</v>
      </c>
      <c r="C466" s="4" t="s">
        <v>2245</v>
      </c>
      <c r="D466" s="4" t="s">
        <v>1394</v>
      </c>
      <c r="E466" s="4" t="s">
        <v>2246</v>
      </c>
      <c r="F466" t="s">
        <v>2247</v>
      </c>
      <c r="G466" s="5">
        <v>0</v>
      </c>
      <c r="H466" s="5">
        <v>0</v>
      </c>
      <c r="I466" s="5">
        <v>0</v>
      </c>
      <c r="J466" s="5">
        <f t="shared" si="7"/>
        <v>0</v>
      </c>
    </row>
    <row r="467" spans="1:10" ht="15">
      <c r="A467" s="4" t="s">
        <v>2248</v>
      </c>
      <c r="B467" s="4" t="s">
        <v>1856</v>
      </c>
      <c r="C467" s="4" t="s">
        <v>2249</v>
      </c>
      <c r="D467" s="4" t="s">
        <v>2250</v>
      </c>
      <c r="E467" s="4" t="s">
        <v>2251</v>
      </c>
      <c r="F467" t="s">
        <v>2252</v>
      </c>
      <c r="G467" s="5">
        <v>403.77</v>
      </c>
      <c r="H467" s="5">
        <v>0</v>
      </c>
      <c r="I467" s="5">
        <v>0</v>
      </c>
      <c r="J467" s="5">
        <f t="shared" si="7"/>
        <v>403.77</v>
      </c>
    </row>
    <row r="468" spans="1:10" ht="15">
      <c r="A468" s="4" t="s">
        <v>2253</v>
      </c>
      <c r="B468" s="4" t="s">
        <v>2254</v>
      </c>
      <c r="C468" s="4" t="s">
        <v>2255</v>
      </c>
      <c r="D468" s="4" t="s">
        <v>2256</v>
      </c>
      <c r="E468" s="4" t="s">
        <v>2257</v>
      </c>
      <c r="F468" t="s">
        <v>2258</v>
      </c>
      <c r="G468" s="5">
        <v>0</v>
      </c>
      <c r="H468" s="5">
        <v>0</v>
      </c>
      <c r="I468" s="5">
        <v>0</v>
      </c>
      <c r="J468" s="5">
        <f t="shared" si="7"/>
        <v>0</v>
      </c>
    </row>
    <row r="469" spans="1:10" ht="15">
      <c r="A469" s="4" t="s">
        <v>2259</v>
      </c>
      <c r="B469" s="4" t="s">
        <v>2260</v>
      </c>
      <c r="C469" s="4" t="s">
        <v>2235</v>
      </c>
      <c r="D469" s="4" t="s">
        <v>2261</v>
      </c>
      <c r="E469" s="4" t="s">
        <v>2262</v>
      </c>
      <c r="F469" t="s">
        <v>2263</v>
      </c>
      <c r="G469" s="5">
        <v>0</v>
      </c>
      <c r="H469" s="5">
        <v>0</v>
      </c>
      <c r="I469" s="5">
        <v>0</v>
      </c>
      <c r="J469" s="5">
        <f t="shared" si="7"/>
        <v>0</v>
      </c>
    </row>
    <row r="470" spans="1:10" ht="15">
      <c r="A470" s="4" t="s">
        <v>2264</v>
      </c>
      <c r="B470" s="4" t="s">
        <v>2265</v>
      </c>
      <c r="C470" s="4" t="s">
        <v>2266</v>
      </c>
      <c r="D470" s="4" t="s">
        <v>2267</v>
      </c>
      <c r="E470" s="4" t="s">
        <v>2262</v>
      </c>
      <c r="F470" t="s">
        <v>2268</v>
      </c>
      <c r="G470" s="5">
        <v>0</v>
      </c>
      <c r="H470" s="5">
        <v>0</v>
      </c>
      <c r="I470" s="5">
        <v>0</v>
      </c>
      <c r="J470" s="5">
        <f t="shared" si="7"/>
        <v>0</v>
      </c>
    </row>
    <row r="471" spans="1:10" ht="15">
      <c r="A471" s="4" t="s">
        <v>2269</v>
      </c>
      <c r="B471" s="4" t="s">
        <v>2270</v>
      </c>
      <c r="C471" s="4" t="s">
        <v>1751</v>
      </c>
      <c r="D471" s="4" t="s">
        <v>2271</v>
      </c>
      <c r="E471" s="4" t="s">
        <v>2262</v>
      </c>
      <c r="F471" t="s">
        <v>2272</v>
      </c>
      <c r="G471" s="5">
        <v>0</v>
      </c>
      <c r="H471" s="5">
        <v>0</v>
      </c>
      <c r="I471" s="5">
        <v>0</v>
      </c>
      <c r="J471" s="5">
        <f t="shared" si="7"/>
        <v>0</v>
      </c>
    </row>
    <row r="472" spans="1:10" ht="15">
      <c r="A472" s="4" t="s">
        <v>2273</v>
      </c>
      <c r="B472" s="4" t="s">
        <v>2274</v>
      </c>
      <c r="C472" s="4" t="s">
        <v>2275</v>
      </c>
      <c r="D472" s="4" t="s">
        <v>2276</v>
      </c>
      <c r="E472" s="4" t="s">
        <v>2262</v>
      </c>
      <c r="F472" t="s">
        <v>2277</v>
      </c>
      <c r="G472" s="5">
        <v>692.18</v>
      </c>
      <c r="H472" s="5">
        <v>0</v>
      </c>
      <c r="I472" s="5">
        <v>0</v>
      </c>
      <c r="J472" s="5">
        <f t="shared" si="7"/>
        <v>692.18</v>
      </c>
    </row>
    <row r="473" spans="1:10" ht="15">
      <c r="A473" s="4" t="s">
        <v>2278</v>
      </c>
      <c r="B473" s="4" t="s">
        <v>2279</v>
      </c>
      <c r="C473" s="4" t="s">
        <v>1783</v>
      </c>
      <c r="D473" s="4" t="s">
        <v>2280</v>
      </c>
      <c r="E473" s="4" t="s">
        <v>2262</v>
      </c>
      <c r="F473" t="s">
        <v>2281</v>
      </c>
      <c r="G473" s="5">
        <v>0</v>
      </c>
      <c r="H473" s="5">
        <v>0</v>
      </c>
      <c r="I473" s="5">
        <v>0</v>
      </c>
      <c r="J473" s="5">
        <f t="shared" si="7"/>
        <v>0</v>
      </c>
    </row>
    <row r="474" spans="1:10" ht="15">
      <c r="A474" s="4" t="s">
        <v>2282</v>
      </c>
      <c r="B474" s="4" t="s">
        <v>2283</v>
      </c>
      <c r="C474" s="4" t="s">
        <v>1819</v>
      </c>
      <c r="D474" s="4" t="s">
        <v>2284</v>
      </c>
      <c r="E474" s="4" t="s">
        <v>2262</v>
      </c>
      <c r="F474" t="s">
        <v>2285</v>
      </c>
      <c r="G474" s="5">
        <v>0</v>
      </c>
      <c r="H474" s="5">
        <v>0</v>
      </c>
      <c r="I474" s="5">
        <v>0</v>
      </c>
      <c r="J474" s="5">
        <f t="shared" si="7"/>
        <v>0</v>
      </c>
    </row>
    <row r="475" spans="1:10" ht="15">
      <c r="A475" s="4" t="s">
        <v>2286</v>
      </c>
      <c r="B475" s="4" t="s">
        <v>770</v>
      </c>
      <c r="C475" s="4" t="s">
        <v>2287</v>
      </c>
      <c r="D475" s="4" t="s">
        <v>2288</v>
      </c>
      <c r="E475" s="4" t="s">
        <v>2262</v>
      </c>
      <c r="F475" t="s">
        <v>2289</v>
      </c>
      <c r="G475" s="5">
        <v>0</v>
      </c>
      <c r="H475" s="5">
        <v>0</v>
      </c>
      <c r="I475" s="5">
        <v>0</v>
      </c>
      <c r="J475" s="5">
        <f t="shared" si="7"/>
        <v>0</v>
      </c>
    </row>
    <row r="476" spans="1:10" ht="15">
      <c r="A476" s="4" t="s">
        <v>2290</v>
      </c>
      <c r="B476" s="4" t="s">
        <v>2291</v>
      </c>
      <c r="C476" s="4" t="s">
        <v>2292</v>
      </c>
      <c r="D476" s="4" t="s">
        <v>2293</v>
      </c>
      <c r="E476" s="4" t="s">
        <v>2262</v>
      </c>
      <c r="F476" t="s">
        <v>2294</v>
      </c>
      <c r="G476" s="5">
        <v>0</v>
      </c>
      <c r="H476" s="5">
        <v>0</v>
      </c>
      <c r="I476" s="5">
        <v>0</v>
      </c>
      <c r="J476" s="5">
        <f t="shared" si="7"/>
        <v>0</v>
      </c>
    </row>
    <row r="477" spans="1:10" ht="15">
      <c r="A477" s="4" t="s">
        <v>2295</v>
      </c>
      <c r="B477" s="4" t="s">
        <v>152</v>
      </c>
      <c r="C477" s="4" t="s">
        <v>2296</v>
      </c>
      <c r="D477" s="4" t="s">
        <v>2297</v>
      </c>
      <c r="E477" s="4" t="s">
        <v>2262</v>
      </c>
      <c r="F477" t="s">
        <v>2298</v>
      </c>
      <c r="G477" s="5">
        <v>0</v>
      </c>
      <c r="H477" s="5">
        <v>0</v>
      </c>
      <c r="I477" s="5">
        <v>0</v>
      </c>
      <c r="J477" s="5">
        <f t="shared" si="7"/>
        <v>0</v>
      </c>
    </row>
    <row r="478" spans="1:10" ht="15">
      <c r="A478" s="4" t="s">
        <v>2299</v>
      </c>
      <c r="B478" s="4" t="s">
        <v>2300</v>
      </c>
      <c r="C478" s="4" t="s">
        <v>2151</v>
      </c>
      <c r="D478" s="4" t="s">
        <v>2301</v>
      </c>
      <c r="E478" s="4" t="s">
        <v>2262</v>
      </c>
      <c r="F478" t="s">
        <v>2302</v>
      </c>
      <c r="G478" s="5">
        <v>0</v>
      </c>
      <c r="H478" s="5">
        <v>0</v>
      </c>
      <c r="I478" s="5">
        <v>0</v>
      </c>
      <c r="J478" s="5">
        <f t="shared" si="7"/>
        <v>0</v>
      </c>
    </row>
    <row r="479" spans="1:10" ht="15">
      <c r="A479" s="4" t="s">
        <v>2303</v>
      </c>
      <c r="B479" s="4" t="s">
        <v>2304</v>
      </c>
      <c r="C479" s="4" t="s">
        <v>2110</v>
      </c>
      <c r="D479" s="4" t="s">
        <v>2305</v>
      </c>
      <c r="E479" s="4" t="s">
        <v>2262</v>
      </c>
      <c r="F479" t="s">
        <v>2306</v>
      </c>
      <c r="G479" s="5">
        <v>0</v>
      </c>
      <c r="H479" s="5">
        <v>0</v>
      </c>
      <c r="I479" s="5">
        <v>0</v>
      </c>
      <c r="J479" s="5">
        <f t="shared" si="7"/>
        <v>0</v>
      </c>
    </row>
    <row r="480" spans="1:10" ht="15">
      <c r="A480" s="4" t="s">
        <v>2307</v>
      </c>
      <c r="B480" s="4" t="s">
        <v>2308</v>
      </c>
      <c r="C480" s="4" t="s">
        <v>728</v>
      </c>
      <c r="D480" s="4" t="s">
        <v>2309</v>
      </c>
      <c r="E480" s="4" t="s">
        <v>2262</v>
      </c>
      <c r="F480" t="s">
        <v>2310</v>
      </c>
      <c r="G480" s="5">
        <v>0</v>
      </c>
      <c r="H480" s="5">
        <v>0</v>
      </c>
      <c r="I480" s="5">
        <v>0</v>
      </c>
      <c r="J480" s="5">
        <f t="shared" si="7"/>
        <v>0</v>
      </c>
    </row>
    <row r="481" spans="1:10" ht="15">
      <c r="A481" s="4" t="s">
        <v>2311</v>
      </c>
      <c r="B481" s="4" t="s">
        <v>2312</v>
      </c>
      <c r="C481" s="4" t="s">
        <v>2313</v>
      </c>
      <c r="D481" s="4" t="s">
        <v>2314</v>
      </c>
      <c r="E481" s="4" t="s">
        <v>2262</v>
      </c>
      <c r="F481" t="s">
        <v>2315</v>
      </c>
      <c r="G481" s="5">
        <v>0</v>
      </c>
      <c r="H481" s="5">
        <v>0</v>
      </c>
      <c r="I481" s="5">
        <v>0</v>
      </c>
      <c r="J481" s="5">
        <f t="shared" si="7"/>
        <v>0</v>
      </c>
    </row>
    <row r="482" spans="1:10" ht="15">
      <c r="A482" s="4" t="s">
        <v>2316</v>
      </c>
      <c r="B482" s="4" t="s">
        <v>2317</v>
      </c>
      <c r="C482" s="4" t="s">
        <v>2318</v>
      </c>
      <c r="D482" s="4" t="s">
        <v>141</v>
      </c>
      <c r="E482" s="4" t="s">
        <v>2262</v>
      </c>
      <c r="F482" t="s">
        <v>2319</v>
      </c>
      <c r="G482" s="5">
        <v>0</v>
      </c>
      <c r="H482" s="5">
        <v>0</v>
      </c>
      <c r="I482" s="5">
        <v>0</v>
      </c>
      <c r="J482" s="5">
        <f t="shared" si="7"/>
        <v>0</v>
      </c>
    </row>
    <row r="483" spans="1:10" ht="15">
      <c r="A483" s="4" t="s">
        <v>2320</v>
      </c>
      <c r="B483" s="4" t="s">
        <v>1269</v>
      </c>
      <c r="C483" s="4" t="s">
        <v>2321</v>
      </c>
      <c r="D483" s="4" t="s">
        <v>2322</v>
      </c>
      <c r="E483" s="4" t="s">
        <v>2262</v>
      </c>
      <c r="F483" t="s">
        <v>2323</v>
      </c>
      <c r="G483" s="5">
        <v>346.09</v>
      </c>
      <c r="H483" s="5">
        <v>0</v>
      </c>
      <c r="I483" s="5">
        <v>0</v>
      </c>
      <c r="J483" s="5">
        <f t="shared" si="7"/>
        <v>346.09</v>
      </c>
    </row>
    <row r="484" spans="1:10" ht="15">
      <c r="A484" s="4" t="s">
        <v>2324</v>
      </c>
      <c r="B484" s="4" t="s">
        <v>2325</v>
      </c>
      <c r="C484" s="4" t="s">
        <v>2326</v>
      </c>
      <c r="D484" s="4" t="s">
        <v>993</v>
      </c>
      <c r="E484" s="4" t="s">
        <v>2262</v>
      </c>
      <c r="F484" t="s">
        <v>2327</v>
      </c>
      <c r="G484" s="5">
        <v>0</v>
      </c>
      <c r="H484" s="5">
        <v>0</v>
      </c>
      <c r="I484" s="5">
        <v>0</v>
      </c>
      <c r="J484" s="5">
        <f t="shared" si="7"/>
        <v>0</v>
      </c>
    </row>
    <row r="485" spans="1:10" ht="15">
      <c r="A485" s="4" t="s">
        <v>2328</v>
      </c>
      <c r="B485" s="4" t="s">
        <v>2329</v>
      </c>
      <c r="C485" s="4" t="s">
        <v>2330</v>
      </c>
      <c r="D485" s="4" t="s">
        <v>2331</v>
      </c>
      <c r="E485" s="4" t="s">
        <v>2262</v>
      </c>
      <c r="F485" t="s">
        <v>2332</v>
      </c>
      <c r="G485" s="5">
        <v>0</v>
      </c>
      <c r="H485" s="5">
        <v>0</v>
      </c>
      <c r="I485" s="5">
        <v>0</v>
      </c>
      <c r="J485" s="5">
        <f t="shared" si="7"/>
        <v>0</v>
      </c>
    </row>
    <row r="486" spans="1:10" ht="15">
      <c r="A486" s="4" t="s">
        <v>2333</v>
      </c>
      <c r="B486" s="4" t="s">
        <v>2334</v>
      </c>
      <c r="C486" s="4" t="s">
        <v>2335</v>
      </c>
      <c r="D486" s="4" t="s">
        <v>2336</v>
      </c>
      <c r="E486" s="4" t="s">
        <v>2262</v>
      </c>
      <c r="F486" t="s">
        <v>2337</v>
      </c>
      <c r="G486" s="5">
        <v>0</v>
      </c>
      <c r="H486" s="5">
        <v>0</v>
      </c>
      <c r="I486" s="5">
        <v>0</v>
      </c>
      <c r="J486" s="5">
        <f t="shared" si="7"/>
        <v>0</v>
      </c>
    </row>
    <row r="487" spans="1:10" ht="15">
      <c r="A487" s="4" t="s">
        <v>2338</v>
      </c>
      <c r="B487" s="4" t="s">
        <v>2339</v>
      </c>
      <c r="C487" s="4" t="s">
        <v>2340</v>
      </c>
      <c r="D487" s="4" t="s">
        <v>2341</v>
      </c>
      <c r="E487" s="4" t="s">
        <v>2262</v>
      </c>
      <c r="F487" t="s">
        <v>2342</v>
      </c>
      <c r="G487" s="5">
        <v>715.25</v>
      </c>
      <c r="H487" s="5">
        <v>369.16</v>
      </c>
      <c r="I487" s="5">
        <v>0</v>
      </c>
      <c r="J487" s="5">
        <f t="shared" si="7"/>
        <v>1084.4100000000001</v>
      </c>
    </row>
    <row r="488" spans="1:10" ht="15">
      <c r="A488" s="4" t="s">
        <v>2343</v>
      </c>
      <c r="B488" s="4" t="s">
        <v>2344</v>
      </c>
      <c r="C488" s="4" t="s">
        <v>1606</v>
      </c>
      <c r="D488" s="4" t="s">
        <v>2345</v>
      </c>
      <c r="E488" s="4" t="s">
        <v>2262</v>
      </c>
      <c r="F488" t="s">
        <v>2346</v>
      </c>
      <c r="G488" s="5">
        <v>0</v>
      </c>
      <c r="H488" s="5">
        <v>0</v>
      </c>
      <c r="I488" s="5">
        <v>0</v>
      </c>
      <c r="J488" s="5">
        <f t="shared" si="7"/>
        <v>0</v>
      </c>
    </row>
    <row r="489" spans="1:10" ht="15">
      <c r="A489" s="4" t="s">
        <v>2347</v>
      </c>
      <c r="B489" s="4" t="s">
        <v>2348</v>
      </c>
      <c r="C489" s="4" t="s">
        <v>2349</v>
      </c>
      <c r="D489" s="4" t="s">
        <v>2350</v>
      </c>
      <c r="E489" s="4" t="s">
        <v>2262</v>
      </c>
      <c r="F489" t="s">
        <v>2351</v>
      </c>
      <c r="G489" s="5">
        <v>369.16</v>
      </c>
      <c r="H489" s="5">
        <v>738.32</v>
      </c>
      <c r="I489" s="5">
        <v>0</v>
      </c>
      <c r="J489" s="5">
        <f t="shared" si="7"/>
        <v>1107.48</v>
      </c>
    </row>
    <row r="490" spans="1:10" ht="15">
      <c r="A490" s="4" t="s">
        <v>2352</v>
      </c>
      <c r="B490" s="4" t="s">
        <v>2353</v>
      </c>
      <c r="C490" s="4" t="s">
        <v>2354</v>
      </c>
      <c r="D490" s="4" t="s">
        <v>2355</v>
      </c>
      <c r="E490" s="4" t="s">
        <v>2262</v>
      </c>
      <c r="F490" t="s">
        <v>2356</v>
      </c>
      <c r="G490" s="5">
        <v>0</v>
      </c>
      <c r="H490" s="5">
        <v>0</v>
      </c>
      <c r="I490" s="5">
        <v>0</v>
      </c>
      <c r="J490" s="5">
        <f t="shared" si="7"/>
        <v>0</v>
      </c>
    </row>
    <row r="491" spans="1:10" ht="15">
      <c r="A491" s="4" t="s">
        <v>2357</v>
      </c>
      <c r="B491" s="4" t="s">
        <v>2358</v>
      </c>
      <c r="C491" s="4" t="s">
        <v>2359</v>
      </c>
      <c r="D491" s="4" t="s">
        <v>2360</v>
      </c>
      <c r="E491" s="4" t="s">
        <v>2262</v>
      </c>
      <c r="F491" t="s">
        <v>2361</v>
      </c>
      <c r="G491" s="5">
        <v>0</v>
      </c>
      <c r="H491" s="5">
        <v>0</v>
      </c>
      <c r="I491" s="5">
        <v>0</v>
      </c>
      <c r="J491" s="5">
        <f t="shared" si="7"/>
        <v>0</v>
      </c>
    </row>
    <row r="492" spans="1:10" ht="15">
      <c r="A492" s="4" t="s">
        <v>2362</v>
      </c>
      <c r="B492" s="4" t="s">
        <v>2363</v>
      </c>
      <c r="C492" s="4" t="s">
        <v>2364</v>
      </c>
      <c r="D492" s="4" t="s">
        <v>2365</v>
      </c>
      <c r="E492" s="4" t="s">
        <v>2262</v>
      </c>
      <c r="F492" t="s">
        <v>2366</v>
      </c>
      <c r="G492" s="5">
        <v>0</v>
      </c>
      <c r="H492" s="5">
        <v>0</v>
      </c>
      <c r="I492" s="5">
        <v>0</v>
      </c>
      <c r="J492" s="5">
        <f t="shared" si="7"/>
        <v>0</v>
      </c>
    </row>
    <row r="493" spans="1:10" ht="15">
      <c r="A493" s="4" t="s">
        <v>2367</v>
      </c>
      <c r="B493" s="4" t="s">
        <v>2368</v>
      </c>
      <c r="C493" s="4" t="s">
        <v>1091</v>
      </c>
      <c r="D493" s="4" t="s">
        <v>2369</v>
      </c>
      <c r="E493" s="4" t="s">
        <v>2262</v>
      </c>
      <c r="F493" t="s">
        <v>2370</v>
      </c>
      <c r="G493" s="5">
        <v>0</v>
      </c>
      <c r="H493" s="5">
        <v>0</v>
      </c>
      <c r="I493" s="5">
        <v>0</v>
      </c>
      <c r="J493" s="5">
        <f t="shared" si="7"/>
        <v>0</v>
      </c>
    </row>
    <row r="494" spans="1:10" ht="15">
      <c r="A494" s="4" t="s">
        <v>2371</v>
      </c>
      <c r="B494" s="4" t="s">
        <v>2372</v>
      </c>
      <c r="C494" s="4" t="s">
        <v>2373</v>
      </c>
      <c r="D494" s="4" t="s">
        <v>2374</v>
      </c>
      <c r="E494" s="4" t="s">
        <v>2262</v>
      </c>
      <c r="F494" t="s">
        <v>2375</v>
      </c>
      <c r="G494" s="5">
        <v>0</v>
      </c>
      <c r="H494" s="5">
        <v>0</v>
      </c>
      <c r="I494" s="5">
        <v>0</v>
      </c>
      <c r="J494" s="5">
        <f t="shared" si="7"/>
        <v>0</v>
      </c>
    </row>
    <row r="495" spans="1:10" ht="15">
      <c r="A495" s="4" t="s">
        <v>2376</v>
      </c>
      <c r="B495" s="4" t="s">
        <v>162</v>
      </c>
      <c r="C495" s="4" t="s">
        <v>1026</v>
      </c>
      <c r="D495" s="4" t="s">
        <v>2377</v>
      </c>
      <c r="E495" s="4" t="s">
        <v>2262</v>
      </c>
      <c r="F495" t="s">
        <v>2378</v>
      </c>
      <c r="G495" s="5">
        <v>0</v>
      </c>
      <c r="H495" s="5">
        <v>0</v>
      </c>
      <c r="I495" s="5">
        <v>0</v>
      </c>
      <c r="J495" s="5">
        <f t="shared" si="7"/>
        <v>0</v>
      </c>
    </row>
    <row r="496" spans="1:10" ht="15">
      <c r="A496" s="4" t="s">
        <v>2379</v>
      </c>
      <c r="B496" s="4" t="s">
        <v>2380</v>
      </c>
      <c r="C496" s="4" t="s">
        <v>2381</v>
      </c>
      <c r="D496" s="4" t="s">
        <v>2382</v>
      </c>
      <c r="E496" s="4" t="s">
        <v>2262</v>
      </c>
      <c r="F496" t="s">
        <v>2383</v>
      </c>
      <c r="G496" s="5">
        <v>0</v>
      </c>
      <c r="H496" s="5">
        <v>0</v>
      </c>
      <c r="I496" s="5">
        <v>0</v>
      </c>
      <c r="J496" s="5">
        <f t="shared" si="7"/>
        <v>0</v>
      </c>
    </row>
    <row r="497" spans="1:10" ht="15">
      <c r="A497" s="4" t="s">
        <v>2384</v>
      </c>
      <c r="B497" s="4" t="s">
        <v>2385</v>
      </c>
      <c r="C497" s="4" t="s">
        <v>2386</v>
      </c>
      <c r="D497" s="4" t="s">
        <v>2387</v>
      </c>
      <c r="E497" s="4" t="s">
        <v>2262</v>
      </c>
      <c r="F497" t="s">
        <v>2388</v>
      </c>
      <c r="G497" s="5">
        <v>0</v>
      </c>
      <c r="H497" s="5">
        <v>0</v>
      </c>
      <c r="I497" s="5">
        <v>0</v>
      </c>
      <c r="J497" s="5">
        <f t="shared" si="7"/>
        <v>0</v>
      </c>
    </row>
    <row r="498" spans="1:10" ht="15">
      <c r="A498" s="4" t="s">
        <v>2389</v>
      </c>
      <c r="B498" s="4" t="s">
        <v>2390</v>
      </c>
      <c r="C498" s="4" t="s">
        <v>137</v>
      </c>
      <c r="D498" s="4" t="s">
        <v>2391</v>
      </c>
      <c r="E498" s="4" t="s">
        <v>2262</v>
      </c>
      <c r="F498" t="s">
        <v>2392</v>
      </c>
      <c r="G498" s="5">
        <v>0</v>
      </c>
      <c r="H498" s="5">
        <v>0</v>
      </c>
      <c r="I498" s="5">
        <v>0</v>
      </c>
      <c r="J498" s="5">
        <f t="shared" si="7"/>
        <v>0</v>
      </c>
    </row>
    <row r="499" spans="1:10" ht="15">
      <c r="A499" s="4" t="s">
        <v>2393</v>
      </c>
      <c r="B499" s="4" t="s">
        <v>2394</v>
      </c>
      <c r="C499" s="4" t="s">
        <v>1888</v>
      </c>
      <c r="D499" s="4" t="s">
        <v>2395</v>
      </c>
      <c r="E499" s="4" t="s">
        <v>2262</v>
      </c>
      <c r="F499" t="s">
        <v>2396</v>
      </c>
      <c r="G499" s="5">
        <v>0</v>
      </c>
      <c r="H499" s="5">
        <v>0</v>
      </c>
      <c r="I499" s="5">
        <v>0</v>
      </c>
      <c r="J499" s="5">
        <f t="shared" si="7"/>
        <v>0</v>
      </c>
    </row>
    <row r="500" spans="1:10" ht="15">
      <c r="A500" s="4" t="s">
        <v>2397</v>
      </c>
      <c r="B500" s="4" t="s">
        <v>2398</v>
      </c>
      <c r="C500" s="4" t="s">
        <v>792</v>
      </c>
      <c r="D500" s="4" t="s">
        <v>638</v>
      </c>
      <c r="E500" s="4" t="s">
        <v>2262</v>
      </c>
      <c r="F500" t="s">
        <v>2399</v>
      </c>
      <c r="G500" s="5">
        <v>0</v>
      </c>
      <c r="H500" s="5">
        <v>0</v>
      </c>
      <c r="I500" s="5">
        <v>0</v>
      </c>
      <c r="J500" s="5">
        <f t="shared" si="7"/>
        <v>0</v>
      </c>
    </row>
    <row r="501" spans="1:10" ht="15">
      <c r="A501" s="4" t="s">
        <v>2400</v>
      </c>
      <c r="B501" s="4" t="s">
        <v>2401</v>
      </c>
      <c r="C501" s="4" t="s">
        <v>93</v>
      </c>
      <c r="D501" s="4" t="s">
        <v>993</v>
      </c>
      <c r="E501" s="4" t="s">
        <v>2262</v>
      </c>
      <c r="F501" t="s">
        <v>2402</v>
      </c>
      <c r="G501" s="5">
        <v>311.48</v>
      </c>
      <c r="H501" s="5">
        <v>0</v>
      </c>
      <c r="I501" s="5">
        <v>0</v>
      </c>
      <c r="J501" s="5">
        <f t="shared" si="7"/>
        <v>311.48</v>
      </c>
    </row>
    <row r="502" spans="1:10" ht="15">
      <c r="A502" s="4" t="s">
        <v>2403</v>
      </c>
      <c r="B502" s="4" t="s">
        <v>2404</v>
      </c>
      <c r="C502" s="4" t="s">
        <v>2405</v>
      </c>
      <c r="D502" s="4" t="s">
        <v>2406</v>
      </c>
      <c r="E502" s="4" t="s">
        <v>2262</v>
      </c>
      <c r="F502" t="s">
        <v>2407</v>
      </c>
      <c r="G502" s="5">
        <v>0</v>
      </c>
      <c r="H502" s="5">
        <v>0</v>
      </c>
      <c r="I502" s="5">
        <v>0</v>
      </c>
      <c r="J502" s="5">
        <f t="shared" si="7"/>
        <v>0</v>
      </c>
    </row>
    <row r="503" spans="1:10" ht="15">
      <c r="A503" s="4" t="s">
        <v>2408</v>
      </c>
      <c r="B503" s="4" t="s">
        <v>2409</v>
      </c>
      <c r="C503" s="4" t="s">
        <v>2410</v>
      </c>
      <c r="D503" s="4" t="s">
        <v>2411</v>
      </c>
      <c r="E503" s="4" t="s">
        <v>2262</v>
      </c>
      <c r="F503" t="s">
        <v>2412</v>
      </c>
      <c r="G503" s="5">
        <v>0</v>
      </c>
      <c r="H503" s="5">
        <v>0</v>
      </c>
      <c r="I503" s="5">
        <v>0</v>
      </c>
      <c r="J503" s="5">
        <f t="shared" si="7"/>
        <v>0</v>
      </c>
    </row>
    <row r="504" spans="1:10" ht="15">
      <c r="A504" s="4" t="s">
        <v>2413</v>
      </c>
      <c r="B504" s="4" t="s">
        <v>2414</v>
      </c>
      <c r="C504" s="4" t="s">
        <v>1273</v>
      </c>
      <c r="D504" s="4" t="s">
        <v>2415</v>
      </c>
      <c r="E504" s="4" t="s">
        <v>2262</v>
      </c>
      <c r="F504" t="s">
        <v>2416</v>
      </c>
      <c r="G504" s="5">
        <v>0</v>
      </c>
      <c r="H504" s="5">
        <v>0</v>
      </c>
      <c r="I504" s="5">
        <v>0</v>
      </c>
      <c r="J504" s="5">
        <f t="shared" si="7"/>
        <v>0</v>
      </c>
    </row>
    <row r="505" spans="1:10" ht="15">
      <c r="A505" s="4" t="s">
        <v>2417</v>
      </c>
      <c r="B505" s="4" t="s">
        <v>2418</v>
      </c>
      <c r="C505" s="4" t="s">
        <v>2419</v>
      </c>
      <c r="D505" s="4" t="s">
        <v>2420</v>
      </c>
      <c r="E505" s="4" t="s">
        <v>2262</v>
      </c>
      <c r="F505" t="s">
        <v>2421</v>
      </c>
      <c r="G505" s="5">
        <v>0</v>
      </c>
      <c r="H505" s="5">
        <v>0</v>
      </c>
      <c r="I505" s="5">
        <v>0</v>
      </c>
      <c r="J505" s="5">
        <f t="shared" si="7"/>
        <v>0</v>
      </c>
    </row>
    <row r="506" spans="1:10" ht="15">
      <c r="A506" s="4" t="s">
        <v>2422</v>
      </c>
      <c r="B506" s="4" t="s">
        <v>1497</v>
      </c>
      <c r="C506" s="4" t="s">
        <v>2423</v>
      </c>
      <c r="D506" s="4" t="s">
        <v>2424</v>
      </c>
      <c r="E506" s="4" t="s">
        <v>2262</v>
      </c>
      <c r="F506" t="s">
        <v>2425</v>
      </c>
      <c r="G506" s="5">
        <v>0</v>
      </c>
      <c r="H506" s="5">
        <v>0</v>
      </c>
      <c r="I506" s="5">
        <v>0</v>
      </c>
      <c r="J506" s="5">
        <f t="shared" si="7"/>
        <v>0</v>
      </c>
    </row>
    <row r="507" spans="1:10" ht="15">
      <c r="A507" s="4" t="s">
        <v>2426</v>
      </c>
      <c r="B507" s="4" t="s">
        <v>2427</v>
      </c>
      <c r="C507" s="4" t="s">
        <v>2428</v>
      </c>
      <c r="D507" s="4" t="s">
        <v>2429</v>
      </c>
      <c r="E507" s="4" t="s">
        <v>2262</v>
      </c>
      <c r="F507" t="s">
        <v>2430</v>
      </c>
      <c r="G507" s="5">
        <v>0</v>
      </c>
      <c r="H507" s="5">
        <v>0</v>
      </c>
      <c r="I507" s="5">
        <v>0</v>
      </c>
      <c r="J507" s="5">
        <f t="shared" si="7"/>
        <v>0</v>
      </c>
    </row>
    <row r="508" spans="1:10" ht="15">
      <c r="A508" s="4" t="s">
        <v>2431</v>
      </c>
      <c r="B508" s="4" t="s">
        <v>2432</v>
      </c>
      <c r="C508" s="4" t="s">
        <v>2433</v>
      </c>
      <c r="D508" s="4" t="s">
        <v>692</v>
      </c>
      <c r="E508" s="4" t="s">
        <v>2262</v>
      </c>
      <c r="F508" t="s">
        <v>2434</v>
      </c>
      <c r="G508" s="5">
        <v>0</v>
      </c>
      <c r="H508" s="5">
        <v>0</v>
      </c>
      <c r="I508" s="5">
        <v>0</v>
      </c>
      <c r="J508" s="5">
        <f t="shared" si="7"/>
        <v>0</v>
      </c>
    </row>
    <row r="509" spans="1:10" ht="15">
      <c r="A509" s="4" t="s">
        <v>2435</v>
      </c>
      <c r="B509" s="4" t="s">
        <v>2436</v>
      </c>
      <c r="C509" s="4" t="s">
        <v>2437</v>
      </c>
      <c r="D509" s="4" t="s">
        <v>2438</v>
      </c>
      <c r="E509" s="4" t="s">
        <v>2262</v>
      </c>
      <c r="F509" t="s">
        <v>2439</v>
      </c>
      <c r="G509" s="5">
        <v>323.02</v>
      </c>
      <c r="H509" s="5">
        <v>0</v>
      </c>
      <c r="I509" s="5">
        <v>0</v>
      </c>
      <c r="J509" s="5">
        <f t="shared" si="7"/>
        <v>323.02</v>
      </c>
    </row>
    <row r="510" spans="1:10" ht="15">
      <c r="A510" s="4" t="s">
        <v>2440</v>
      </c>
      <c r="B510" s="4" t="s">
        <v>416</v>
      </c>
      <c r="C510" s="4" t="s">
        <v>2441</v>
      </c>
      <c r="D510" s="4" t="s">
        <v>2442</v>
      </c>
      <c r="E510" s="4" t="s">
        <v>2262</v>
      </c>
      <c r="F510" t="s">
        <v>2443</v>
      </c>
      <c r="G510" s="5">
        <v>0</v>
      </c>
      <c r="H510" s="5">
        <v>0</v>
      </c>
      <c r="I510" s="5">
        <v>0</v>
      </c>
      <c r="J510" s="5">
        <f t="shared" si="7"/>
        <v>0</v>
      </c>
    </row>
    <row r="511" spans="1:10" ht="15">
      <c r="A511" s="4" t="s">
        <v>2444</v>
      </c>
      <c r="B511" s="4" t="s">
        <v>1854</v>
      </c>
      <c r="C511" s="4" t="s">
        <v>2445</v>
      </c>
      <c r="D511" s="4" t="s">
        <v>777</v>
      </c>
      <c r="E511" s="4" t="s">
        <v>2262</v>
      </c>
      <c r="F511" t="s">
        <v>2446</v>
      </c>
      <c r="G511" s="5">
        <v>0</v>
      </c>
      <c r="H511" s="5">
        <v>0</v>
      </c>
      <c r="I511" s="5">
        <v>0</v>
      </c>
      <c r="J511" s="5">
        <f t="shared" si="7"/>
        <v>0</v>
      </c>
    </row>
    <row r="512" spans="1:10" ht="15">
      <c r="A512" s="4" t="s">
        <v>2447</v>
      </c>
      <c r="B512" s="4" t="s">
        <v>2448</v>
      </c>
      <c r="C512" s="4" t="s">
        <v>1011</v>
      </c>
      <c r="D512" s="4" t="s">
        <v>2449</v>
      </c>
      <c r="E512" s="4" t="s">
        <v>2262</v>
      </c>
      <c r="F512" t="s">
        <v>2450</v>
      </c>
      <c r="G512" s="5">
        <v>0</v>
      </c>
      <c r="H512" s="5">
        <v>0</v>
      </c>
      <c r="I512" s="5">
        <v>0</v>
      </c>
      <c r="J512" s="5">
        <f t="shared" si="7"/>
        <v>0</v>
      </c>
    </row>
    <row r="513" spans="1:10" ht="15">
      <c r="A513" s="4" t="s">
        <v>2451</v>
      </c>
      <c r="B513" s="4" t="s">
        <v>2452</v>
      </c>
      <c r="C513" s="4" t="s">
        <v>1026</v>
      </c>
      <c r="D513" s="4" t="s">
        <v>2453</v>
      </c>
      <c r="E513" s="4" t="s">
        <v>2262</v>
      </c>
      <c r="F513" t="s">
        <v>2454</v>
      </c>
      <c r="G513" s="5">
        <v>0</v>
      </c>
      <c r="H513" s="5">
        <v>0</v>
      </c>
      <c r="I513" s="5">
        <v>0</v>
      </c>
      <c r="J513" s="5">
        <f t="shared" si="7"/>
        <v>0</v>
      </c>
    </row>
    <row r="514" spans="1:10" ht="15">
      <c r="A514" s="4" t="s">
        <v>2455</v>
      </c>
      <c r="B514" s="4" t="s">
        <v>2456</v>
      </c>
      <c r="C514" s="4" t="s">
        <v>2026</v>
      </c>
      <c r="D514" s="4" t="s">
        <v>2457</v>
      </c>
      <c r="E514" s="4" t="s">
        <v>2262</v>
      </c>
      <c r="F514" t="s">
        <v>2458</v>
      </c>
      <c r="G514" s="5">
        <v>0</v>
      </c>
      <c r="H514" s="5">
        <v>0</v>
      </c>
      <c r="I514" s="5">
        <v>0</v>
      </c>
      <c r="J514" s="5">
        <f t="shared" si="7"/>
        <v>0</v>
      </c>
    </row>
    <row r="515" spans="1:10" ht="15">
      <c r="A515" s="4" t="s">
        <v>2459</v>
      </c>
      <c r="B515" s="4" t="s">
        <v>2460</v>
      </c>
      <c r="C515" s="4" t="s">
        <v>2461</v>
      </c>
      <c r="D515" s="4" t="s">
        <v>993</v>
      </c>
      <c r="E515" s="4" t="s">
        <v>2262</v>
      </c>
      <c r="F515" t="s">
        <v>2462</v>
      </c>
      <c r="G515" s="5">
        <v>0</v>
      </c>
      <c r="H515" s="5">
        <v>0</v>
      </c>
      <c r="I515" s="5">
        <v>0</v>
      </c>
      <c r="J515" s="5">
        <f t="shared" si="7"/>
        <v>0</v>
      </c>
    </row>
    <row r="516" spans="1:10" ht="15">
      <c r="A516" s="4" t="s">
        <v>2463</v>
      </c>
      <c r="B516" s="4" t="s">
        <v>2464</v>
      </c>
      <c r="C516" s="4" t="s">
        <v>2465</v>
      </c>
      <c r="D516" s="4" t="s">
        <v>2466</v>
      </c>
      <c r="E516" s="4" t="s">
        <v>2262</v>
      </c>
      <c r="F516" t="s">
        <v>2467</v>
      </c>
      <c r="G516" s="5">
        <v>0</v>
      </c>
      <c r="H516" s="5">
        <v>0</v>
      </c>
      <c r="I516" s="5">
        <v>0</v>
      </c>
      <c r="J516" s="5">
        <f t="shared" si="7"/>
        <v>0</v>
      </c>
    </row>
    <row r="517" spans="1:10" ht="15">
      <c r="A517" s="4" t="s">
        <v>2468</v>
      </c>
      <c r="B517" s="4" t="s">
        <v>2469</v>
      </c>
      <c r="C517" s="4" t="s">
        <v>2470</v>
      </c>
      <c r="D517" s="4" t="s">
        <v>2471</v>
      </c>
      <c r="E517" s="4" t="s">
        <v>2262</v>
      </c>
      <c r="F517" t="s">
        <v>2472</v>
      </c>
      <c r="G517" s="5">
        <v>646.03</v>
      </c>
      <c r="H517" s="5">
        <v>0</v>
      </c>
      <c r="I517" s="5">
        <v>0</v>
      </c>
      <c r="J517" s="5">
        <f t="shared" si="7"/>
        <v>646.03</v>
      </c>
    </row>
    <row r="518" spans="1:10" ht="15">
      <c r="A518" s="4" t="s">
        <v>2473</v>
      </c>
      <c r="B518" s="4" t="s">
        <v>2474</v>
      </c>
      <c r="C518" s="4" t="s">
        <v>2475</v>
      </c>
      <c r="D518" s="4" t="s">
        <v>2476</v>
      </c>
      <c r="E518" s="4" t="s">
        <v>2262</v>
      </c>
      <c r="F518" t="s">
        <v>2477</v>
      </c>
      <c r="G518" s="5">
        <v>0</v>
      </c>
      <c r="H518" s="5">
        <v>0</v>
      </c>
      <c r="I518" s="5">
        <v>0</v>
      </c>
      <c r="J518" s="5">
        <f t="shared" si="7"/>
        <v>0</v>
      </c>
    </row>
    <row r="519" spans="1:10" ht="15">
      <c r="A519" s="4" t="s">
        <v>2478</v>
      </c>
      <c r="B519" s="4" t="s">
        <v>2479</v>
      </c>
      <c r="C519" s="4" t="s">
        <v>2480</v>
      </c>
      <c r="D519" s="4" t="s">
        <v>2481</v>
      </c>
      <c r="E519" s="4" t="s">
        <v>2262</v>
      </c>
      <c r="F519" t="s">
        <v>2482</v>
      </c>
      <c r="G519" s="5">
        <v>0</v>
      </c>
      <c r="H519" s="5">
        <v>0</v>
      </c>
      <c r="I519" s="5">
        <v>0</v>
      </c>
      <c r="J519" s="5">
        <f t="shared" si="7"/>
        <v>0</v>
      </c>
    </row>
    <row r="520" spans="1:10" ht="15">
      <c r="A520" s="4" t="s">
        <v>2483</v>
      </c>
      <c r="B520" s="4" t="s">
        <v>2484</v>
      </c>
      <c r="C520" s="4" t="s">
        <v>2485</v>
      </c>
      <c r="D520" s="4" t="s">
        <v>2486</v>
      </c>
      <c r="E520" s="4" t="s">
        <v>2262</v>
      </c>
      <c r="F520" t="s">
        <v>2487</v>
      </c>
      <c r="G520" s="5">
        <v>0</v>
      </c>
      <c r="H520" s="5">
        <v>0</v>
      </c>
      <c r="I520" s="5">
        <v>0</v>
      </c>
      <c r="J520" s="5">
        <f t="shared" ref="J520:J583" si="8">G520+H520+I520</f>
        <v>0</v>
      </c>
    </row>
    <row r="521" spans="1:10" ht="15">
      <c r="A521" s="4" t="s">
        <v>2488</v>
      </c>
      <c r="B521" s="4" t="s">
        <v>2489</v>
      </c>
      <c r="C521" s="4" t="s">
        <v>2490</v>
      </c>
      <c r="D521" s="4" t="s">
        <v>2491</v>
      </c>
      <c r="E521" s="4" t="s">
        <v>2262</v>
      </c>
      <c r="F521" t="s">
        <v>2492</v>
      </c>
      <c r="G521" s="5">
        <v>0</v>
      </c>
      <c r="H521" s="5">
        <v>0</v>
      </c>
      <c r="I521" s="5">
        <v>0</v>
      </c>
      <c r="J521" s="5">
        <f t="shared" si="8"/>
        <v>0</v>
      </c>
    </row>
    <row r="522" spans="1:10" ht="15">
      <c r="A522" s="4" t="s">
        <v>2493</v>
      </c>
      <c r="B522" s="4" t="s">
        <v>2494</v>
      </c>
      <c r="C522" s="4" t="s">
        <v>835</v>
      </c>
      <c r="D522" s="4" t="s">
        <v>2495</v>
      </c>
      <c r="E522" s="4" t="s">
        <v>2262</v>
      </c>
      <c r="F522" t="s">
        <v>2496</v>
      </c>
      <c r="G522" s="5">
        <v>253.8</v>
      </c>
      <c r="H522" s="5">
        <v>0</v>
      </c>
      <c r="I522" s="5">
        <v>0</v>
      </c>
      <c r="J522" s="5">
        <f t="shared" si="8"/>
        <v>253.8</v>
      </c>
    </row>
    <row r="523" spans="1:10" ht="15">
      <c r="A523" s="4" t="s">
        <v>2497</v>
      </c>
      <c r="B523" s="4" t="s">
        <v>2498</v>
      </c>
      <c r="C523" s="4" t="s">
        <v>2499</v>
      </c>
      <c r="D523" s="4" t="s">
        <v>2500</v>
      </c>
      <c r="E523" s="4" t="s">
        <v>2262</v>
      </c>
      <c r="F523" t="s">
        <v>2501</v>
      </c>
      <c r="G523" s="5">
        <v>0</v>
      </c>
      <c r="H523" s="5">
        <v>0</v>
      </c>
      <c r="I523" s="5">
        <v>0</v>
      </c>
      <c r="J523" s="5">
        <f t="shared" si="8"/>
        <v>0</v>
      </c>
    </row>
    <row r="524" spans="1:10" ht="15">
      <c r="A524" s="4" t="s">
        <v>2502</v>
      </c>
      <c r="B524" s="4" t="s">
        <v>2503</v>
      </c>
      <c r="C524" s="4" t="s">
        <v>2504</v>
      </c>
      <c r="D524" s="4" t="s">
        <v>2505</v>
      </c>
      <c r="E524" s="4" t="s">
        <v>2262</v>
      </c>
      <c r="F524" t="s">
        <v>2506</v>
      </c>
      <c r="G524" s="5">
        <v>0</v>
      </c>
      <c r="H524" s="5">
        <v>0</v>
      </c>
      <c r="I524" s="5">
        <v>0</v>
      </c>
      <c r="J524" s="5">
        <f t="shared" si="8"/>
        <v>0</v>
      </c>
    </row>
    <row r="525" spans="1:10" ht="15">
      <c r="A525" s="4" t="s">
        <v>2507</v>
      </c>
      <c r="B525" s="4" t="s">
        <v>2508</v>
      </c>
      <c r="C525" s="4" t="s">
        <v>2509</v>
      </c>
      <c r="D525" s="4" t="s">
        <v>2510</v>
      </c>
      <c r="E525" s="4" t="s">
        <v>2262</v>
      </c>
      <c r="F525" t="s">
        <v>2511</v>
      </c>
      <c r="G525" s="5">
        <v>311.48</v>
      </c>
      <c r="H525" s="5">
        <v>0</v>
      </c>
      <c r="I525" s="5">
        <v>0</v>
      </c>
      <c r="J525" s="5">
        <f t="shared" si="8"/>
        <v>311.48</v>
      </c>
    </row>
    <row r="526" spans="1:10" ht="15">
      <c r="A526" s="4" t="s">
        <v>2512</v>
      </c>
      <c r="B526" s="4" t="s">
        <v>316</v>
      </c>
      <c r="C526" s="4" t="s">
        <v>2513</v>
      </c>
      <c r="D526" s="4" t="s">
        <v>2514</v>
      </c>
      <c r="E526" s="4" t="s">
        <v>2262</v>
      </c>
      <c r="F526" t="s">
        <v>2515</v>
      </c>
      <c r="G526" s="5">
        <v>0</v>
      </c>
      <c r="H526" s="5">
        <v>0</v>
      </c>
      <c r="I526" s="5">
        <v>0</v>
      </c>
      <c r="J526" s="5">
        <f t="shared" si="8"/>
        <v>0</v>
      </c>
    </row>
    <row r="527" spans="1:10" ht="15">
      <c r="A527" s="4" t="s">
        <v>2516</v>
      </c>
      <c r="B527" s="4" t="s">
        <v>2517</v>
      </c>
      <c r="C527" s="4" t="s">
        <v>2518</v>
      </c>
      <c r="D527" s="4" t="s">
        <v>2519</v>
      </c>
      <c r="E527" s="4" t="s">
        <v>2262</v>
      </c>
      <c r="F527" t="s">
        <v>2520</v>
      </c>
      <c r="G527" s="5">
        <v>0</v>
      </c>
      <c r="H527" s="5">
        <v>0</v>
      </c>
      <c r="I527" s="5">
        <v>0</v>
      </c>
      <c r="J527" s="5">
        <f t="shared" si="8"/>
        <v>0</v>
      </c>
    </row>
    <row r="528" spans="1:10" ht="15">
      <c r="A528" s="4" t="s">
        <v>2521</v>
      </c>
      <c r="B528" s="4" t="s">
        <v>2522</v>
      </c>
      <c r="C528" s="4" t="s">
        <v>2523</v>
      </c>
      <c r="D528" s="4" t="s">
        <v>2524</v>
      </c>
      <c r="E528" s="4" t="s">
        <v>2262</v>
      </c>
      <c r="F528" t="s">
        <v>2525</v>
      </c>
      <c r="G528" s="5">
        <v>0</v>
      </c>
      <c r="H528" s="5">
        <v>0</v>
      </c>
      <c r="I528" s="5">
        <v>0</v>
      </c>
      <c r="J528" s="5">
        <f t="shared" si="8"/>
        <v>0</v>
      </c>
    </row>
    <row r="529" spans="1:10" ht="15">
      <c r="A529" s="4" t="s">
        <v>2526</v>
      </c>
      <c r="B529" s="4" t="s">
        <v>2527</v>
      </c>
      <c r="C529" s="4" t="s">
        <v>2436</v>
      </c>
      <c r="D529" s="4" t="s">
        <v>2528</v>
      </c>
      <c r="E529" s="4" t="s">
        <v>2262</v>
      </c>
      <c r="F529" t="s">
        <v>2529</v>
      </c>
      <c r="G529" s="5">
        <v>288.41000000000003</v>
      </c>
      <c r="H529" s="5">
        <v>299.94</v>
      </c>
      <c r="I529" s="5">
        <v>0</v>
      </c>
      <c r="J529" s="5">
        <f t="shared" si="8"/>
        <v>588.35</v>
      </c>
    </row>
    <row r="530" spans="1:10" ht="15">
      <c r="A530" s="4" t="s">
        <v>2530</v>
      </c>
      <c r="B530" s="4" t="s">
        <v>2531</v>
      </c>
      <c r="C530" s="4" t="s">
        <v>2532</v>
      </c>
      <c r="D530" s="4" t="s">
        <v>2533</v>
      </c>
      <c r="E530" s="4" t="s">
        <v>2262</v>
      </c>
      <c r="F530" t="s">
        <v>2534</v>
      </c>
      <c r="G530" s="5">
        <v>334.55</v>
      </c>
      <c r="H530" s="5">
        <v>346.09</v>
      </c>
      <c r="I530" s="5">
        <v>0</v>
      </c>
      <c r="J530" s="5">
        <f t="shared" si="8"/>
        <v>680.64</v>
      </c>
    </row>
    <row r="531" spans="1:10" ht="15">
      <c r="A531" s="4" t="s">
        <v>2535</v>
      </c>
      <c r="B531" s="4" t="s">
        <v>2536</v>
      </c>
      <c r="C531" s="4" t="s">
        <v>542</v>
      </c>
      <c r="D531" s="4" t="s">
        <v>2138</v>
      </c>
      <c r="E531" s="4" t="s">
        <v>2262</v>
      </c>
      <c r="F531" t="s">
        <v>2537</v>
      </c>
      <c r="G531" s="5">
        <v>0</v>
      </c>
      <c r="H531" s="5">
        <v>0</v>
      </c>
      <c r="I531" s="5">
        <v>0</v>
      </c>
      <c r="J531" s="5">
        <f t="shared" si="8"/>
        <v>0</v>
      </c>
    </row>
    <row r="532" spans="1:10" ht="15">
      <c r="A532" s="4" t="s">
        <v>2538</v>
      </c>
      <c r="B532" s="4" t="s">
        <v>2539</v>
      </c>
      <c r="C532" s="4" t="s">
        <v>2540</v>
      </c>
      <c r="D532" s="4" t="s">
        <v>2541</v>
      </c>
      <c r="E532" s="4" t="s">
        <v>2262</v>
      </c>
      <c r="F532" t="s">
        <v>2542</v>
      </c>
      <c r="G532" s="5">
        <v>346.09</v>
      </c>
      <c r="H532" s="5">
        <v>323.02</v>
      </c>
      <c r="I532" s="5">
        <v>0</v>
      </c>
      <c r="J532" s="5">
        <f t="shared" si="8"/>
        <v>669.1099999999999</v>
      </c>
    </row>
    <row r="533" spans="1:10" ht="15">
      <c r="A533" s="4" t="s">
        <v>2543</v>
      </c>
      <c r="B533" s="4" t="s">
        <v>506</v>
      </c>
      <c r="C533" s="4" t="s">
        <v>2544</v>
      </c>
      <c r="D533" s="4" t="s">
        <v>2545</v>
      </c>
      <c r="E533" s="4" t="s">
        <v>2262</v>
      </c>
      <c r="F533" t="s">
        <v>2546</v>
      </c>
      <c r="G533" s="5">
        <v>0</v>
      </c>
      <c r="H533" s="5">
        <v>0</v>
      </c>
      <c r="I533" s="5">
        <v>0</v>
      </c>
      <c r="J533" s="5">
        <f t="shared" si="8"/>
        <v>0</v>
      </c>
    </row>
    <row r="534" spans="1:10" ht="15">
      <c r="A534" s="4" t="s">
        <v>2547</v>
      </c>
      <c r="B534" s="4" t="s">
        <v>2548</v>
      </c>
      <c r="C534" s="4" t="s">
        <v>2549</v>
      </c>
      <c r="D534" s="4" t="s">
        <v>993</v>
      </c>
      <c r="E534" s="4" t="s">
        <v>2550</v>
      </c>
      <c r="F534" t="s">
        <v>2551</v>
      </c>
      <c r="G534" s="5">
        <v>0</v>
      </c>
      <c r="H534" s="5">
        <v>0</v>
      </c>
      <c r="I534" s="5">
        <v>0</v>
      </c>
      <c r="J534" s="5">
        <f t="shared" si="8"/>
        <v>0</v>
      </c>
    </row>
    <row r="535" spans="1:10" ht="15">
      <c r="A535" s="4" t="s">
        <v>2552</v>
      </c>
      <c r="B535" s="4" t="s">
        <v>451</v>
      </c>
      <c r="C535" s="4" t="s">
        <v>2553</v>
      </c>
      <c r="D535" s="4" t="s">
        <v>2554</v>
      </c>
      <c r="E535" s="4" t="s">
        <v>2262</v>
      </c>
      <c r="F535" t="s">
        <v>2555</v>
      </c>
      <c r="G535" s="5">
        <v>0</v>
      </c>
      <c r="H535" s="5">
        <v>0</v>
      </c>
      <c r="I535" s="5">
        <v>0</v>
      </c>
      <c r="J535" s="5">
        <f t="shared" si="8"/>
        <v>0</v>
      </c>
    </row>
    <row r="536" spans="1:10" ht="15">
      <c r="A536" s="4" t="s">
        <v>2556</v>
      </c>
      <c r="B536" s="4" t="s">
        <v>2557</v>
      </c>
      <c r="C536" s="4" t="s">
        <v>483</v>
      </c>
      <c r="D536" s="4" t="s">
        <v>2558</v>
      </c>
      <c r="E536" s="4" t="s">
        <v>2262</v>
      </c>
      <c r="F536" t="s">
        <v>2559</v>
      </c>
      <c r="G536" s="5">
        <v>0</v>
      </c>
      <c r="H536" s="5">
        <v>0</v>
      </c>
      <c r="I536" s="5">
        <v>0</v>
      </c>
      <c r="J536" s="5">
        <f t="shared" si="8"/>
        <v>0</v>
      </c>
    </row>
    <row r="537" spans="1:10" ht="15">
      <c r="A537" s="4" t="s">
        <v>2560</v>
      </c>
      <c r="B537" s="4" t="s">
        <v>2561</v>
      </c>
      <c r="C537" s="4" t="s">
        <v>2386</v>
      </c>
      <c r="D537" s="4" t="s">
        <v>2562</v>
      </c>
      <c r="E537" s="4" t="s">
        <v>2262</v>
      </c>
      <c r="F537" t="s">
        <v>2563</v>
      </c>
      <c r="G537" s="5">
        <v>541.66999999999996</v>
      </c>
      <c r="H537" s="5">
        <v>0</v>
      </c>
      <c r="I537" s="5">
        <v>0</v>
      </c>
      <c r="J537" s="5">
        <f t="shared" si="8"/>
        <v>541.66999999999996</v>
      </c>
    </row>
    <row r="538" spans="1:10" ht="15">
      <c r="A538" s="4" t="s">
        <v>2564</v>
      </c>
      <c r="B538" s="4" t="s">
        <v>300</v>
      </c>
      <c r="C538" s="4" t="s">
        <v>2565</v>
      </c>
      <c r="D538" s="4" t="s">
        <v>2566</v>
      </c>
      <c r="E538" s="4" t="s">
        <v>2262</v>
      </c>
      <c r="F538" t="s">
        <v>2567</v>
      </c>
      <c r="G538" s="5">
        <v>0</v>
      </c>
      <c r="H538" s="5">
        <v>0</v>
      </c>
      <c r="I538" s="5">
        <v>0</v>
      </c>
      <c r="J538" s="5">
        <f t="shared" si="8"/>
        <v>0</v>
      </c>
    </row>
    <row r="539" spans="1:10" ht="15">
      <c r="A539" s="4" t="s">
        <v>2568</v>
      </c>
      <c r="B539" s="4" t="s">
        <v>1302</v>
      </c>
      <c r="C539" s="4" t="s">
        <v>2569</v>
      </c>
      <c r="D539" s="4" t="s">
        <v>2570</v>
      </c>
      <c r="E539" s="4" t="s">
        <v>2262</v>
      </c>
      <c r="F539" t="s">
        <v>2571</v>
      </c>
      <c r="G539" s="5">
        <v>0</v>
      </c>
      <c r="H539" s="5">
        <v>0</v>
      </c>
      <c r="I539" s="5">
        <v>0</v>
      </c>
      <c r="J539" s="5">
        <f t="shared" si="8"/>
        <v>0</v>
      </c>
    </row>
    <row r="540" spans="1:10" ht="15">
      <c r="A540" s="4" t="s">
        <v>2572</v>
      </c>
      <c r="B540" s="4" t="s">
        <v>2573</v>
      </c>
      <c r="C540" s="4" t="s">
        <v>2574</v>
      </c>
      <c r="D540" s="4" t="s">
        <v>2575</v>
      </c>
      <c r="E540" s="4" t="s">
        <v>2262</v>
      </c>
      <c r="F540" t="s">
        <v>2576</v>
      </c>
      <c r="G540" s="5">
        <v>0</v>
      </c>
      <c r="H540" s="5">
        <v>0</v>
      </c>
      <c r="I540" s="5">
        <v>0</v>
      </c>
      <c r="J540" s="5">
        <f t="shared" si="8"/>
        <v>0</v>
      </c>
    </row>
    <row r="541" spans="1:10" ht="15">
      <c r="A541" s="4" t="s">
        <v>2577</v>
      </c>
      <c r="B541" s="4" t="s">
        <v>2578</v>
      </c>
      <c r="C541" s="4" t="s">
        <v>2579</v>
      </c>
      <c r="D541" s="4" t="s">
        <v>993</v>
      </c>
      <c r="E541" s="4" t="s">
        <v>2262</v>
      </c>
      <c r="F541" t="s">
        <v>2580</v>
      </c>
      <c r="G541" s="5">
        <v>0</v>
      </c>
      <c r="H541" s="5">
        <v>0</v>
      </c>
      <c r="I541" s="5">
        <v>0</v>
      </c>
      <c r="J541" s="5">
        <f t="shared" si="8"/>
        <v>0</v>
      </c>
    </row>
    <row r="542" spans="1:10" ht="15">
      <c r="A542" s="4" t="s">
        <v>2581</v>
      </c>
      <c r="B542" s="4" t="s">
        <v>2280</v>
      </c>
      <c r="C542" s="4" t="s">
        <v>2582</v>
      </c>
      <c r="D542" s="4" t="s">
        <v>2583</v>
      </c>
      <c r="E542" s="4" t="s">
        <v>2262</v>
      </c>
      <c r="F542" t="s">
        <v>2584</v>
      </c>
      <c r="G542" s="5">
        <v>0</v>
      </c>
      <c r="H542" s="5">
        <v>0</v>
      </c>
      <c r="I542" s="5">
        <v>0</v>
      </c>
      <c r="J542" s="5">
        <f t="shared" si="8"/>
        <v>0</v>
      </c>
    </row>
    <row r="543" spans="1:10" ht="15">
      <c r="A543" s="4" t="s">
        <v>2585</v>
      </c>
      <c r="B543" s="4" t="s">
        <v>2586</v>
      </c>
      <c r="C543" s="4" t="s">
        <v>2587</v>
      </c>
      <c r="D543" s="4" t="s">
        <v>2588</v>
      </c>
      <c r="E543" s="4" t="s">
        <v>2262</v>
      </c>
      <c r="F543" t="s">
        <v>2589</v>
      </c>
      <c r="G543" s="5">
        <v>0</v>
      </c>
      <c r="H543" s="5">
        <v>0</v>
      </c>
      <c r="I543" s="5">
        <v>0</v>
      </c>
      <c r="J543" s="5">
        <f t="shared" si="8"/>
        <v>0</v>
      </c>
    </row>
    <row r="544" spans="1:10" ht="15">
      <c r="A544" s="4" t="s">
        <v>2590</v>
      </c>
      <c r="B544" s="4" t="s">
        <v>1081</v>
      </c>
      <c r="C544" s="4" t="s">
        <v>2591</v>
      </c>
      <c r="D544" s="4" t="s">
        <v>2592</v>
      </c>
      <c r="E544" s="4" t="s">
        <v>2262</v>
      </c>
      <c r="F544" t="s">
        <v>2593</v>
      </c>
      <c r="G544" s="5">
        <v>0</v>
      </c>
      <c r="H544" s="5">
        <v>0</v>
      </c>
      <c r="I544" s="5">
        <v>0</v>
      </c>
      <c r="J544" s="5">
        <f t="shared" si="8"/>
        <v>0</v>
      </c>
    </row>
    <row r="545" spans="1:10" ht="15">
      <c r="A545" s="4" t="s">
        <v>2594</v>
      </c>
      <c r="B545" s="4" t="s">
        <v>2595</v>
      </c>
      <c r="C545" s="4" t="s">
        <v>2596</v>
      </c>
      <c r="D545" s="4" t="s">
        <v>39</v>
      </c>
      <c r="E545" s="4" t="s">
        <v>2262</v>
      </c>
      <c r="F545" t="s">
        <v>2597</v>
      </c>
      <c r="G545" s="5">
        <v>0</v>
      </c>
      <c r="H545" s="5">
        <v>0</v>
      </c>
      <c r="I545" s="5">
        <v>0</v>
      </c>
      <c r="J545" s="5">
        <f t="shared" si="8"/>
        <v>0</v>
      </c>
    </row>
    <row r="546" spans="1:10" ht="15">
      <c r="A546" s="4" t="s">
        <v>2598</v>
      </c>
      <c r="B546" s="4" t="s">
        <v>2599</v>
      </c>
      <c r="C546" s="4" t="s">
        <v>1091</v>
      </c>
      <c r="D546" s="4" t="s">
        <v>2600</v>
      </c>
      <c r="E546" s="4" t="s">
        <v>2262</v>
      </c>
      <c r="F546" t="s">
        <v>2601</v>
      </c>
      <c r="G546" s="5">
        <v>0</v>
      </c>
      <c r="H546" s="5">
        <v>0</v>
      </c>
      <c r="I546" s="5">
        <v>0</v>
      </c>
      <c r="J546" s="5">
        <f t="shared" si="8"/>
        <v>0</v>
      </c>
    </row>
    <row r="547" spans="1:10" ht="15">
      <c r="A547" s="4" t="s">
        <v>2602</v>
      </c>
      <c r="B547" s="4" t="s">
        <v>2054</v>
      </c>
      <c r="C547" s="4" t="s">
        <v>2603</v>
      </c>
      <c r="D547" s="4" t="s">
        <v>2604</v>
      </c>
      <c r="E547" s="4" t="s">
        <v>2262</v>
      </c>
      <c r="F547" t="s">
        <v>2605</v>
      </c>
      <c r="G547" s="5">
        <v>0</v>
      </c>
      <c r="H547" s="5">
        <v>0</v>
      </c>
      <c r="I547" s="5">
        <v>0</v>
      </c>
      <c r="J547" s="5">
        <f t="shared" si="8"/>
        <v>0</v>
      </c>
    </row>
    <row r="548" spans="1:10" ht="15">
      <c r="A548" s="4" t="s">
        <v>2606</v>
      </c>
      <c r="B548" s="4" t="s">
        <v>2607</v>
      </c>
      <c r="C548" s="4" t="s">
        <v>2608</v>
      </c>
      <c r="D548" s="4" t="s">
        <v>2609</v>
      </c>
      <c r="E548" s="4" t="s">
        <v>2550</v>
      </c>
      <c r="F548" t="s">
        <v>2610</v>
      </c>
      <c r="G548" s="5">
        <v>0</v>
      </c>
      <c r="H548" s="5">
        <v>0</v>
      </c>
      <c r="I548" s="5">
        <v>0</v>
      </c>
      <c r="J548" s="5">
        <f t="shared" si="8"/>
        <v>0</v>
      </c>
    </row>
    <row r="549" spans="1:10" ht="15">
      <c r="A549" s="4" t="s">
        <v>2611</v>
      </c>
      <c r="B549" s="4" t="s">
        <v>717</v>
      </c>
      <c r="C549" s="4" t="s">
        <v>2612</v>
      </c>
      <c r="D549" s="4" t="s">
        <v>1459</v>
      </c>
      <c r="E549" s="4" t="s">
        <v>2550</v>
      </c>
      <c r="F549" t="s">
        <v>2613</v>
      </c>
      <c r="G549" s="5">
        <v>0</v>
      </c>
      <c r="H549" s="5">
        <v>0</v>
      </c>
      <c r="I549" s="5">
        <v>0</v>
      </c>
      <c r="J549" s="5">
        <f t="shared" si="8"/>
        <v>0</v>
      </c>
    </row>
    <row r="550" spans="1:10" ht="15">
      <c r="A550" s="4" t="s">
        <v>2614</v>
      </c>
      <c r="B550" s="4" t="s">
        <v>225</v>
      </c>
      <c r="C550" s="4" t="s">
        <v>2615</v>
      </c>
      <c r="D550" s="4" t="s">
        <v>993</v>
      </c>
      <c r="E550" s="4" t="s">
        <v>2550</v>
      </c>
      <c r="F550" t="s">
        <v>2616</v>
      </c>
      <c r="G550" s="5">
        <v>0</v>
      </c>
      <c r="H550" s="5">
        <v>0</v>
      </c>
      <c r="I550" s="5">
        <v>0</v>
      </c>
      <c r="J550" s="5">
        <f t="shared" si="8"/>
        <v>0</v>
      </c>
    </row>
    <row r="551" spans="1:10" ht="15">
      <c r="A551" s="4" t="s">
        <v>2617</v>
      </c>
      <c r="B551" s="4" t="s">
        <v>27</v>
      </c>
      <c r="C551" s="4" t="s">
        <v>2618</v>
      </c>
      <c r="D551" s="4" t="s">
        <v>2619</v>
      </c>
      <c r="E551" s="4" t="s">
        <v>2550</v>
      </c>
      <c r="F551" t="s">
        <v>2620</v>
      </c>
      <c r="G551" s="5">
        <v>715.25</v>
      </c>
      <c r="H551" s="5">
        <v>0</v>
      </c>
      <c r="I551" s="5">
        <v>0</v>
      </c>
      <c r="J551" s="5">
        <f t="shared" si="8"/>
        <v>715.25</v>
      </c>
    </row>
    <row r="552" spans="1:10" ht="15">
      <c r="A552" s="4" t="s">
        <v>2621</v>
      </c>
      <c r="B552" s="4" t="s">
        <v>2622</v>
      </c>
      <c r="C552" s="4" t="s">
        <v>2623</v>
      </c>
      <c r="D552" s="4" t="s">
        <v>2624</v>
      </c>
      <c r="E552" s="4" t="s">
        <v>2550</v>
      </c>
      <c r="F552" t="s">
        <v>2625</v>
      </c>
      <c r="G552" s="5">
        <v>369.16</v>
      </c>
      <c r="H552" s="5">
        <v>0</v>
      </c>
      <c r="I552" s="5">
        <v>0</v>
      </c>
      <c r="J552" s="5">
        <f t="shared" si="8"/>
        <v>369.16</v>
      </c>
    </row>
    <row r="553" spans="1:10" ht="15">
      <c r="A553" s="4" t="s">
        <v>2626</v>
      </c>
      <c r="B553" s="4" t="s">
        <v>2627</v>
      </c>
      <c r="C553" s="4" t="s">
        <v>728</v>
      </c>
      <c r="D553" s="4" t="s">
        <v>2628</v>
      </c>
      <c r="E553" s="4" t="s">
        <v>2550</v>
      </c>
      <c r="F553" t="s">
        <v>2629</v>
      </c>
      <c r="G553" s="5">
        <v>299.94</v>
      </c>
      <c r="H553" s="5">
        <v>0</v>
      </c>
      <c r="I553" s="5">
        <v>0</v>
      </c>
      <c r="J553" s="5">
        <f t="shared" si="8"/>
        <v>299.94</v>
      </c>
    </row>
    <row r="554" spans="1:10" ht="15">
      <c r="A554" s="4" t="s">
        <v>2630</v>
      </c>
      <c r="B554" s="4" t="s">
        <v>2631</v>
      </c>
      <c r="C554" s="4" t="s">
        <v>2632</v>
      </c>
      <c r="D554" s="4" t="s">
        <v>993</v>
      </c>
      <c r="E554" s="4" t="s">
        <v>2550</v>
      </c>
      <c r="F554" t="s">
        <v>2633</v>
      </c>
      <c r="G554" s="5">
        <v>0</v>
      </c>
      <c r="H554" s="5">
        <v>0</v>
      </c>
      <c r="I554" s="5">
        <v>0</v>
      </c>
      <c r="J554" s="5">
        <f t="shared" si="8"/>
        <v>0</v>
      </c>
    </row>
    <row r="555" spans="1:10" ht="15">
      <c r="A555" s="4" t="s">
        <v>2634</v>
      </c>
      <c r="B555" s="4" t="s">
        <v>775</v>
      </c>
      <c r="C555" s="4" t="s">
        <v>2635</v>
      </c>
      <c r="D555" s="4" t="s">
        <v>2636</v>
      </c>
      <c r="E555" s="4" t="s">
        <v>2550</v>
      </c>
      <c r="F555" t="s">
        <v>2637</v>
      </c>
      <c r="G555" s="5">
        <v>646.03</v>
      </c>
      <c r="H555" s="5">
        <v>0</v>
      </c>
      <c r="I555" s="5">
        <v>0</v>
      </c>
      <c r="J555" s="5">
        <f t="shared" si="8"/>
        <v>646.03</v>
      </c>
    </row>
    <row r="556" spans="1:10" ht="15">
      <c r="A556" s="4" t="s">
        <v>2638</v>
      </c>
      <c r="B556" s="4" t="s">
        <v>2639</v>
      </c>
      <c r="C556" s="4" t="s">
        <v>2640</v>
      </c>
      <c r="D556" s="4" t="s">
        <v>2641</v>
      </c>
      <c r="E556" s="4" t="s">
        <v>2642</v>
      </c>
      <c r="F556" t="s">
        <v>2643</v>
      </c>
      <c r="G556" s="5">
        <v>0</v>
      </c>
      <c r="H556" s="5">
        <v>0</v>
      </c>
      <c r="I556" s="5">
        <v>0</v>
      </c>
      <c r="J556" s="5">
        <f t="shared" si="8"/>
        <v>0</v>
      </c>
    </row>
    <row r="557" spans="1:10" ht="15">
      <c r="A557" s="4" t="s">
        <v>2644</v>
      </c>
      <c r="B557" s="4" t="s">
        <v>2645</v>
      </c>
      <c r="C557" s="4" t="s">
        <v>2646</v>
      </c>
      <c r="D557" s="4" t="s">
        <v>993</v>
      </c>
      <c r="E557" s="4" t="s">
        <v>2647</v>
      </c>
      <c r="F557" t="s">
        <v>2648</v>
      </c>
      <c r="G557" s="5">
        <v>311.48</v>
      </c>
      <c r="H557" s="5">
        <v>0</v>
      </c>
      <c r="I557" s="5">
        <v>0</v>
      </c>
      <c r="J557" s="5">
        <f t="shared" si="8"/>
        <v>311.48</v>
      </c>
    </row>
    <row r="558" spans="1:10" ht="15">
      <c r="A558" s="4" t="s">
        <v>2649</v>
      </c>
      <c r="B558" s="4" t="s">
        <v>2650</v>
      </c>
      <c r="C558" s="4" t="s">
        <v>2651</v>
      </c>
      <c r="D558" s="4" t="s">
        <v>2652</v>
      </c>
      <c r="E558" s="4" t="s">
        <v>2653</v>
      </c>
      <c r="F558" t="s">
        <v>2654</v>
      </c>
      <c r="G558" s="5">
        <v>692.18</v>
      </c>
      <c r="H558" s="5">
        <v>0</v>
      </c>
      <c r="I558" s="5">
        <v>0</v>
      </c>
      <c r="J558" s="5">
        <f t="shared" si="8"/>
        <v>692.18</v>
      </c>
    </row>
    <row r="559" spans="1:10" ht="15">
      <c r="A559" s="4" t="s">
        <v>2655</v>
      </c>
      <c r="B559" s="4" t="s">
        <v>2656</v>
      </c>
      <c r="C559" s="4" t="s">
        <v>2657</v>
      </c>
      <c r="D559" s="4" t="s">
        <v>2658</v>
      </c>
      <c r="E559" s="4" t="s">
        <v>2659</v>
      </c>
      <c r="F559" t="s">
        <v>2660</v>
      </c>
      <c r="G559" s="5">
        <v>530.66999999999996</v>
      </c>
      <c r="H559" s="5">
        <v>0</v>
      </c>
      <c r="I559" s="5">
        <v>0</v>
      </c>
      <c r="J559" s="5">
        <f t="shared" si="8"/>
        <v>530.66999999999996</v>
      </c>
    </row>
    <row r="560" spans="1:10" ht="15">
      <c r="A560" s="4" t="s">
        <v>2661</v>
      </c>
      <c r="B560" s="4" t="s">
        <v>2662</v>
      </c>
      <c r="C560" s="4" t="s">
        <v>2663</v>
      </c>
      <c r="D560" s="4" t="s">
        <v>2664</v>
      </c>
      <c r="E560" s="4" t="s">
        <v>2665</v>
      </c>
      <c r="F560" t="s">
        <v>2666</v>
      </c>
      <c r="G560" s="5">
        <v>0</v>
      </c>
      <c r="H560" s="5">
        <v>0</v>
      </c>
      <c r="I560" s="5">
        <v>0</v>
      </c>
      <c r="J560" s="5">
        <f t="shared" si="8"/>
        <v>0</v>
      </c>
    </row>
    <row r="561" spans="1:10" ht="15">
      <c r="A561" s="4" t="s">
        <v>2667</v>
      </c>
      <c r="B561" s="4" t="s">
        <v>2668</v>
      </c>
      <c r="C561" s="4" t="s">
        <v>2669</v>
      </c>
      <c r="D561" s="4" t="s">
        <v>2670</v>
      </c>
      <c r="E561" s="4" t="s">
        <v>2665</v>
      </c>
      <c r="F561" t="s">
        <v>2671</v>
      </c>
      <c r="G561" s="5">
        <v>0</v>
      </c>
      <c r="H561" s="5">
        <v>0</v>
      </c>
      <c r="I561" s="5">
        <v>0</v>
      </c>
      <c r="J561" s="5">
        <f t="shared" si="8"/>
        <v>0</v>
      </c>
    </row>
    <row r="562" spans="1:10" ht="15">
      <c r="A562" s="4" t="s">
        <v>2672</v>
      </c>
      <c r="B562" s="4" t="s">
        <v>2673</v>
      </c>
      <c r="C562" s="4" t="s">
        <v>2674</v>
      </c>
      <c r="D562" s="4" t="s">
        <v>141</v>
      </c>
      <c r="E562" s="4" t="s">
        <v>2675</v>
      </c>
      <c r="F562" t="s">
        <v>2676</v>
      </c>
      <c r="G562" s="5">
        <v>692.18</v>
      </c>
      <c r="H562" s="5">
        <v>0</v>
      </c>
      <c r="I562" s="5">
        <v>0</v>
      </c>
      <c r="J562" s="5">
        <f t="shared" si="8"/>
        <v>692.18</v>
      </c>
    </row>
    <row r="563" spans="1:10" ht="15">
      <c r="A563" s="4" t="s">
        <v>2677</v>
      </c>
      <c r="B563" s="4" t="s">
        <v>223</v>
      </c>
      <c r="C563" s="4" t="s">
        <v>2678</v>
      </c>
      <c r="D563" s="4" t="s">
        <v>2679</v>
      </c>
      <c r="E563" s="4" t="s">
        <v>2675</v>
      </c>
      <c r="F563" t="s">
        <v>2680</v>
      </c>
      <c r="G563" s="5">
        <v>0</v>
      </c>
      <c r="H563" s="5">
        <v>0</v>
      </c>
      <c r="I563" s="5">
        <v>0</v>
      </c>
      <c r="J563" s="5">
        <f t="shared" si="8"/>
        <v>0</v>
      </c>
    </row>
    <row r="564" spans="1:10" ht="15">
      <c r="A564" s="4" t="s">
        <v>2681</v>
      </c>
      <c r="B564" s="4" t="s">
        <v>2682</v>
      </c>
      <c r="C564" s="4" t="s">
        <v>2683</v>
      </c>
      <c r="D564" s="4" t="s">
        <v>2684</v>
      </c>
      <c r="E564" s="4" t="s">
        <v>2675</v>
      </c>
      <c r="F564" t="s">
        <v>2685</v>
      </c>
      <c r="G564" s="5">
        <v>392.23</v>
      </c>
      <c r="H564" s="5">
        <v>0</v>
      </c>
      <c r="I564" s="5">
        <v>0</v>
      </c>
      <c r="J564" s="5">
        <f t="shared" si="8"/>
        <v>392.23</v>
      </c>
    </row>
    <row r="565" spans="1:10" ht="15">
      <c r="A565" s="4" t="s">
        <v>2686</v>
      </c>
      <c r="B565" s="4" t="s">
        <v>2687</v>
      </c>
      <c r="C565" s="4" t="s">
        <v>2688</v>
      </c>
      <c r="D565" s="4" t="s">
        <v>2689</v>
      </c>
      <c r="E565" s="4" t="s">
        <v>2690</v>
      </c>
      <c r="F565" t="s">
        <v>2691</v>
      </c>
      <c r="G565" s="5">
        <v>0</v>
      </c>
      <c r="H565" s="5">
        <v>0</v>
      </c>
      <c r="I565" s="5">
        <v>0</v>
      </c>
      <c r="J565" s="5">
        <f t="shared" si="8"/>
        <v>0</v>
      </c>
    </row>
    <row r="566" spans="1:10" ht="15">
      <c r="A566" s="4" t="s">
        <v>2692</v>
      </c>
      <c r="B566" s="4" t="s">
        <v>2693</v>
      </c>
      <c r="C566" s="4" t="s">
        <v>2694</v>
      </c>
      <c r="D566" s="4" t="s">
        <v>2695</v>
      </c>
      <c r="E566" s="4" t="s">
        <v>2690</v>
      </c>
      <c r="F566" t="s">
        <v>2696</v>
      </c>
      <c r="G566" s="5">
        <v>622.96</v>
      </c>
      <c r="H566" s="5">
        <v>0</v>
      </c>
      <c r="I566" s="5">
        <v>0</v>
      </c>
      <c r="J566" s="5">
        <f t="shared" si="8"/>
        <v>622.96</v>
      </c>
    </row>
    <row r="567" spans="1:10" ht="15">
      <c r="A567" s="4" t="s">
        <v>2697</v>
      </c>
      <c r="B567" s="4" t="s">
        <v>1569</v>
      </c>
      <c r="C567" s="4" t="s">
        <v>2698</v>
      </c>
      <c r="D567" s="4" t="s">
        <v>2699</v>
      </c>
      <c r="E567" s="4" t="s">
        <v>2690</v>
      </c>
      <c r="F567" t="s">
        <v>2700</v>
      </c>
      <c r="G567" s="5">
        <v>357.63</v>
      </c>
      <c r="H567" s="5">
        <v>0</v>
      </c>
      <c r="I567" s="5">
        <v>0</v>
      </c>
      <c r="J567" s="5">
        <f t="shared" si="8"/>
        <v>357.63</v>
      </c>
    </row>
    <row r="568" spans="1:10" ht="15">
      <c r="A568" s="4" t="s">
        <v>2701</v>
      </c>
      <c r="B568" s="4" t="s">
        <v>2702</v>
      </c>
      <c r="C568" s="4" t="s">
        <v>2703</v>
      </c>
      <c r="D568" s="4" t="s">
        <v>2704</v>
      </c>
      <c r="E568" s="4" t="s">
        <v>2690</v>
      </c>
      <c r="F568" t="s">
        <v>2705</v>
      </c>
      <c r="G568" s="5">
        <v>0</v>
      </c>
      <c r="H568" s="5">
        <v>0</v>
      </c>
      <c r="I568" s="5">
        <v>0</v>
      </c>
      <c r="J568" s="5">
        <f t="shared" si="8"/>
        <v>0</v>
      </c>
    </row>
    <row r="569" spans="1:10" ht="15">
      <c r="A569" s="4" t="s">
        <v>2706</v>
      </c>
      <c r="B569" s="4" t="s">
        <v>2707</v>
      </c>
      <c r="C569" s="4" t="s">
        <v>2569</v>
      </c>
      <c r="D569" s="4" t="s">
        <v>755</v>
      </c>
      <c r="E569" s="4" t="s">
        <v>2690</v>
      </c>
      <c r="F569" t="s">
        <v>2708</v>
      </c>
      <c r="G569" s="5">
        <v>0</v>
      </c>
      <c r="H569" s="5">
        <v>0</v>
      </c>
      <c r="I569" s="5">
        <v>0</v>
      </c>
      <c r="J569" s="5">
        <f t="shared" si="8"/>
        <v>0</v>
      </c>
    </row>
    <row r="570" spans="1:10" ht="15">
      <c r="A570" s="4" t="s">
        <v>2709</v>
      </c>
      <c r="B570" s="4" t="s">
        <v>2710</v>
      </c>
      <c r="C570" s="4" t="s">
        <v>2711</v>
      </c>
      <c r="D570" s="4" t="s">
        <v>638</v>
      </c>
      <c r="E570" s="4" t="s">
        <v>2690</v>
      </c>
      <c r="F570" t="s">
        <v>2712</v>
      </c>
      <c r="G570" s="5">
        <v>0</v>
      </c>
      <c r="H570" s="5">
        <v>0</v>
      </c>
      <c r="I570" s="5">
        <v>0</v>
      </c>
      <c r="J570" s="5">
        <f t="shared" si="8"/>
        <v>0</v>
      </c>
    </row>
    <row r="571" spans="1:10" ht="15">
      <c r="A571" s="4" t="s">
        <v>2713</v>
      </c>
      <c r="B571" s="4" t="s">
        <v>2714</v>
      </c>
      <c r="C571" s="4" t="s">
        <v>2715</v>
      </c>
      <c r="D571" s="4" t="s">
        <v>622</v>
      </c>
      <c r="E571" s="4" t="s">
        <v>2690</v>
      </c>
      <c r="F571" t="s">
        <v>2716</v>
      </c>
      <c r="G571" s="5">
        <v>0</v>
      </c>
      <c r="H571" s="5">
        <v>0</v>
      </c>
      <c r="I571" s="5">
        <v>0</v>
      </c>
      <c r="J571" s="5">
        <f t="shared" si="8"/>
        <v>0</v>
      </c>
    </row>
    <row r="572" spans="1:10" ht="15">
      <c r="A572" s="4" t="s">
        <v>2717</v>
      </c>
      <c r="B572" s="4" t="s">
        <v>2718</v>
      </c>
      <c r="C572" s="4" t="s">
        <v>2719</v>
      </c>
      <c r="D572" s="4" t="s">
        <v>2720</v>
      </c>
      <c r="E572" s="4" t="s">
        <v>2690</v>
      </c>
      <c r="F572" t="s">
        <v>2721</v>
      </c>
      <c r="G572" s="5">
        <v>346.09</v>
      </c>
      <c r="H572" s="5">
        <v>0</v>
      </c>
      <c r="I572" s="5">
        <v>0</v>
      </c>
      <c r="J572" s="5">
        <f t="shared" si="8"/>
        <v>346.09</v>
      </c>
    </row>
    <row r="573" spans="1:10" ht="15">
      <c r="A573" s="4" t="s">
        <v>2722</v>
      </c>
      <c r="B573" s="4" t="s">
        <v>2723</v>
      </c>
      <c r="C573" s="4" t="s">
        <v>2724</v>
      </c>
      <c r="D573" s="4" t="s">
        <v>2725</v>
      </c>
      <c r="E573" s="4" t="s">
        <v>2690</v>
      </c>
      <c r="F573" t="s">
        <v>2726</v>
      </c>
      <c r="G573" s="5">
        <v>346.09</v>
      </c>
      <c r="H573" s="5">
        <v>0</v>
      </c>
      <c r="I573" s="5">
        <v>0</v>
      </c>
      <c r="J573" s="5">
        <f t="shared" si="8"/>
        <v>346.09</v>
      </c>
    </row>
    <row r="574" spans="1:10" ht="15">
      <c r="A574" s="4" t="s">
        <v>2727</v>
      </c>
      <c r="B574" s="4" t="s">
        <v>2728</v>
      </c>
      <c r="C574" s="4" t="s">
        <v>2729</v>
      </c>
      <c r="D574" s="4" t="s">
        <v>2609</v>
      </c>
      <c r="E574" s="4" t="s">
        <v>2690</v>
      </c>
      <c r="F574" t="s">
        <v>2730</v>
      </c>
      <c r="G574" s="5">
        <v>323.02</v>
      </c>
      <c r="H574" s="5">
        <v>0</v>
      </c>
      <c r="I574" s="5">
        <v>0</v>
      </c>
      <c r="J574" s="5">
        <f t="shared" si="8"/>
        <v>323.02</v>
      </c>
    </row>
    <row r="575" spans="1:10" ht="15">
      <c r="A575" s="4" t="s">
        <v>2731</v>
      </c>
      <c r="B575" s="4" t="s">
        <v>2732</v>
      </c>
      <c r="C575" s="4" t="s">
        <v>2733</v>
      </c>
      <c r="D575" s="4" t="s">
        <v>2734</v>
      </c>
      <c r="E575" s="4" t="s">
        <v>2690</v>
      </c>
      <c r="F575" t="s">
        <v>2735</v>
      </c>
      <c r="G575" s="5">
        <v>311.48</v>
      </c>
      <c r="H575" s="5">
        <v>0</v>
      </c>
      <c r="I575" s="5">
        <v>0</v>
      </c>
      <c r="J575" s="5">
        <f t="shared" si="8"/>
        <v>311.48</v>
      </c>
    </row>
    <row r="576" spans="1:10" ht="15">
      <c r="A576" s="4" t="s">
        <v>2736</v>
      </c>
      <c r="B576" s="4" t="s">
        <v>2737</v>
      </c>
      <c r="C576" s="4" t="s">
        <v>2738</v>
      </c>
      <c r="D576" s="4" t="s">
        <v>2739</v>
      </c>
      <c r="E576" s="4" t="s">
        <v>2690</v>
      </c>
      <c r="F576" t="s">
        <v>2740</v>
      </c>
      <c r="G576" s="5">
        <v>0</v>
      </c>
      <c r="H576" s="5">
        <v>0</v>
      </c>
      <c r="I576" s="5">
        <v>0</v>
      </c>
      <c r="J576" s="5">
        <f t="shared" si="8"/>
        <v>0</v>
      </c>
    </row>
    <row r="577" spans="1:10" ht="15">
      <c r="A577" s="4" t="s">
        <v>2741</v>
      </c>
      <c r="B577" s="4" t="s">
        <v>2742</v>
      </c>
      <c r="C577" s="4" t="s">
        <v>2743</v>
      </c>
      <c r="D577" s="4" t="s">
        <v>2744</v>
      </c>
      <c r="E577" s="4" t="s">
        <v>2690</v>
      </c>
      <c r="F577" t="s">
        <v>2745</v>
      </c>
      <c r="G577" s="5">
        <v>0</v>
      </c>
      <c r="H577" s="5">
        <v>0</v>
      </c>
      <c r="I577" s="5">
        <v>0</v>
      </c>
      <c r="J577" s="5">
        <f t="shared" si="8"/>
        <v>0</v>
      </c>
    </row>
    <row r="578" spans="1:10" ht="15">
      <c r="A578" s="4" t="s">
        <v>2746</v>
      </c>
      <c r="B578" s="4" t="s">
        <v>39</v>
      </c>
      <c r="C578" s="4" t="s">
        <v>1846</v>
      </c>
      <c r="D578" s="4" t="s">
        <v>2747</v>
      </c>
      <c r="E578" s="4" t="s">
        <v>2690</v>
      </c>
      <c r="F578" t="s">
        <v>2748</v>
      </c>
      <c r="G578" s="5">
        <v>0</v>
      </c>
      <c r="H578" s="5">
        <v>0</v>
      </c>
      <c r="I578" s="5">
        <v>0</v>
      </c>
      <c r="J578" s="5">
        <f t="shared" si="8"/>
        <v>0</v>
      </c>
    </row>
    <row r="579" spans="1:10" ht="15">
      <c r="A579" s="4" t="s">
        <v>2749</v>
      </c>
      <c r="B579" s="4" t="s">
        <v>2750</v>
      </c>
      <c r="C579" s="4" t="s">
        <v>2751</v>
      </c>
      <c r="D579" s="4" t="s">
        <v>2752</v>
      </c>
      <c r="E579" s="4" t="s">
        <v>2690</v>
      </c>
      <c r="F579" t="s">
        <v>2753</v>
      </c>
      <c r="G579" s="5">
        <v>323.02</v>
      </c>
      <c r="H579" s="5">
        <v>0</v>
      </c>
      <c r="I579" s="5">
        <v>0</v>
      </c>
      <c r="J579" s="5">
        <f t="shared" si="8"/>
        <v>323.02</v>
      </c>
    </row>
    <row r="580" spans="1:10" ht="15">
      <c r="A580" s="4" t="s">
        <v>2754</v>
      </c>
      <c r="B580" s="4" t="s">
        <v>2755</v>
      </c>
      <c r="C580" s="4" t="s">
        <v>2756</v>
      </c>
      <c r="D580" s="4" t="s">
        <v>2757</v>
      </c>
      <c r="E580" s="4" t="s">
        <v>2690</v>
      </c>
      <c r="F580" t="s">
        <v>2758</v>
      </c>
      <c r="G580" s="5">
        <v>669.35</v>
      </c>
      <c r="H580" s="5">
        <v>0</v>
      </c>
      <c r="I580" s="5">
        <v>0</v>
      </c>
      <c r="J580" s="5">
        <f t="shared" si="8"/>
        <v>669.35</v>
      </c>
    </row>
    <row r="581" spans="1:10" ht="15">
      <c r="A581" s="4" t="s">
        <v>2759</v>
      </c>
      <c r="B581" s="4" t="s">
        <v>2760</v>
      </c>
      <c r="C581" s="4" t="s">
        <v>2761</v>
      </c>
      <c r="D581" s="4" t="s">
        <v>2762</v>
      </c>
      <c r="E581" s="4" t="s">
        <v>2690</v>
      </c>
      <c r="F581" t="s">
        <v>2763</v>
      </c>
      <c r="G581" s="5">
        <v>0</v>
      </c>
      <c r="H581" s="5">
        <v>0</v>
      </c>
      <c r="I581" s="5">
        <v>0</v>
      </c>
      <c r="J581" s="5">
        <f t="shared" si="8"/>
        <v>0</v>
      </c>
    </row>
    <row r="582" spans="1:10" ht="15">
      <c r="A582" s="4" t="s">
        <v>2764</v>
      </c>
      <c r="B582" s="4" t="s">
        <v>2765</v>
      </c>
      <c r="C582" s="4" t="s">
        <v>2766</v>
      </c>
      <c r="D582" s="4" t="s">
        <v>1687</v>
      </c>
      <c r="E582" s="4" t="s">
        <v>2690</v>
      </c>
      <c r="F582" t="s">
        <v>2767</v>
      </c>
      <c r="G582" s="5">
        <v>0</v>
      </c>
      <c r="H582" s="5">
        <v>0</v>
      </c>
      <c r="I582" s="5">
        <v>0</v>
      </c>
      <c r="J582" s="5">
        <f t="shared" si="8"/>
        <v>0</v>
      </c>
    </row>
    <row r="583" spans="1:10" ht="15">
      <c r="A583" s="4" t="s">
        <v>2768</v>
      </c>
      <c r="B583" s="4" t="s">
        <v>2769</v>
      </c>
      <c r="C583" s="4" t="s">
        <v>2770</v>
      </c>
      <c r="D583" s="4" t="s">
        <v>2771</v>
      </c>
      <c r="E583" s="4" t="s">
        <v>2690</v>
      </c>
      <c r="F583" t="s">
        <v>2772</v>
      </c>
      <c r="G583" s="5">
        <v>0</v>
      </c>
      <c r="H583" s="5">
        <v>0</v>
      </c>
      <c r="I583" s="5">
        <v>0</v>
      </c>
      <c r="J583" s="5">
        <f t="shared" si="8"/>
        <v>0</v>
      </c>
    </row>
    <row r="584" spans="1:10" ht="15">
      <c r="A584" s="4" t="s">
        <v>2773</v>
      </c>
      <c r="B584" s="4" t="s">
        <v>2774</v>
      </c>
      <c r="C584" s="4" t="s">
        <v>1888</v>
      </c>
      <c r="D584" s="4" t="s">
        <v>63</v>
      </c>
      <c r="E584" s="4" t="s">
        <v>2690</v>
      </c>
      <c r="F584" t="s">
        <v>2775</v>
      </c>
      <c r="G584" s="5">
        <v>646</v>
      </c>
      <c r="H584" s="5">
        <v>0</v>
      </c>
      <c r="I584" s="5">
        <v>0</v>
      </c>
      <c r="J584" s="5">
        <f t="shared" ref="J584:J611" si="9">G584+H584+I584</f>
        <v>646</v>
      </c>
    </row>
    <row r="585" spans="1:10" ht="15">
      <c r="A585" s="4" t="s">
        <v>2776</v>
      </c>
      <c r="B585" s="4" t="s">
        <v>2777</v>
      </c>
      <c r="C585" s="4" t="s">
        <v>2778</v>
      </c>
      <c r="D585" s="4" t="s">
        <v>2779</v>
      </c>
      <c r="E585" s="4" t="s">
        <v>2690</v>
      </c>
      <c r="F585" t="s">
        <v>2780</v>
      </c>
      <c r="G585" s="5">
        <v>0</v>
      </c>
      <c r="H585" s="5">
        <v>0</v>
      </c>
      <c r="I585" s="5">
        <v>0</v>
      </c>
      <c r="J585" s="5">
        <f t="shared" si="9"/>
        <v>0</v>
      </c>
    </row>
    <row r="586" spans="1:10" ht="15">
      <c r="A586" s="4" t="s">
        <v>2781</v>
      </c>
      <c r="B586" s="4" t="s">
        <v>2782</v>
      </c>
      <c r="C586" s="4" t="s">
        <v>2783</v>
      </c>
      <c r="D586" s="4" t="s">
        <v>2784</v>
      </c>
      <c r="E586" s="4" t="s">
        <v>2690</v>
      </c>
      <c r="F586" t="s">
        <v>2785</v>
      </c>
      <c r="G586" s="5">
        <v>392.23</v>
      </c>
      <c r="H586" s="5">
        <v>0</v>
      </c>
      <c r="I586" s="5">
        <v>0</v>
      </c>
      <c r="J586" s="5">
        <f t="shared" si="9"/>
        <v>392.23</v>
      </c>
    </row>
    <row r="587" spans="1:10" ht="15">
      <c r="A587" s="4" t="s">
        <v>2786</v>
      </c>
      <c r="B587" s="4" t="s">
        <v>2787</v>
      </c>
      <c r="C587" s="4" t="s">
        <v>2788</v>
      </c>
      <c r="D587" s="4" t="s">
        <v>2789</v>
      </c>
      <c r="E587" s="4" t="s">
        <v>2690</v>
      </c>
      <c r="F587" t="s">
        <v>2790</v>
      </c>
      <c r="G587" s="5">
        <v>0</v>
      </c>
      <c r="H587" s="5">
        <v>0</v>
      </c>
      <c r="I587" s="5">
        <v>0</v>
      </c>
      <c r="J587" s="5">
        <f t="shared" si="9"/>
        <v>0</v>
      </c>
    </row>
    <row r="588" spans="1:10" ht="15">
      <c r="A588" s="4" t="s">
        <v>2791</v>
      </c>
      <c r="B588" s="4" t="s">
        <v>1494</v>
      </c>
      <c r="C588" s="4" t="s">
        <v>2792</v>
      </c>
      <c r="D588" s="4" t="s">
        <v>2714</v>
      </c>
      <c r="E588" s="4" t="s">
        <v>2690</v>
      </c>
      <c r="F588" t="s">
        <v>2793</v>
      </c>
      <c r="G588" s="5">
        <v>1000</v>
      </c>
      <c r="H588" s="5">
        <v>0</v>
      </c>
      <c r="I588" s="5">
        <v>0</v>
      </c>
      <c r="J588" s="5">
        <f t="shared" si="9"/>
        <v>1000</v>
      </c>
    </row>
    <row r="589" spans="1:10" ht="15">
      <c r="A589" s="4" t="s">
        <v>2794</v>
      </c>
      <c r="B589" s="4" t="s">
        <v>2795</v>
      </c>
      <c r="C589" s="4" t="s">
        <v>2796</v>
      </c>
      <c r="D589" s="4" t="s">
        <v>2797</v>
      </c>
      <c r="E589" s="4" t="s">
        <v>2690</v>
      </c>
      <c r="F589" t="s">
        <v>2798</v>
      </c>
      <c r="G589" s="5">
        <v>0</v>
      </c>
      <c r="H589" s="5">
        <v>0</v>
      </c>
      <c r="I589" s="5">
        <v>0</v>
      </c>
      <c r="J589" s="5">
        <f t="shared" si="9"/>
        <v>0</v>
      </c>
    </row>
    <row r="590" spans="1:10" ht="15">
      <c r="A590" s="4" t="s">
        <v>2799</v>
      </c>
      <c r="B590" s="4" t="s">
        <v>2800</v>
      </c>
      <c r="C590" s="4" t="s">
        <v>2801</v>
      </c>
      <c r="D590" s="4" t="s">
        <v>2802</v>
      </c>
      <c r="E590" s="4" t="s">
        <v>2690</v>
      </c>
      <c r="F590" t="s">
        <v>2803</v>
      </c>
      <c r="G590" s="5">
        <v>0</v>
      </c>
      <c r="H590" s="5">
        <v>0</v>
      </c>
      <c r="I590" s="5">
        <v>0</v>
      </c>
      <c r="J590" s="5">
        <f t="shared" si="9"/>
        <v>0</v>
      </c>
    </row>
    <row r="591" spans="1:10" ht="15">
      <c r="A591" s="4" t="s">
        <v>2804</v>
      </c>
      <c r="B591" s="4" t="s">
        <v>293</v>
      </c>
      <c r="C591" s="4" t="s">
        <v>2805</v>
      </c>
      <c r="D591" s="4" t="s">
        <v>2806</v>
      </c>
      <c r="E591" s="4" t="s">
        <v>2690</v>
      </c>
      <c r="F591" t="s">
        <v>2807</v>
      </c>
      <c r="G591" s="5">
        <v>0</v>
      </c>
      <c r="H591" s="5">
        <v>0</v>
      </c>
      <c r="I591" s="5">
        <v>0</v>
      </c>
      <c r="J591" s="5">
        <f t="shared" si="9"/>
        <v>0</v>
      </c>
    </row>
    <row r="592" spans="1:10" ht="15">
      <c r="A592" s="4" t="s">
        <v>2808</v>
      </c>
      <c r="B592" s="4" t="s">
        <v>816</v>
      </c>
      <c r="C592" s="4" t="s">
        <v>2809</v>
      </c>
      <c r="D592" s="4" t="s">
        <v>2810</v>
      </c>
      <c r="E592" s="4" t="s">
        <v>2690</v>
      </c>
      <c r="F592" t="s">
        <v>2811</v>
      </c>
      <c r="G592" s="5">
        <v>0</v>
      </c>
      <c r="H592" s="5">
        <v>0</v>
      </c>
      <c r="I592" s="5">
        <v>0</v>
      </c>
      <c r="J592" s="5">
        <f t="shared" si="9"/>
        <v>0</v>
      </c>
    </row>
    <row r="593" spans="1:10" ht="15">
      <c r="A593" s="4" t="s">
        <v>2812</v>
      </c>
      <c r="B593" s="4" t="s">
        <v>1254</v>
      </c>
      <c r="C593" s="4" t="s">
        <v>2813</v>
      </c>
      <c r="D593" s="4" t="s">
        <v>2814</v>
      </c>
      <c r="E593" s="4" t="s">
        <v>2690</v>
      </c>
      <c r="F593" t="s">
        <v>2815</v>
      </c>
      <c r="G593" s="5">
        <v>0</v>
      </c>
      <c r="H593" s="5">
        <v>0</v>
      </c>
      <c r="I593" s="5">
        <v>0</v>
      </c>
      <c r="J593" s="5">
        <f t="shared" si="9"/>
        <v>0</v>
      </c>
    </row>
    <row r="594" spans="1:10" ht="15">
      <c r="A594" s="4" t="s">
        <v>2816</v>
      </c>
      <c r="B594" s="4" t="s">
        <v>2817</v>
      </c>
      <c r="C594" s="4" t="s">
        <v>311</v>
      </c>
      <c r="D594" s="4" t="s">
        <v>2818</v>
      </c>
      <c r="E594" s="4" t="s">
        <v>2690</v>
      </c>
      <c r="F594" t="s">
        <v>2819</v>
      </c>
      <c r="G594" s="5">
        <v>0</v>
      </c>
      <c r="H594" s="5">
        <v>0</v>
      </c>
      <c r="I594" s="5">
        <v>0</v>
      </c>
      <c r="J594" s="5">
        <f t="shared" si="9"/>
        <v>0</v>
      </c>
    </row>
    <row r="595" spans="1:10" ht="15">
      <c r="A595" s="4" t="s">
        <v>2820</v>
      </c>
      <c r="B595" s="4" t="s">
        <v>2821</v>
      </c>
      <c r="C595" s="4" t="s">
        <v>2822</v>
      </c>
      <c r="D595" s="4" t="s">
        <v>2823</v>
      </c>
      <c r="E595" s="4" t="s">
        <v>2690</v>
      </c>
      <c r="F595" t="s">
        <v>2824</v>
      </c>
      <c r="G595" s="5">
        <v>0</v>
      </c>
      <c r="H595" s="5">
        <v>0</v>
      </c>
      <c r="I595" s="5">
        <v>0</v>
      </c>
      <c r="J595" s="5">
        <f t="shared" si="9"/>
        <v>0</v>
      </c>
    </row>
    <row r="596" spans="1:10" ht="15">
      <c r="A596" s="4" t="s">
        <v>2825</v>
      </c>
      <c r="B596" s="4" t="s">
        <v>841</v>
      </c>
      <c r="C596" s="4" t="s">
        <v>1473</v>
      </c>
      <c r="D596" s="4" t="s">
        <v>2826</v>
      </c>
      <c r="E596" s="4" t="s">
        <v>2690</v>
      </c>
      <c r="F596" t="s">
        <v>2827</v>
      </c>
      <c r="G596" s="5">
        <v>0</v>
      </c>
      <c r="H596" s="5">
        <v>0</v>
      </c>
      <c r="I596" s="5">
        <v>0</v>
      </c>
      <c r="J596" s="5">
        <f t="shared" si="9"/>
        <v>0</v>
      </c>
    </row>
    <row r="597" spans="1:10" ht="15">
      <c r="A597" s="4" t="s">
        <v>2828</v>
      </c>
      <c r="B597" s="4" t="s">
        <v>2829</v>
      </c>
      <c r="C597" s="4" t="s">
        <v>2830</v>
      </c>
      <c r="D597" s="4" t="s">
        <v>2831</v>
      </c>
      <c r="E597" s="4" t="s">
        <v>2690</v>
      </c>
      <c r="F597" t="s">
        <v>2832</v>
      </c>
      <c r="G597" s="5">
        <v>0</v>
      </c>
      <c r="H597" s="5">
        <v>0</v>
      </c>
      <c r="I597" s="5">
        <v>0</v>
      </c>
      <c r="J597" s="5">
        <f t="shared" si="9"/>
        <v>0</v>
      </c>
    </row>
    <row r="598" spans="1:10" ht="15">
      <c r="A598" s="4" t="s">
        <v>2833</v>
      </c>
      <c r="B598" s="4" t="s">
        <v>2834</v>
      </c>
      <c r="C598" s="4" t="s">
        <v>2835</v>
      </c>
      <c r="D598" s="4" t="s">
        <v>2836</v>
      </c>
      <c r="E598" s="4" t="s">
        <v>2690</v>
      </c>
      <c r="F598" t="s">
        <v>2837</v>
      </c>
      <c r="G598" s="5">
        <v>0</v>
      </c>
      <c r="H598" s="5">
        <v>0</v>
      </c>
      <c r="I598" s="5">
        <v>0</v>
      </c>
      <c r="J598" s="5">
        <f t="shared" si="9"/>
        <v>0</v>
      </c>
    </row>
    <row r="599" spans="1:10" ht="15">
      <c r="A599" s="4" t="s">
        <v>2838</v>
      </c>
      <c r="B599" s="4" t="s">
        <v>2839</v>
      </c>
      <c r="C599" s="4" t="s">
        <v>2840</v>
      </c>
      <c r="D599" s="4" t="s">
        <v>2841</v>
      </c>
      <c r="E599" s="4" t="s">
        <v>2690</v>
      </c>
      <c r="F599" t="s">
        <v>2842</v>
      </c>
      <c r="G599" s="5">
        <v>0</v>
      </c>
      <c r="H599" s="5">
        <v>0</v>
      </c>
      <c r="I599" s="5">
        <v>0</v>
      </c>
      <c r="J599" s="5">
        <f t="shared" si="9"/>
        <v>0</v>
      </c>
    </row>
    <row r="600" spans="1:10" ht="15">
      <c r="A600" s="4" t="s">
        <v>2843</v>
      </c>
      <c r="B600" s="4" t="s">
        <v>2844</v>
      </c>
      <c r="C600" s="4" t="s">
        <v>2845</v>
      </c>
      <c r="D600" s="4" t="s">
        <v>2846</v>
      </c>
      <c r="E600" s="4" t="s">
        <v>2690</v>
      </c>
      <c r="F600" t="s">
        <v>2847</v>
      </c>
      <c r="G600" s="5">
        <v>0</v>
      </c>
      <c r="H600" s="5">
        <v>0</v>
      </c>
      <c r="I600" s="5">
        <v>0</v>
      </c>
      <c r="J600" s="5">
        <f t="shared" si="9"/>
        <v>0</v>
      </c>
    </row>
    <row r="601" spans="1:10" ht="15">
      <c r="A601" s="4" t="s">
        <v>2848</v>
      </c>
      <c r="B601" s="4" t="s">
        <v>2849</v>
      </c>
      <c r="C601" s="4" t="s">
        <v>2850</v>
      </c>
      <c r="D601" s="4" t="s">
        <v>2851</v>
      </c>
      <c r="E601" s="4" t="s">
        <v>2690</v>
      </c>
      <c r="F601" t="s">
        <v>2852</v>
      </c>
      <c r="G601" s="5">
        <v>0</v>
      </c>
      <c r="H601" s="5">
        <v>0</v>
      </c>
      <c r="I601" s="5">
        <v>0</v>
      </c>
      <c r="J601" s="5">
        <f t="shared" si="9"/>
        <v>0</v>
      </c>
    </row>
    <row r="602" spans="1:10" ht="15">
      <c r="A602" s="4" t="s">
        <v>2853</v>
      </c>
      <c r="B602" s="4" t="s">
        <v>2854</v>
      </c>
      <c r="C602" s="4" t="s">
        <v>2855</v>
      </c>
      <c r="D602" s="4" t="s">
        <v>2856</v>
      </c>
      <c r="E602" s="4" t="s">
        <v>2690</v>
      </c>
      <c r="F602" t="s">
        <v>2857</v>
      </c>
      <c r="G602" s="5">
        <v>0</v>
      </c>
      <c r="H602" s="5">
        <v>0</v>
      </c>
      <c r="I602" s="5">
        <v>0</v>
      </c>
      <c r="J602" s="5">
        <f t="shared" si="9"/>
        <v>0</v>
      </c>
    </row>
    <row r="603" spans="1:10" ht="15">
      <c r="A603" s="4" t="s">
        <v>2858</v>
      </c>
      <c r="B603" s="4" t="s">
        <v>2859</v>
      </c>
      <c r="C603" s="4" t="s">
        <v>2860</v>
      </c>
      <c r="D603" s="4" t="s">
        <v>1584</v>
      </c>
      <c r="E603" s="4" t="s">
        <v>2690</v>
      </c>
      <c r="F603" t="s">
        <v>2861</v>
      </c>
      <c r="G603" s="5">
        <v>0</v>
      </c>
      <c r="H603" s="5">
        <v>0</v>
      </c>
      <c r="I603" s="5">
        <v>0</v>
      </c>
      <c r="J603" s="5">
        <f t="shared" si="9"/>
        <v>0</v>
      </c>
    </row>
    <row r="604" spans="1:10" ht="15">
      <c r="A604" s="4" t="s">
        <v>2862</v>
      </c>
      <c r="B604" s="4" t="s">
        <v>2863</v>
      </c>
      <c r="C604" s="4" t="s">
        <v>2864</v>
      </c>
      <c r="D604" s="4" t="s">
        <v>2865</v>
      </c>
      <c r="E604" s="4" t="s">
        <v>2690</v>
      </c>
      <c r="F604" t="s">
        <v>2866</v>
      </c>
      <c r="G604" s="5">
        <v>0</v>
      </c>
      <c r="H604" s="5">
        <v>0</v>
      </c>
      <c r="I604" s="5">
        <v>0</v>
      </c>
      <c r="J604" s="5">
        <f t="shared" si="9"/>
        <v>0</v>
      </c>
    </row>
    <row r="605" spans="1:10" ht="15">
      <c r="A605" s="4" t="s">
        <v>2867</v>
      </c>
      <c r="B605" s="4" t="s">
        <v>2868</v>
      </c>
      <c r="C605" s="4" t="s">
        <v>340</v>
      </c>
      <c r="D605" s="4" t="s">
        <v>2869</v>
      </c>
      <c r="E605" s="4" t="s">
        <v>2690</v>
      </c>
      <c r="F605" t="s">
        <v>2870</v>
      </c>
      <c r="G605" s="5">
        <v>0</v>
      </c>
      <c r="H605" s="5">
        <v>0</v>
      </c>
      <c r="I605" s="5">
        <v>0</v>
      </c>
      <c r="J605" s="5">
        <f t="shared" si="9"/>
        <v>0</v>
      </c>
    </row>
    <row r="606" spans="1:10" ht="15">
      <c r="A606" s="4" t="s">
        <v>2871</v>
      </c>
      <c r="B606" s="4" t="s">
        <v>2872</v>
      </c>
      <c r="C606" s="4" t="s">
        <v>1505</v>
      </c>
      <c r="D606" s="4" t="s">
        <v>841</v>
      </c>
      <c r="E606" s="4" t="s">
        <v>2873</v>
      </c>
      <c r="F606" t="s">
        <v>2874</v>
      </c>
      <c r="G606" s="5">
        <v>250</v>
      </c>
      <c r="H606" s="5">
        <v>0</v>
      </c>
      <c r="I606" s="5">
        <v>0</v>
      </c>
      <c r="J606" s="5">
        <f t="shared" si="9"/>
        <v>250</v>
      </c>
    </row>
    <row r="607" spans="1:10" ht="15">
      <c r="A607" s="4" t="s">
        <v>2875</v>
      </c>
      <c r="B607" s="4" t="s">
        <v>2876</v>
      </c>
      <c r="C607" s="4" t="s">
        <v>2877</v>
      </c>
      <c r="D607" s="4" t="s">
        <v>2878</v>
      </c>
      <c r="E607" s="4" t="s">
        <v>2873</v>
      </c>
      <c r="F607" t="s">
        <v>2879</v>
      </c>
      <c r="G607" s="5">
        <v>0</v>
      </c>
      <c r="H607" s="5">
        <v>0</v>
      </c>
      <c r="I607" s="5">
        <v>0</v>
      </c>
      <c r="J607" s="5">
        <f t="shared" si="9"/>
        <v>0</v>
      </c>
    </row>
    <row r="608" spans="1:10" ht="15">
      <c r="A608" s="4" t="s">
        <v>2880</v>
      </c>
      <c r="B608" s="4" t="s">
        <v>2881</v>
      </c>
      <c r="C608" s="4" t="s">
        <v>2882</v>
      </c>
      <c r="D608" s="4" t="s">
        <v>1687</v>
      </c>
      <c r="E608" s="4" t="s">
        <v>2883</v>
      </c>
      <c r="F608" t="s">
        <v>2884</v>
      </c>
      <c r="G608" s="5">
        <v>0</v>
      </c>
      <c r="H608" s="5">
        <v>0</v>
      </c>
      <c r="I608" s="5">
        <v>0</v>
      </c>
      <c r="J608" s="5">
        <f t="shared" si="9"/>
        <v>0</v>
      </c>
    </row>
    <row r="609" spans="1:10" ht="15">
      <c r="A609" s="4" t="s">
        <v>2885</v>
      </c>
      <c r="B609" s="4" t="s">
        <v>2886</v>
      </c>
      <c r="C609" s="4" t="s">
        <v>2887</v>
      </c>
      <c r="D609" s="4" t="s">
        <v>188</v>
      </c>
      <c r="E609" s="4" t="s">
        <v>2888</v>
      </c>
      <c r="F609" t="s">
        <v>2889</v>
      </c>
      <c r="G609" s="5">
        <v>0</v>
      </c>
      <c r="H609" s="5">
        <v>0</v>
      </c>
      <c r="I609" s="5">
        <v>0</v>
      </c>
      <c r="J609" s="5">
        <f t="shared" si="9"/>
        <v>0</v>
      </c>
    </row>
    <row r="610" spans="1:10" ht="15">
      <c r="A610" s="4" t="s">
        <v>2890</v>
      </c>
      <c r="B610" s="4" t="s">
        <v>2891</v>
      </c>
      <c r="C610" s="4" t="s">
        <v>2892</v>
      </c>
      <c r="D610" s="4" t="s">
        <v>2893</v>
      </c>
      <c r="E610" s="4" t="s">
        <v>2888</v>
      </c>
      <c r="F610" t="s">
        <v>2894</v>
      </c>
      <c r="G610" s="5">
        <v>0</v>
      </c>
      <c r="H610" s="5">
        <v>0</v>
      </c>
      <c r="I610" s="5">
        <v>0</v>
      </c>
      <c r="J610" s="5">
        <f t="shared" si="9"/>
        <v>0</v>
      </c>
    </row>
    <row r="611" spans="1:10" ht="15">
      <c r="A611" s="4" t="s">
        <v>2895</v>
      </c>
      <c r="B611" s="4" t="s">
        <v>2896</v>
      </c>
      <c r="C611" s="4" t="s">
        <v>2897</v>
      </c>
      <c r="D611" s="4" t="s">
        <v>2898</v>
      </c>
      <c r="E611" s="4" t="s">
        <v>2899</v>
      </c>
      <c r="F611" t="s">
        <v>2900</v>
      </c>
      <c r="G611" s="5">
        <v>0</v>
      </c>
      <c r="H611" s="5">
        <v>0</v>
      </c>
      <c r="I611" s="5">
        <v>0</v>
      </c>
      <c r="J611" s="5">
        <f t="shared" si="9"/>
        <v>0</v>
      </c>
    </row>
    <row r="612" spans="1:10" ht="15">
      <c r="A612" s="4" t="s">
        <v>2905</v>
      </c>
      <c r="B612" s="4" t="s">
        <v>2908</v>
      </c>
      <c r="C612" s="4" t="s">
        <v>2909</v>
      </c>
      <c r="D612" s="4" t="s">
        <v>2910</v>
      </c>
      <c r="E612" s="4" t="str">
        <f>VLOOKUP(A:A,[1]tbl_EmployeeInfo!$C$2:$U$942,19,FALSE)</f>
        <v>2018-11-05</v>
      </c>
      <c r="F612" t="str">
        <f>VLOOKUP(A:A,[1]tbl_EmployeeInfo!$C$2:$M$942,11,FALSE)</f>
        <v>34-5595182-4</v>
      </c>
      <c r="G612" s="5">
        <v>761.39</v>
      </c>
      <c r="H612" s="5">
        <v>0</v>
      </c>
      <c r="I612" s="5">
        <v>0</v>
      </c>
      <c r="J612" s="5">
        <f t="shared" ref="J612:J614" si="10">G612+H612+I612</f>
        <v>761.39</v>
      </c>
    </row>
    <row r="613" spans="1:10" ht="15">
      <c r="A613" s="4" t="s">
        <v>2906</v>
      </c>
      <c r="B613" s="4" t="s">
        <v>2911</v>
      </c>
      <c r="C613" s="4" t="s">
        <v>2912</v>
      </c>
      <c r="D613" s="4" t="s">
        <v>2913</v>
      </c>
      <c r="E613" s="4" t="str">
        <f>VLOOKUP(A:A,[1]tbl_EmployeeInfo!$C$2:$U$942,19,FALSE)</f>
        <v>2022-04-01</v>
      </c>
      <c r="F613" t="str">
        <f>VLOOKUP(A:A,[1]tbl_EmployeeInfo!$C$2:$M$942,11,FALSE)</f>
        <v>05-1355883-2</v>
      </c>
      <c r="G613" s="5">
        <v>622.96</v>
      </c>
      <c r="H613" s="5">
        <v>0</v>
      </c>
      <c r="I613" s="5">
        <v>0</v>
      </c>
      <c r="J613" s="5">
        <f t="shared" si="10"/>
        <v>622.96</v>
      </c>
    </row>
    <row r="614" spans="1:10" ht="15">
      <c r="A614" t="s">
        <v>2907</v>
      </c>
      <c r="B614" s="4" t="s">
        <v>223</v>
      </c>
      <c r="C614" s="4" t="s">
        <v>2914</v>
      </c>
      <c r="D614" s="4" t="s">
        <v>2915</v>
      </c>
      <c r="E614" s="4" t="str">
        <f>VLOOKUP(A:A,[1]tbl_EmployeeInfo!$C$2:$U$942,19,FALSE)</f>
        <v>2023-04-01</v>
      </c>
      <c r="F614" t="str">
        <f>VLOOKUP(A:A,[1]tbl_EmployeeInfo!$C$2:$M$942,11,FALSE)</f>
        <v>34-9962722-4</v>
      </c>
      <c r="G614">
        <v>415.31</v>
      </c>
      <c r="H614" s="5">
        <v>0</v>
      </c>
      <c r="I614" s="5">
        <v>0</v>
      </c>
      <c r="J614" s="5">
        <f t="shared" si="10"/>
        <v>415.31</v>
      </c>
    </row>
    <row r="615" spans="1:10" ht="15.75" thickBot="1">
      <c r="G615" s="6">
        <f>SUM(G7:G614)</f>
        <v>218845.93000000017</v>
      </c>
      <c r="H615" s="6">
        <f t="shared" ref="H615:I615" si="11">SUM(H7:H614)</f>
        <v>21934.029999999992</v>
      </c>
      <c r="I615" s="6">
        <f t="shared" si="11"/>
        <v>4443.8900000000003</v>
      </c>
      <c r="J615" s="6">
        <f>SUM(J7:J614)</f>
        <v>245223.85000000018</v>
      </c>
    </row>
    <row r="616" spans="1:10" ht="15" thickTop="1"/>
  </sheetData>
  <sheetProtection formatCells="0" formatColumns="0" formatRows="0" insertColumns="0" insertRows="0" insertHyperlinks="0" deleteColumns="0" deleteRows="0" sort="0" autoFilter="0" pivotTables="0"/>
  <pageMargins left="0.31" right="0.27" top="0.4" bottom="0.4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SSS Loan</vt:lpstr>
      <vt:lpstr>'SSS Loan'!Print_Area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Eira T. Burato</cp:lastModifiedBy>
  <dcterms:created xsi:type="dcterms:W3CDTF">2024-10-05T04:34:21Z</dcterms:created>
  <dcterms:modified xsi:type="dcterms:W3CDTF">2024-10-05T05:04:07Z</dcterms:modified>
  <cp:category/>
</cp:coreProperties>
</file>